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bh\Desktop\"/>
    </mc:Choice>
  </mc:AlternateContent>
  <xr:revisionPtr revIDLastSave="0" documentId="8_{1D0FB7B8-2DD0-4981-B9A8-9D049F0A93F2}" xr6:coauthVersionLast="47" xr6:coauthVersionMax="47" xr10:uidLastSave="{00000000-0000-0000-0000-000000000000}"/>
  <bookViews>
    <workbookView xWindow="-108" yWindow="-108" windowWidth="23256" windowHeight="12456" activeTab="8" xr2:uid="{ED679170-5C8E-474F-93CE-5750724B8FC1}"/>
  </bookViews>
  <sheets>
    <sheet name="Dataset" sheetId="1" r:id="rId1"/>
    <sheet name="Model_Analysis" sheetId="3" r:id="rId2"/>
    <sheet name="Year_Analysis" sheetId="4" r:id="rId3"/>
    <sheet name="Analysis" sheetId="2" r:id="rId4"/>
    <sheet name="Correlation" sheetId="5" r:id="rId5"/>
    <sheet name="Simple_Reg_Mileage" sheetId="6" r:id="rId6"/>
    <sheet name="Simple_Reg_Year" sheetId="7" r:id="rId7"/>
    <sheet name="Multiple_Reg_Mileage" sheetId="10" r:id="rId8"/>
    <sheet name="Anova" sheetId="12" r:id="rId9"/>
    <sheet name="Anova_Data" sheetId="11" r:id="rId10"/>
  </sheets>
  <calcPr calcId="191028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 a="1"/>
  <c r="B2" i="11" s="1"/>
  <c r="D2" i="11" a="1"/>
  <c r="D2" i="11" s="1"/>
  <c r="C2" i="11" a="1"/>
  <c r="C2" i="11" s="1"/>
  <c r="A2" i="11" a="1"/>
  <c r="A2" i="11" s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R3" i="1"/>
  <c r="R2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C4" i="5" l="1"/>
  <c r="C3" i="5"/>
  <c r="C2" i="5"/>
  <c r="E4" i="4"/>
  <c r="E5" i="4"/>
  <c r="E6" i="4"/>
  <c r="E7" i="4"/>
  <c r="E8" i="4"/>
  <c r="E9" i="4"/>
  <c r="E10" i="4"/>
  <c r="D10" i="4"/>
  <c r="D9" i="4"/>
  <c r="D8" i="4"/>
  <c r="D7" i="4"/>
  <c r="D6" i="4"/>
  <c r="D5" i="4"/>
  <c r="D4" i="4"/>
  <c r="E13" i="3" a="1"/>
  <c r="E13" i="3" s="1"/>
  <c r="E12" i="3" a="1"/>
  <c r="E12" i="3" s="1"/>
  <c r="E11" i="3" a="1"/>
  <c r="E11" i="3" s="1"/>
  <c r="E10" i="3" a="1"/>
  <c r="E10" i="3" s="1"/>
  <c r="D13" i="3" a="1"/>
  <c r="D13" i="3" s="1"/>
  <c r="D12" i="3" a="1"/>
  <c r="D12" i="3" s="1"/>
  <c r="D11" i="3" a="1"/>
  <c r="D11" i="3" s="1"/>
  <c r="D10" i="3" a="1"/>
  <c r="D10" i="3" s="1"/>
  <c r="C13" i="3"/>
  <c r="C12" i="3"/>
  <c r="C11" i="3"/>
  <c r="C10" i="3"/>
  <c r="B13" i="3"/>
  <c r="B12" i="3"/>
  <c r="B11" i="3"/>
  <c r="B10" i="3"/>
  <c r="C9" i="2"/>
  <c r="D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<sst xmlns="http://schemas.openxmlformats.org/spreadsheetml/2006/main" count="18682" uniqueCount="2364">
  <si>
    <t>vin</t>
  </si>
  <si>
    <t>year</t>
  </si>
  <si>
    <t>model</t>
  </si>
  <si>
    <t>color</t>
  </si>
  <si>
    <t>miles</t>
  </si>
  <si>
    <t>trim</t>
  </si>
  <si>
    <t>sold_price</t>
  </si>
  <si>
    <t>interior</t>
  </si>
  <si>
    <t>wheels</t>
  </si>
  <si>
    <t>features</t>
  </si>
  <si>
    <t>country</t>
  </si>
  <si>
    <t>location</t>
  </si>
  <si>
    <t>metro</t>
  </si>
  <si>
    <t>state</t>
  </si>
  <si>
    <t>currency</t>
  </si>
  <si>
    <t>sold_date</t>
  </si>
  <si>
    <t>5YJYGAEEXMF159365</t>
  </si>
  <si>
    <t>my</t>
  </si>
  <si>
    <t>SILVER</t>
  </si>
  <si>
    <t>Model Y Long Range Dual Motor All-Wheel Drive</t>
  </si>
  <si>
    <t>PREMIUM_BLACK</t>
  </si>
  <si>
    <t>TWENTY</t>
  </si>
  <si>
    <t>Midnight Silver Metallic Paint;20â€™â€™ Induction Wheels;All Black Premium Interior;Full Self-Driving Capability;Seven Seat Interior;Tow Hitch;Acceleration Boost;</t>
  </si>
  <si>
    <t>US</t>
  </si>
  <si>
    <t>Colma, CA</t>
  </si>
  <si>
    <t>Bay Area</t>
  </si>
  <si>
    <t>CA</t>
  </si>
  <si>
    <t>USD</t>
  </si>
  <si>
    <t>5YJXCAE24LF264706</t>
  </si>
  <si>
    <t>mx</t>
  </si>
  <si>
    <t>BLUE</t>
  </si>
  <si>
    <t>Model X Long Range Plus All-Wheel Drive</t>
  </si>
  <si>
    <t>WHITE</t>
  </si>
  <si>
    <t>Deep Blue Metallic;20" Silver Wheels;Black and White Premium Interior with Dark Ash Wood DÃ©cor;Full Self-Driving Capability;Seven Seat Interior;Infotainment Upgrade;</t>
  </si>
  <si>
    <t>Rockville, MD</t>
  </si>
  <si>
    <t>MD</t>
  </si>
  <si>
    <t>5YJSA1E25KF331229</t>
  </si>
  <si>
    <t>ms</t>
  </si>
  <si>
    <t>Model S Long Range All-Wheel Drive</t>
  </si>
  <si>
    <t>TWENTY_ONE</t>
  </si>
  <si>
    <t>Pearl White Multi-Coat;21" Sonic Carbon Twin Turbine Wheels;Black and White Premium Interior with Dark Ash Wood DÃ©cor;Full Self-Driving Capability;Glass Roof;Infotainment Upgrade;</t>
  </si>
  <si>
    <t>Marina Del Rey, CA</t>
  </si>
  <si>
    <t>Los Angeles</t>
  </si>
  <si>
    <t>5YJXCAE21KF197562</t>
  </si>
  <si>
    <t>Model X Long Range All-Wheel Drive</t>
  </si>
  <si>
    <t>CREAM</t>
  </si>
  <si>
    <t>Pearl White Multi-Coat;20" Silver Wheels;Cream Premium Interior with Oak Wood DÃ©cor;Full Self-Driving Capability;Seven Seat Interior;Infotainment Upgrade;</t>
  </si>
  <si>
    <t>MECHANICSBURG, PA</t>
  </si>
  <si>
    <t>Philadelphia</t>
  </si>
  <si>
    <t>PA</t>
  </si>
  <si>
    <t>5YJXCAE23JF138317</t>
  </si>
  <si>
    <t>GREY</t>
  </si>
  <si>
    <t>100D Long Range All-Wheel Drive</t>
  </si>
  <si>
    <t>BLACK</t>
  </si>
  <si>
    <t>Midnight Silver Metallic Paint;20" Sonic Carbon Wheels;All Black Premium Interior;Full Self-Driving Capability;Smart Air Suspension;Ultra High Fidelity Sound;HEPA Air Filtration System;Subzero Weather Package;Towing Package;Keyless Entry;Power Liftgate;Seven Seat Interior;Figured Ash Wood DÃ©cor;Dark Headliner;Infotainment Upgrade;</t>
  </si>
  <si>
    <t>5YJ3E1EBXKF451665</t>
  </si>
  <si>
    <t>m3</t>
  </si>
  <si>
    <t>Model 3 Long Range All-Wheel Drive</t>
  </si>
  <si>
    <t>EIGHTEEN</t>
  </si>
  <si>
    <t>Solid Black Paint;18â€™â€™ Aero Wheels;All Black Premium Interior;Full Self-Driving Capability;Acceleration Boost;Front and Rear Heated Seats;</t>
  </si>
  <si>
    <t>Devon, PA</t>
  </si>
  <si>
    <t>5YJXCDE20KF188420</t>
  </si>
  <si>
    <t>Solid Black;20" Silver Wheels;Black and White Premium Interior with Dark Ash Wood DÃ©cor;Full Self-Driving Capability;Five Seat Interior;Infotainment Upgrade;</t>
  </si>
  <si>
    <t>RI</t>
  </si>
  <si>
    <t>5YJ3E1EA4KF394841</t>
  </si>
  <si>
    <t>Model 3 Standard Range Plus Rear-Wheel Drive</t>
  </si>
  <si>
    <t>Solid Black Paint;18â€™â€™ Aero Wheels;All Black Partial Premium Interior;Full Self-Driving Capability;Front and Rear Heated Seats;</t>
  </si>
  <si>
    <t>Paramus, NJ</t>
  </si>
  <si>
    <t>New Jersey</t>
  </si>
  <si>
    <t>NJ</t>
  </si>
  <si>
    <t>5YJ3E1EB4KF393181</t>
  </si>
  <si>
    <t>Model 3 Long Range All-Wheel Drive Performance</t>
  </si>
  <si>
    <t>Pearl White Paint;20â€™â€™ Performance Wheels;All Black Premium Interior;Full Self-Driving Capability;Performance Upgrade;Carbon Fiber Spoiler;Performance Pedals;Performance Brakes;Front and Rear Heated Seats;</t>
  </si>
  <si>
    <t>5YJSA1E25KF306718</t>
  </si>
  <si>
    <t>Midnight Silver Metallic Paint;21" Sonic Carbon Twin Turbine Wheels;All Black Premium Interior;Full Self-Driving Capability;Smart Air Suspension;Glass Roof;Ultra High Fidelity Sound;HEPA Air Filtration System;Subzero Weather Package;Keyless Entry;Power Liftgate;GPS Enabled Homelink;Figured Ash Wood DÃ©cor;Dark Headliner;Infotainment Upgrade;</t>
  </si>
  <si>
    <t>5YJ3E1EA0KF486755</t>
  </si>
  <si>
    <t>RED</t>
  </si>
  <si>
    <t>PREMIUM_WHITE</t>
  </si>
  <si>
    <t>NINETEEN</t>
  </si>
  <si>
    <t>Red Multi-Coat Paint;19â€™â€™ Sport Wheels;Black and White Partial Premium Interior;Full Self-Driving Capability;Front and Rear Heated Seats;</t>
  </si>
  <si>
    <t>5YJSA1E26LF355945</t>
  </si>
  <si>
    <t>Midnight Silver Metallic;21" Sonic Carbon Twin Turbine Wheels;All Black Premium Interior with Figured Ash Wood DÃ©cor;Full Self-Driving Capability;Glass Roof;Infotainment Upgrade;</t>
  </si>
  <si>
    <t>5YJ3E1EA1KF432106</t>
  </si>
  <si>
    <t>Deep Blue Metallic Paint;19â€™â€™ Sport Wheels;Black and White Partial Premium Interior;Full Self-Driving Capability;Front and Rear Heated Seats;</t>
  </si>
  <si>
    <t>Cherry Hill, NJ</t>
  </si>
  <si>
    <t>5YJ3E1EB2LF651246</t>
  </si>
  <si>
    <t>Pearl White Paint;19â€™â€™ Sport Wheels;All Black Premium Interior;Enhanced Autopilot;Acceleration Boost;Front and Rear Heated Seats;</t>
  </si>
  <si>
    <t>Decatur, GA</t>
  </si>
  <si>
    <t>Atlanta</t>
  </si>
  <si>
    <t>GA</t>
  </si>
  <si>
    <t>5YJ3E1EA8LF659570</t>
  </si>
  <si>
    <t>Pearl White Paint;18â€™â€™ Aero Wheels;All Black Partial Premium Interior;Enhanced Autopilot;Front and Rear Heated Seats;</t>
  </si>
  <si>
    <t>5YJ3E1EA1KF402751</t>
  </si>
  <si>
    <t>GRAY</t>
  </si>
  <si>
    <t>Midnight Silver Metallic Paint;18â€™â€™ Aero Wheels;Black and White Partial Premium Interior;Full Self-Driving Capability;Front and Rear Heated Seats;</t>
  </si>
  <si>
    <t>Savannah, GA</t>
  </si>
  <si>
    <t>Savannah</t>
  </si>
  <si>
    <t>5YJSA1E49LF379240</t>
  </si>
  <si>
    <t>Model S Performance All-Wheel Drive</t>
  </si>
  <si>
    <t>Deep Blue Metallic;21" Sonic Carbon Twin Turbine Wheels;Cream Premium Interior with Oak Wood DÃ©cor;Full Self-Driving Capability;Ludicrous Mode;Glass Roof;Infotainment Upgrade;</t>
  </si>
  <si>
    <t>Matthews, NC</t>
  </si>
  <si>
    <t>Charlotte</t>
  </si>
  <si>
    <t>NC</t>
  </si>
  <si>
    <t>5YJSA1E26HF216129</t>
  </si>
  <si>
    <t>75D All-Wheel Drive</t>
  </si>
  <si>
    <t>BLACK_TEXTILE</t>
  </si>
  <si>
    <t>Silver Metallic Paint;19" Silver Slipstream Wheels;Black Textile Interior;Full Self-Driving Capability;Smart Air Suspension;Glass Roof;Keyless Entry;Power Liftgate;GPS Enabled Homelink;Dark Ash Wood DÃ©cor;Dark Headliner;</t>
  </si>
  <si>
    <t>5YJSA1E46LF355283</t>
  </si>
  <si>
    <t>Midnight Silver Metallic;19" Sonic Carbon Slipstream Wheels;Black and White Premium Interior with Carbon Fiber DÃ©cor;Full Self-Driving Capability;Ludicrous Mode;Glass Roof;Infotainment Upgrade;</t>
  </si>
  <si>
    <t>5YJXCDE22KF185194</t>
  </si>
  <si>
    <t>TWENTY_TWO</t>
  </si>
  <si>
    <t>Pearl White Multi-Coat;22" Onyx Black Wheels;Black and White Premium Interior with Dark Ash Wood DÃ©cor;Full Self-Driving Capability;Six Seat Interior;Infotainment Upgrade;</t>
  </si>
  <si>
    <t>Highland Park, IL</t>
  </si>
  <si>
    <t>Chicago</t>
  </si>
  <si>
    <t>IL</t>
  </si>
  <si>
    <t>5YJSA1E27JF243667</t>
  </si>
  <si>
    <t>Red Multi-Coat Paint;19" Silver Slipstream Wheels;Black Premium Interior;Enhanced Autopilot;Smart Air Suspension;Sunroof;Ultra High Fidelity Sound;HEPA Air Filtration System;Subzero Weather Package;Keyless Entry;Power Liftgate;GPS Enabled Homelink;Figured Ash Wood DÃ©cor;Dark Headliner;Infotainment Upgrade;</t>
  </si>
  <si>
    <t>Lyndhurst, OH</t>
  </si>
  <si>
    <t>Cleveland</t>
  </si>
  <si>
    <t>OH</t>
  </si>
  <si>
    <t>5YJ3E1EB6KF407338</t>
  </si>
  <si>
    <t>Pearl White Paint;20â€™â€™ Performance Wheels;Black and White Premium Interior;Full Self-Driving Capability;Performance Upgrade;Carbon Fiber Spoiler;Performance Pedals;Performance Brakes;Front and Rear Heated Seats;</t>
  </si>
  <si>
    <t>LIBERTYVILLE, IL</t>
  </si>
  <si>
    <t>5YJ3E1EB6MF065246</t>
  </si>
  <si>
    <t>Deep Blue Metallic Paint;19â€™â€™ Sport Wheels;All Black Premium Interior;Full Self-Driving Capability;Acceleration Boost;Front and Rear Heated Seats;</t>
  </si>
  <si>
    <t>5YJ3E1EA5MF854365</t>
  </si>
  <si>
    <t>Solid Black Paint;18â€™â€™ Aero Wheels;Black and White Partial Premium Interior;Full Self-Driving Capability;Front and Rear Heated Seats;</t>
  </si>
  <si>
    <t>TX</t>
  </si>
  <si>
    <t>5YJ3E1EA4KF395164</t>
  </si>
  <si>
    <t>Westmont, IL</t>
  </si>
  <si>
    <t>5YJSA1E64MF447639</t>
  </si>
  <si>
    <t>Model S Plaid</t>
  </si>
  <si>
    <t>Solid Black;21" Arachnid Wheels;Cream Interior with Carbon Fiber Decor;Full Self-Driving Capability;Infotainment Upgrade;</t>
  </si>
  <si>
    <t>5YJSA1E47LF355700</t>
  </si>
  <si>
    <t>Solid Black;21" Sonic Carbon Twin Turbine Wheels;Black and White Premium Interior with Carbon Fiber DÃ©cor;Full Self-Driving Capability;Ludicrous Mode;Glass Roof;Infotainment Upgrade;</t>
  </si>
  <si>
    <t>5YJXCBE24KF188778</t>
  </si>
  <si>
    <t>Pearl White Multi-Coat;22" Onyx Black Wheels;All Black Premium Interior with Figured Ash Wood DÃ©cor;Full Self-Driving Capability;Six Seat Interior;Infotainment Upgrade;</t>
  </si>
  <si>
    <t>Scottsdale, AZ</t>
  </si>
  <si>
    <t>Phoenix</t>
  </si>
  <si>
    <t>AZ</t>
  </si>
  <si>
    <t>5YJSA1E22KF306367</t>
  </si>
  <si>
    <t>Solid Black Paint;19" Silver Slipstream Wheels;All Black Premium Interior;Full Self-Driving Capability;Smart Air Suspension;Glass Roof;Ultra High Fidelity Sound;HEPA Air Filtration System;Subzero Weather Package;Keyless Entry;Power Liftgate;GPS Enabled Homelink;Figured Ash Wood DÃ©cor;Dark Headliner;Infotainment Upgrade;</t>
  </si>
  <si>
    <t>5YJ3E1EC3NF110461</t>
  </si>
  <si>
    <t>Model 3 Performance Dual Motor All-Wheel Drive</t>
  </si>
  <si>
    <t>Deep Blue Metallic Paint;20â€™â€™ Ãœberturbine Wheels;All Black Premium Interior;Full Self-Driving Capability;Performance Upgrade;Carbon Fiber Spoiler;Performance Pedals;Performance Brakes;Front and Rear Heated Seats;</t>
  </si>
  <si>
    <t>5YJ3E1EB0KF413751</t>
  </si>
  <si>
    <t>Red Multi-Coat Paint;20â€™â€™ Performance Wheels;Black and White Premium Interior;Full Self-Driving Capability;Performance Upgrade;Carbon Fiber Spoiler;Performance Pedals;Performance Brakes;Front and Rear Heated Seats;</t>
  </si>
  <si>
    <t>Maplewood, MN</t>
  </si>
  <si>
    <t>Minneapolis</t>
  </si>
  <si>
    <t>MN</t>
  </si>
  <si>
    <t>5YJ3E1EA6KF464307</t>
  </si>
  <si>
    <t>Deep Blue Metallic Paint;18â€™â€™ Aero Wheels;All Black Partial Premium Interior;Enhanced Autopilot;Front and Rear Heated Seats;</t>
  </si>
  <si>
    <t>5YJXCBE22HF053601</t>
  </si>
  <si>
    <t>90D All-Wheel Drive</t>
  </si>
  <si>
    <t>Solid Black Paint;20" Silver Wheels;White Premium Interior;Full Self-Driving Capability;Smart Air Suspension;Ultra High Fidelity Sound;HEPA Air Filtration System;Keyless Entry;Power Liftgate;Six Seat Interior;Dark Ash Wood DÃ©cor;Black Headliner;</t>
  </si>
  <si>
    <t>5YJYGDEF6LF022206</t>
  </si>
  <si>
    <t>Model Y Long Range All-Wheel Drive Performance</t>
  </si>
  <si>
    <t>Midnight Silver Metallic Paint;21â€™â€™ Ãœberturbine Wheels;All Black Premium Interior;Full Self-Driving Capability;Performance Upgrade;Five Seat Interior;Carbon Fiber Spoiler;Performance Pedals;Performance Brakes;</t>
  </si>
  <si>
    <t>Irvine, CA</t>
  </si>
  <si>
    <t>5YJ3E1EB4KF368118</t>
  </si>
  <si>
    <t>5YJYGDED7MF103604</t>
  </si>
  <si>
    <t>Model Y Standard Range Rear-Wheel Drive</t>
  </si>
  <si>
    <t>Pearl White Paint;19â€™â€™ Gemini Wheels;All Black Premium Interior;Full Self-Driving Capability;Five Seat Interior;</t>
  </si>
  <si>
    <t>OCEANSIDE, CA</t>
  </si>
  <si>
    <t>San Diego</t>
  </si>
  <si>
    <t>5YJSA1E66NF474570</t>
  </si>
  <si>
    <t>Pearl White Multi-Coat;19" Tempest Wheels;Black and White Premium Interior with Carbon Fiber DÃ©cor;Full Self-Driving Capability;Infotainment Upgrade;</t>
  </si>
  <si>
    <t>5YJ3E1EB4KF388370</t>
  </si>
  <si>
    <t>Pearl White Paint;18â€™â€™ Aero Wheels;All Black Premium Interior;Full Self-Driving Capability;Acceleration Boost;Front and Rear Heated Seats;</t>
  </si>
  <si>
    <t>5YJXCBE29KF152147</t>
  </si>
  <si>
    <t>Red Multi-Coat Paint;20" Silver Wheels;Black and White Premium Interior;Full Self-Driving Capability;Smart Air Suspension;Ultra High Fidelity Sound;HEPA Air Filtration System;Subzero Weather Package;Towing Package;Keyless Entry;Power Liftgate;Six Seat Interior;Dark Ash Wood DÃ©cor;Dark Headliner;Infotainment Upgrade;</t>
  </si>
  <si>
    <t>AURORA, CO</t>
  </si>
  <si>
    <t>Denver</t>
  </si>
  <si>
    <t>CO</t>
  </si>
  <si>
    <t>5YJ3E1EA7KF410269</t>
  </si>
  <si>
    <t>CAMARILLO, CA</t>
  </si>
  <si>
    <t>5YJXCBE46KF180845</t>
  </si>
  <si>
    <t>Model X Performance All-Wheel Drive</t>
  </si>
  <si>
    <t>Pearl White Multi-Coat;22" Onyx Black Wheels;Black and White Premium Interior with Dark Ash Wood DÃ©cor;Full Self-Driving Capability;Ludicrous Mode;Six Seat Interior;Infotainment Upgrade;</t>
  </si>
  <si>
    <t>Colorado Springs, CO</t>
  </si>
  <si>
    <t>Colorado Springs</t>
  </si>
  <si>
    <t>5YJXCBE20JF136434</t>
  </si>
  <si>
    <t>Midnight Silver Metallic Paint;20" Sonic Carbon Wheels;All Black Premium Interior;Full Self-Driving Capability;Smart Air Suspension;Ultra High Fidelity Sound;HEPA Air Filtration System;Subzero Weather Package;Towing Package;Keyless Entry;Power Liftgate;Six Seat Interior;Carbon Fiber DÃ©cor;Dark Headliner;Infotainment Upgrade;</t>
  </si>
  <si>
    <t>Lathrop, CA</t>
  </si>
  <si>
    <t>5YJ3E1EA9KF306267</t>
  </si>
  <si>
    <t>GLENDALE, AZ</t>
  </si>
  <si>
    <t>5YJ3E1EA9KF412380</t>
  </si>
  <si>
    <t>Solid Black Paint;19â€™â€™ Sport Wheels;All Black Partial Premium Interior;Enhanced Autopilot;Front and Rear Heated Seats;</t>
  </si>
  <si>
    <t>5YJYGDEF0MF269318</t>
  </si>
  <si>
    <t>Model Y Performance Dual Motor All-Wheel Drive</t>
  </si>
  <si>
    <t>Deep Blue Metallic Paint;21â€™â€™ Ãœberturbine Wheels;All Black Premium Interior;Full Self-Driving Capability;Performance Upgrade;Five Seat Interior;Carbon Fiber Spoiler;Performance Pedals;Performance Brakes;</t>
  </si>
  <si>
    <t>5YJ3E1EA3KF424797</t>
  </si>
  <si>
    <t>Pearl White Paint;18â€™â€™ Aero Wheels;All Black Partial Premium Interior;Full Self-Driving Capability;Front and Rear Heated Seats;</t>
  </si>
  <si>
    <t>Stockton, CA</t>
  </si>
  <si>
    <t>Central Valley California</t>
  </si>
  <si>
    <t>5YJXCDE2XKF184617</t>
  </si>
  <si>
    <t>Midnight Silver Metallic;20" Silver Wheels;Cream Premium Interior with Oak Wood DÃ©cor;Full Self-Driving Capability;Five Seat Interior;Infotainment Upgrade;</t>
  </si>
  <si>
    <t>Costa Mesa, CA</t>
  </si>
  <si>
    <t>Orange County</t>
  </si>
  <si>
    <t>5YJYGDEE7MF198206</t>
  </si>
  <si>
    <t>Pearl White Paint;19â€™â€™ Gemini Wheels;All Black Premium Interior;Full Self-Driving Capability;Five Seat Interior;Acceleration Boost;</t>
  </si>
  <si>
    <t>Lynnwood, WA</t>
  </si>
  <si>
    <t>Seattle</t>
  </si>
  <si>
    <t>WA</t>
  </si>
  <si>
    <t>5YJ3E1EA8KF312948</t>
  </si>
  <si>
    <t>Hawthorne, CA</t>
  </si>
  <si>
    <t>5YJYGDEE3MF141159</t>
  </si>
  <si>
    <t>Model Y Long Range All-Wheel Drive</t>
  </si>
  <si>
    <t>Pearl White Paint;20â€™â€™ Induction Wheels;All Black Premium Interior;Enhanced Autopilot;Five Seat Interior;Acceleration Boost;</t>
  </si>
  <si>
    <t>5YJ3E1EA7KF317865</t>
  </si>
  <si>
    <t>5YJSA1E59MF434358</t>
  </si>
  <si>
    <t>Model S Long Range</t>
  </si>
  <si>
    <t>Midnight Silver Metallic;21" Arachnid Wheels;Black and White Premium Interior with Walnut DÃ©cor;Full Self-Driving Capability;Infotainment Upgrade;</t>
  </si>
  <si>
    <t>5YJ3E1EC9LF603428</t>
  </si>
  <si>
    <t>Red Multi-Coat Paint;20â€™â€™ Gray Performance Wheels;Black and White Premium Interior;Full Self-Driving Capability;Performance Upgrade;Carbon Fiber Spoiler;Performance Pedals;Performance Brakes;Front and Rear Heated Seats;</t>
  </si>
  <si>
    <t>5YJXCBE24HF065281</t>
  </si>
  <si>
    <t>Pearl White Multi-Coat Paint;20" Silver Wheels;Cream Premium Interior;Full Self-Driving Capability;Smart Air Suspension;Ultra High Fidelity Sound;HEPA Air Filtration System;Subzero Weather Package;Towing Package;Keyless Entry;Power Liftgate;Six Seat Interior;Figured Ash Wood DÃ©cor;Light Headliner;Infotainment Upgrade;</t>
  </si>
  <si>
    <t>5YJ3E1EB5JF090814</t>
  </si>
  <si>
    <t>Midnight Silver Metallic Paint;19â€™â€™ Sport Wheels;All Black Premium Interior;Full Self-Driving Capability;Acceleration Boost;Front and Rear Heated Seats;</t>
  </si>
  <si>
    <t>TIGARD, OR</t>
  </si>
  <si>
    <t>Portland</t>
  </si>
  <si>
    <t>OR</t>
  </si>
  <si>
    <t>5YJ3E1EC7MF997058</t>
  </si>
  <si>
    <t>Solid Black Paint;20â€™â€™ Ãœberturbine Wheels;All Black Premium Interior;Full Self-Driving Capability;Performance Upgrade;Carbon Fiber Spoiler;Performance Pedals;Performance Brakes;Front and Rear Heated Seats;</t>
  </si>
  <si>
    <t>RENTON, WA</t>
  </si>
  <si>
    <t>5YJSA1E23JF258389</t>
  </si>
  <si>
    <t>Midnight Silver Metallic Paint;19" Silver Slipstream Wheels;Black Premium Interior;Full Self-Driving Capability;Smart Air Suspension;Sunroof;Ultra High Fidelity Sound;HEPA Air Filtration System;Subzero Weather Package;Keyless Entry;Power Liftgate;GPS Enabled Homelink;Figured Ash Wood DÃ©cor;Dark Headliner;Infotainment Upgrade;</t>
  </si>
  <si>
    <t>5YJ3E1EAXKF352741</t>
  </si>
  <si>
    <t>Gilroy, CA</t>
  </si>
  <si>
    <t>5YJ3E1EA0KF421081</t>
  </si>
  <si>
    <t>Rocklin, CA</t>
  </si>
  <si>
    <t>5YJ3E1EB1KF517634</t>
  </si>
  <si>
    <t>Midnight Silver Metallic Paint;18â€™â€™ Aero Wheels;Black and White Premium Interior;Full Self-Driving Capability;Acceleration Boost;Front and Rear Heated Seats;</t>
  </si>
  <si>
    <t>5YJ3E1EA2KF327686</t>
  </si>
  <si>
    <t>Model 3 Long Range Rear-Wheel Drive</t>
  </si>
  <si>
    <t>Midnight Silver Metallic Paint;18â€™â€™ Aero Wheels;Black and White Premium Interior;Full Self-Driving Capability;Front and Rear Heated Seats;</t>
  </si>
  <si>
    <t>San Jose, CA</t>
  </si>
  <si>
    <t>5YJXCAE26KF160717</t>
  </si>
  <si>
    <t>Pearl White Multi-Coat;20" Silver Wheels;Black and White Premium Interior with Dark Ash Wood DÃ©cor;Enhanced Autopilot;Seven Seat Interior;Infotainment Upgrade;</t>
  </si>
  <si>
    <t>5YJXCBE47LF241038</t>
  </si>
  <si>
    <t>Midnight Silver Metallic;22" Onyx Black Wheels;Black and White Premium Interior with Dark Ash Wood DÃ©cor;Full Self-Driving Capability;Ludicrous Mode;Six Seat Interior;Infotainment Upgrade;</t>
  </si>
  <si>
    <t>5YJYGDEE9LF006296</t>
  </si>
  <si>
    <t>Deep Blue Metallic Paint;19â€™â€™ Gemini Wheels;All Black Premium Interior;Full Self-Driving Capability;Five Seat Interior;Acceleration Boost;</t>
  </si>
  <si>
    <t>Miami, FL</t>
  </si>
  <si>
    <t>Miami</t>
  </si>
  <si>
    <t>FL</t>
  </si>
  <si>
    <t>5YJ3E1EB4KF469174</t>
  </si>
  <si>
    <t>Wilmington, DE</t>
  </si>
  <si>
    <t>Wilmington</t>
  </si>
  <si>
    <t>DE</t>
  </si>
  <si>
    <t>5YJYGAEEXMF183570</t>
  </si>
  <si>
    <t>Midnight Silver Metallic Paint;20â€™â€™ Induction Wheels;Black and White Premium Interior;Full Self-Driving Capability;Seven Seat Interior;Tow Hitch;Acceleration Boost;</t>
  </si>
  <si>
    <t>5YJ3E1EB5JF065041</t>
  </si>
  <si>
    <t>Silver Metallic Paint;18â€™â€™ Aero Wheels;All Black Premium Interior;Full Self-Driving Capability;Acceleration Boost;Front and Rear Heated Seats;</t>
  </si>
  <si>
    <t>Brooklyn, NY</t>
  </si>
  <si>
    <t>New York</t>
  </si>
  <si>
    <t>NY</t>
  </si>
  <si>
    <t>7SAYGDEF6NF376846</t>
  </si>
  <si>
    <t>Pearl White Paint;21â€™â€™ Ãœberturbine Wheels;All Black Premium Interior;Full Self-Driving Capability;Performance Upgrade;Five Seat Interior;Carbon Fiber Spoiler;Performance Pedals;Performance Brakes;</t>
  </si>
  <si>
    <t>5YJ3E1EAXLF659988</t>
  </si>
  <si>
    <t>Peabody, MA</t>
  </si>
  <si>
    <t>Boston</t>
  </si>
  <si>
    <t>MA</t>
  </si>
  <si>
    <t>5YJXCAE21KF160799</t>
  </si>
  <si>
    <t>Midnight Silver Metallic Paint;20" Silver Wheels;All Black Premium Interior;Full Self-Driving Capability;Suspension Update;Ultra High Fidelity Sound;HEPA Air Filtration System;Subzero Weather Package;Towing Package;Keyless Entry;Power Liftgate;Seven Seat Interior;Figured Ash Wood DÃ©cor;Dark Headliner;Infotainment Upgrade;</t>
  </si>
  <si>
    <t>5YJ3E1EA6KF423126</t>
  </si>
  <si>
    <t>Pearl White Paint;18â€™â€™ Aero Wheels;Black and White Partial Premium Interior;Full Self-Driving Capability;Front and Rear Heated Seats;</t>
  </si>
  <si>
    <t>5YJXCBE23LF210478</t>
  </si>
  <si>
    <t>Pearl White Multi-Coat;22" Onyx Black Wheels;All Black Premium Interior with Figured Ash Wood DÃ©cor;Enhanced Autopilot;Six Seat Interior;Infotainment Upgrade;</t>
  </si>
  <si>
    <t>5YJSA1E45HF235143</t>
  </si>
  <si>
    <t>100D Ludicrous Performance All-Wheel Drive</t>
  </si>
  <si>
    <t>Midnight Silver Metallic Paint;21" Grey Turbine Wheels;Black Premium Interior;Full Self-Driving Capability;Smart Air Suspension;Sunroof;Ultra High Fidelity Sound;HEPA Air Filtration System;Subzero Weather Package;Keyless Entry;Power Liftgate;Red Brake Calipers;GPS Enabled Homelink;Figured Ash Wood DÃ©cor;Dark Headliner;Infotainment Upgrade;</t>
  </si>
  <si>
    <t>5YJYGDEF1LF028141</t>
  </si>
  <si>
    <t>Solid Black Paint;21â€™â€™ Ãœberturbine Wheels;Black and White Premium Interior;Full Self-Driving Capability;Performance Upgrade;Five Seat Interior;Carbon Fiber Spoiler;Performance Pedals;Performance Brakes;</t>
  </si>
  <si>
    <t>5YJ3E1EB7KF390193</t>
  </si>
  <si>
    <t>Pearl White Paint;19â€™â€™ Sport Wheels;All Black Premium Interior;Full Self-Driving Capability;Acceleration Boost;Front and Rear Heated Seats;</t>
  </si>
  <si>
    <t>7SAYGDEE9NF315210</t>
  </si>
  <si>
    <t>Pearl White Paint;19â€™â€™ Gemini Wheels;Black and White Premium Interior;Full Self-Driving Capability;Five Seat Interior;Acceleration Boost;</t>
  </si>
  <si>
    <t>Rogers, MN</t>
  </si>
  <si>
    <t>5YJ3E1EBXKF391628</t>
  </si>
  <si>
    <t>Midnight Silver Metallic Paint;19â€™â€™ Sport Wheels;Black and White Premium Interior;Full Self-Driving Capability;Acceleration Boost;Front and Rear Heated Seats;</t>
  </si>
  <si>
    <t>5YJ3E1EC8MF850098</t>
  </si>
  <si>
    <t>Midnight Silver Metallic Paint;20â€™â€™ Ãœberturbine Wheels;All Black Premium Interior;Full Self-Driving Capability;Performance Upgrade;Carbon Fiber Spoiler;Performance Pedals;Performance Brakes;Front and Rear Heated Seats;</t>
  </si>
  <si>
    <t>5YJ3E1EB5MF975745</t>
  </si>
  <si>
    <t>Deep Blue Metallic Paint;18â€™â€™ Aero Wheels;Black and White Premium Interior;Full Self-Driving Capability;Acceleration Boost;Front and Rear Heated Seats;</t>
  </si>
  <si>
    <t>5YJ3E1EB4KF427412</t>
  </si>
  <si>
    <t>5YJ3E1EC9LF669588</t>
  </si>
  <si>
    <t>5YJ3E1EA6JF058820</t>
  </si>
  <si>
    <t>Silver Metallic Paint;18â€™â€™ Aero Wheels;All Black Premium Interior;Full Self-Driving Capability;Front and Rear Heated Seats;</t>
  </si>
  <si>
    <t>5YJ3E1EA5JF047078</t>
  </si>
  <si>
    <t>Midnight Silver Metallic Paint;19â€™â€™ Sport Wheels;All Black Premium Interior;Full Self-Driving Capability;Front and Rear Heated Seats;</t>
  </si>
  <si>
    <t>5YJXCAE48KF187144</t>
  </si>
  <si>
    <t>Littleton, CO</t>
  </si>
  <si>
    <t>5YJ3E1EA9LF658203</t>
  </si>
  <si>
    <t>Midnight Silver Metallic Paint;18â€™â€™ Aero Wheels;All Black Partial Premium Interior;Full Self-Driving Capability;Front and Rear Heated Seats;</t>
  </si>
  <si>
    <t>5YJXCBE4XJF121117</t>
  </si>
  <si>
    <t>Pearl White Multi-Coat Paint;22" Onyx Black Wheels;Black and White Premium Interior;Full Self-Driving Capability;Smart Air Suspension;Ultra High Fidelity Sound;HEPA Air Filtration System;Subzero Weather Package;Towing Package;Keyless Entry;Power Liftgate;Red Brake Calipers;Six Seat Interior;Dark Ash Wood DÃ©cor;Dark Headliner;Infotainment Upgrade;</t>
  </si>
  <si>
    <t>Salt Lake City, UT</t>
  </si>
  <si>
    <t>UT</t>
  </si>
  <si>
    <t>5YJSA1E23JF261924</t>
  </si>
  <si>
    <t>5YJXCBE44KF186515</t>
  </si>
  <si>
    <t>Pearl White Multi-Coat;22" Onyx Black Wheels;Black and White Premium Interior with Carbon Fiber DÃ©cor;Full Self-Driving Capability;Ludicrous Mode;Six Seat Interior;Infotainment Upgrade;</t>
  </si>
  <si>
    <t>5YJSA1E29LF362548</t>
  </si>
  <si>
    <t>Model S Long Range Plus All-Wheel Drive</t>
  </si>
  <si>
    <t>Pearl White Multi-Coat;19â€™â€™ Silver Wheels;All Black Premium Interior with Figured Ash Wood DÃ©cor;Full Self-Driving Capability;Glass Roof;Infotainment Upgrade;</t>
  </si>
  <si>
    <t>5YJXCBE46HF055899</t>
  </si>
  <si>
    <t>TAN</t>
  </si>
  <si>
    <t>Deep Blue Metallic Paint;22" Onyx Black Wheels;Tan Leather Seats;Full Self-Driving Capability;Smart Air Suspension;Ultra High Fidelity Sound;HEPA Air Filtration System;Keyless Entry;Power Liftgate;Red Brake Calipers;Six Seat Interior;Figured Ash Wood DÃ©cor;Light Headliner;</t>
  </si>
  <si>
    <t>5YJXCBE2XJF089428</t>
  </si>
  <si>
    <t>Pearl White Multi-Coat Paint;20" Silver Wheels;White Premium Interior;Full Self-Driving Capability;Smart Air Suspension;Ultra High Fidelity Sound;HEPA Air Filtration System;Subzero Weather Package;Towing Package;Keyless Entry;Power Liftgate;Six Seat Interior;Dark Ash Wood DÃ©cor;Dark Headliner;Infotainment Upgrade;</t>
  </si>
  <si>
    <t>5YJSA1E27JF244298</t>
  </si>
  <si>
    <t>Obsidian Black Metallic Paint;19" Silver Slipstream Wheels;White Premium Interior;Full Self-Driving Capability;Smart Air Suspension;Glass Roof;Ultra High Fidelity Sound;HEPA Air Filtration System;Subzero Weather Package;Keyless Entry;Power Liftgate;GPS Enabled Homelink;Carbon Fiber DÃ©cor;Dark Headliner;</t>
  </si>
  <si>
    <t>5YJYGDEEXLF013418</t>
  </si>
  <si>
    <t>5YJSA1E29LF399597</t>
  </si>
  <si>
    <t>5YJYGDEF3MF173411</t>
  </si>
  <si>
    <t>Midnight Silver Metallic Paint;21â€™â€™ Ãœberturbine Wheels;All Black Premium Interior;Full Self-Driving Capability;Performance Upgrade;Five Seat Interior;Tow Hitch;Carbon Fiber Spoiler;Performance Pedals;Performance Brakes;</t>
  </si>
  <si>
    <t>5YJ3E1EA8KF311881</t>
  </si>
  <si>
    <t>Pearl White Paint;19â€™â€™ Sport Wheels;All Black Partial Premium Interior;Full Self-Driving Capability;Front and Rear Heated Seats;</t>
  </si>
  <si>
    <t>5YJSA1E65MF437976</t>
  </si>
  <si>
    <t>Midnight Silver Metallic;21" Arachnid Wheels;All Black Premium Interior with Carbon Fiber DÃ©cor;Full Self-Driving Capability;Infotainment Upgrade;</t>
  </si>
  <si>
    <t>7SAXCBE62NF332032</t>
  </si>
  <si>
    <t>Model X Plaid</t>
  </si>
  <si>
    <t>Solid Black;22'' Turbine Wheels;Black and White Premium Interior with Carbon Fiber DÃ©cor;Full Self-Driving Capability;Six Seat Interior;Infotainment Upgrade;</t>
  </si>
  <si>
    <t>5YJ3E1EC8NF293484</t>
  </si>
  <si>
    <t>Pearl White Paint;20â€™â€™ Ãœberturbine Wheels;All Black Premium Interior;Full Self-Driving Capability;Performance Upgrade;Carbon Fiber Spoiler;Performance Pedals;Performance Brakes;Front and Rear Heated Seats;</t>
  </si>
  <si>
    <t>5YJYGDEE4LF055177</t>
  </si>
  <si>
    <t>Midnight Silver Metallic Paint;20â€™â€™ Induction Wheels;All Black Premium Interior;Full Self-Driving Capability;Five Seat Interior;Acceleration Boost;</t>
  </si>
  <si>
    <t>5YJYGDEE9MF151999</t>
  </si>
  <si>
    <t>7SAYGDEF8NF392840</t>
  </si>
  <si>
    <t>7SAYGDEE9NF357425</t>
  </si>
  <si>
    <t>Temecula, CA</t>
  </si>
  <si>
    <t>5YJ3E1EB0JF151423</t>
  </si>
  <si>
    <t>Midnight Silver Metallic Paint;20â€™â€™ Performance Wheels;All Black Premium Interior;Full Self-Driving Capability;Performance Upgrade;Carbon Fiber Spoiler;Performance Pedals;Performance Brakes;Front and Rear Heated Seats;</t>
  </si>
  <si>
    <t>5YJYGDEF6LF053701</t>
  </si>
  <si>
    <t>Red Multi-Coat Paint;21â€™â€™ Ãœberturbine Wheels;All Black Premium Interior;Full Self-Driving Capability;Performance Upgrade;Five Seat Interior;Tow Hitch;Carbon Fiber Spoiler;Performance Pedals;Performance Brakes;</t>
  </si>
  <si>
    <t>5YJXCDE44HF072647</t>
  </si>
  <si>
    <t>Obsidian Black Metallic Paint;22" Onyx Black Wheels;Black Premium Interior;Full Self-Driving Capability;Smart Air Suspension;Ultra High Fidelity Sound;HEPA Air Filtration System;Subzero Weather Package;Towing Package;Keyless Entry;Power Liftgate;Red Brake Calipers;Five Seat Interior;Carbon Fiber DÃ©cor;Dark Headliner;</t>
  </si>
  <si>
    <t>7SAYGAEEXNF432177</t>
  </si>
  <si>
    <t>Pearl White Paint;20â€™â€™ Induction Wheels;Black and White Premium Interior;Full Self-Driving Capability;Seven Seat Interior;Acceleration Boost;</t>
  </si>
  <si>
    <t>5YJYGDEE4LF029324</t>
  </si>
  <si>
    <t>5YJSA1E57MF430454</t>
  </si>
  <si>
    <t>Midnight Silver Metallic;19" Tempest Wheels;Cream Premium Interior with Walnut DÃ©cor;Full Self-Driving Capability;Infotainment Upgrade;</t>
  </si>
  <si>
    <t>FT LAUDERDALE, FL</t>
  </si>
  <si>
    <t>5YJXCAE29KF160923</t>
  </si>
  <si>
    <t>Midnight Silver Metallic;20" Silver Wheels;All Black Premium Interior with Figured Ash Wood DÃ©cor;Enhanced Autopilot;Seven Seat Interior;Infotainment Upgrade;</t>
  </si>
  <si>
    <t>Lawrence Township, NJ</t>
  </si>
  <si>
    <t>5YJ3E1EB4KF418595</t>
  </si>
  <si>
    <t>Red Multi-Coat Paint;19â€™â€™ Sport Wheels;All Black Premium Interior;Full Self-Driving Capability;Acceleration Boost;Front and Rear Heated Seats;</t>
  </si>
  <si>
    <t>5YJ3E1EA0JF060790</t>
  </si>
  <si>
    <t>5YJSA1E27JF250196</t>
  </si>
  <si>
    <t>Silver Metallic Paint;19" Silver Slipstream Wheels;Black Premium Interior;Full Self-Driving Capability;Smart Air Suspension;Sunroof;Ultra High Fidelity Sound;HEPA Air Filtration System;Subzero Weather Package;Keyless Entry;Power Liftgate;GPS Enabled Homelink;Figured Ash Wood DÃ©cor;Dark Headliner;Infotainment Upgrade;</t>
  </si>
  <si>
    <t>5YJ3E1EB8MF001225</t>
  </si>
  <si>
    <t>5YJYGDEE7MF095268</t>
  </si>
  <si>
    <t>5YJ3E1EB4KF469661</t>
  </si>
  <si>
    <t>5YJ3E1EA2LF805171</t>
  </si>
  <si>
    <t>5YJXCAE25KF197970</t>
  </si>
  <si>
    <t>Midnight Silver Metallic;22" Onyx Black Wheels;All Black Premium Interior with Figured Ash Wood DÃ©cor;Full Self-Driving Capability;Seven Seat Interior;Infotainment Upgrade;</t>
  </si>
  <si>
    <t>5YJ3E1EA6JF018057</t>
  </si>
  <si>
    <t>Red Multi-Coat Paint;19â€™â€™ Sport Wheels;All Black Premium Interior;Full Self-Driving Capability;Front and Rear Heated Seats;</t>
  </si>
  <si>
    <t>5YJ3E1EA1KF395963</t>
  </si>
  <si>
    <t>5YJ3E1EB7KF510588</t>
  </si>
  <si>
    <t>5YJYGDEE1MF176203</t>
  </si>
  <si>
    <t>Red Multi-Coat Paint;19â€™â€™ Gemini Wheels;All Black Premium Interior;Full Self-Driving Capability;Five Seat Interior;Acceleration Boost;</t>
  </si>
  <si>
    <t>ORLANDO, FL</t>
  </si>
  <si>
    <t>Orlando</t>
  </si>
  <si>
    <t>5YJ3E1EA0MF059143</t>
  </si>
  <si>
    <t>Standard Range Plus Rear-Wheel Drive</t>
  </si>
  <si>
    <t>West Palm Beach, FL</t>
  </si>
  <si>
    <t>5YJ3E1EB2KF422144</t>
  </si>
  <si>
    <t>5YJ3E1EB2KF390845</t>
  </si>
  <si>
    <t>5YJ3E1EB9KF493504</t>
  </si>
  <si>
    <t>King of Prussia, PA</t>
  </si>
  <si>
    <t>5YJ3E1EB4KF437440</t>
  </si>
  <si>
    <t>Pearl White Paint;18â€™â€™ Aero Wheels;All Black Premium Interior;Full Self-Driving Capability;Front and Rear Heated Seats;</t>
  </si>
  <si>
    <t>5YJ3E1EB3JF130825</t>
  </si>
  <si>
    <t>5YJ3E1EB4KF237710</t>
  </si>
  <si>
    <t>Solid Black Paint;20â€™â€™ Performance Wheels;All Black Premium Interior;Full Self-Driving Capability;Performance Upgrade;Carbon Fiber Spoiler;Performance Pedals;Performance Brakes;Front and Rear Heated Seats;</t>
  </si>
  <si>
    <t>5YJ3E1EA5KF402767</t>
  </si>
  <si>
    <t>Red Multi-Coat Paint;18â€™â€™ Aero Wheels;Black and White Partial Premium Interior;Full Self-Driving Capability;Front and Rear Heated Seats;</t>
  </si>
  <si>
    <t>5YJ3E1EA7MF930586</t>
  </si>
  <si>
    <t>5YJ3E1EB4KF425661</t>
  </si>
  <si>
    <t>Bakersfield, CA</t>
  </si>
  <si>
    <t>Central California</t>
  </si>
  <si>
    <t>5YJ3E1EB4KF425594</t>
  </si>
  <si>
    <t>Deep Blue Metallic Paint;20â€™â€™ Performance Wheels;All Black Premium Interior;Full Self-Driving Capability;Performance Upgrade;Carbon Fiber Spoiler;Performance Pedals;Performance Brakes;Front and Rear Heated Seats;</t>
  </si>
  <si>
    <t>5YJYGDEE2MF279033</t>
  </si>
  <si>
    <t>Pearl White Paint;19â€™â€™ Gemini Wheels;All Black Premium Interior;Full Self-Driving Capability;Five Seat Interior;Tow Hitch;Acceleration Boost;</t>
  </si>
  <si>
    <t>5YJ3E1EAXLF741302</t>
  </si>
  <si>
    <t>Pearl White Paint;19â€™â€™ Sport Wheels;Black and White Partial Premium Interior;Full Self-Driving Capability;Front and Rear Heated Seats;</t>
  </si>
  <si>
    <t>5YJ3E1EB9LF651082</t>
  </si>
  <si>
    <t>5YJXCAE44HF075899</t>
  </si>
  <si>
    <t>Pearl White Multi-Coat Paint;22" Onyx Black Wheels;White Premium Interior;Full Self-Driving Capability;Smart Air Suspension;Ultra High Fidelity Sound;HEPA Air Filtration System;Subzero Weather Package;Keyless Entry;Power Liftgate;Red Brake Calipers;Seven Seat Interior;Dark Ash Wood DÃ©cor;Dark Headliner;Infotainment Upgrade;</t>
  </si>
  <si>
    <t>7SAXCBE5XNF336403</t>
  </si>
  <si>
    <t>Model X Dual Motor All-Wheel Drive</t>
  </si>
  <si>
    <t>Pearl White Multi-Coat;22'' Turbine Wheels;Black and White Premium Interior with Walnut DÃ©cor;Full Self-Driving Capability;Six Seat Interior;Infotainment Upgrade;</t>
  </si>
  <si>
    <t>5YJSA1E21JF244281</t>
  </si>
  <si>
    <t>Deep Blue Metallic Paint;19" Silver Slipstream Wheels;Cream Premium Interior;Full Self-Driving Capability;Smart Air Suspension;Glass Roof;Keyless Entry;Power Liftgate;GPS Enabled Homelink;Figured Ash Wood DÃ©cor;Light Headliner;Infotainment Upgrade;</t>
  </si>
  <si>
    <t>5YJXCBE42KF187873</t>
  </si>
  <si>
    <t>5YJ3E1EA2LF706592</t>
  </si>
  <si>
    <t>Red Multi-Coat Paint;18â€™â€™ Aero Wheels;All Black Partial Premium Interior;Full Self-Driving Capability;Front and Rear Heated Seats;</t>
  </si>
  <si>
    <t>5YJXCBE23KF181062</t>
  </si>
  <si>
    <t>Solid Black;22" Onyx Black Wheels;All Black Premium Interior with Figured Ash Wood DÃ©cor;Full Self-Driving Capability;Six Seat Interior;Infotainment Upgrade;</t>
  </si>
  <si>
    <t>5YJ3E1EAXJF060229</t>
  </si>
  <si>
    <t>Solid Black Paint;19â€™â€™ Sport Wheels;All Black Premium Interior;Full Self-Driving Capability;Front and Rear Heated Seats;</t>
  </si>
  <si>
    <t>Chesterfield, MO</t>
  </si>
  <si>
    <t>St. Louis</t>
  </si>
  <si>
    <t>MO</t>
  </si>
  <si>
    <t>5YJSA1E62MF447476</t>
  </si>
  <si>
    <t>Midnight Silver Metallic;19" Tempest Wheels;All Black Premium Interior with Carbon Fiber DÃ©cor;Full Self-Driving Capability;Infotainment Upgrade;</t>
  </si>
  <si>
    <t>5YJ3E1EC2MF913583</t>
  </si>
  <si>
    <t>5YJ3E1EB7MF855980</t>
  </si>
  <si>
    <t>Pearl White Paint;18â€™â€™ Aero Wheels;Black and White Premium Interior;Full Self-Driving Capability;Acceleration Boost;Front and Rear Heated Seats;</t>
  </si>
  <si>
    <t>5YJ3E1EB4LF664502</t>
  </si>
  <si>
    <t>Deep Blue Metallic Paint;18â€™â€™ Aero Wheels;All Black Premium Interior;Full Self-Driving Capability;Acceleration Boost;Front and Rear Heated Seats;</t>
  </si>
  <si>
    <t>5YJSA1E61MF442186</t>
  </si>
  <si>
    <t>Solid Black;19" Tempest Wheels;Cream Premium Interior with Walnut DÃ©cor;Full Self-Driving Capability;Infotainment Upgrade;</t>
  </si>
  <si>
    <t>Jacksonville, FL</t>
  </si>
  <si>
    <t>Jacksonville</t>
  </si>
  <si>
    <t>5YJSA1E27LF414145</t>
  </si>
  <si>
    <t>5YJSA1E60MF431454</t>
  </si>
  <si>
    <t>Deep Blue Metallic;21" Arachnid Wheels;Cream Premium Interior with Walnut DÃ©cor;Full Self-Driving Capability;Infotainment Upgrade;</t>
  </si>
  <si>
    <t>5YJYGDEE2LF023344</t>
  </si>
  <si>
    <t>Solid Black Paint;20â€™â€™ Induction Wheels;Black and White Premium Interior;Full Self-Driving Capability;Five Seat Interior;Acceleration Boost;</t>
  </si>
  <si>
    <t>5YJXCDE22LF298662</t>
  </si>
  <si>
    <t>Midnight Silver Metallic;22" Onyx Black Wheels;Cream Premium Interior with Oak Wood DÃ©cor;Full Self-Driving Capability;Five Seat Interior;Infotainment Upgrade;</t>
  </si>
  <si>
    <t>Vienna, VA</t>
  </si>
  <si>
    <t>Washington DC</t>
  </si>
  <si>
    <t>VA</t>
  </si>
  <si>
    <t>5YJYGDEE6MF125618</t>
  </si>
  <si>
    <t>Pearl White Paint;20â€™â€™ Induction Wheels;All Black Premium Interior;Full Self-Driving Capability;Five Seat Interior;Acceleration Boost;</t>
  </si>
  <si>
    <t>5YJXCDE41KF196933</t>
  </si>
  <si>
    <t>Solid Black;20" Silver Wheels;All Black Premium Interior with Figured Ash Wood DÃ©cor;Full Self-Driving Capability;Ludicrous Mode;Five Seat Interior;Infotainment Upgrade;</t>
  </si>
  <si>
    <t>5YJYGDEE5MF086794</t>
  </si>
  <si>
    <t>5YJXCBE28JF127724</t>
  </si>
  <si>
    <t>Midnight Silver Metallic Paint;20" Silver Wheels;Black and White Premium Interior;Full Self-Driving Capability;Smart Air Suspension;Ultra High Fidelity Sound;HEPA Air Filtration System;Subzero Weather Package;Towing Package;Keyless Entry;Power Liftgate;Six Seat Interior;Dark Ash Wood DÃ©cor;Dark Headliner;Infotainment Upgrade;</t>
  </si>
  <si>
    <t>5YJ3E1EBXMF054542</t>
  </si>
  <si>
    <t>Denver, CO</t>
  </si>
  <si>
    <t>5YJXCDE26JF105331</t>
  </si>
  <si>
    <t>Pearl White Multi-Coat Paint;20" Silver Wheels;White Premium Interior;Full Self-Driving Capability;Smart Air Suspension;Ultra High Fidelity Sound;HEPA Air Filtration System;Subzero Weather Package;Towing Package;Keyless Entry;Power Liftgate;Five Seat Interior;Dark Ash Wood DÃ©cor;Dark Headliner;Infotainment Upgrade;</t>
  </si>
  <si>
    <t>5YJSA1E27KF306994</t>
  </si>
  <si>
    <t>Pearl White Multi-Coat Paint;19" Sonic Carbon Slipstream Wheels;All Black Premium Interior;Full Self-Driving Capability;Smart Air Suspension;Sunroof;Ultra High Fidelity Sound;HEPA Air Filtration System;Subzero Weather Package;Keyless Entry;Power Liftgate;GPS Enabled Homelink;Figured Ash Wood DÃ©cor;Dark Headliner;Infotainment Upgrade;</t>
  </si>
  <si>
    <t>5YJ3E1EB8LF662865</t>
  </si>
  <si>
    <t>5YJ3E1EA3KF402492</t>
  </si>
  <si>
    <t>5YJ3E1EB5KF231687</t>
  </si>
  <si>
    <t>Deep Blue Metallic Paint;20â€™â€™ Performance Wheels;Black and White Premium Interior;Full Self-Driving Capability;Performance Upgrade;Carbon Fiber Spoiler;Performance Pedals;Performance Brakes;Front and Rear Heated Seats;</t>
  </si>
  <si>
    <t>5YJYGDEE9MF084322</t>
  </si>
  <si>
    <t>5YJYGDEE8MF060660</t>
  </si>
  <si>
    <t>FIFE, WA</t>
  </si>
  <si>
    <t>5YJ3E1EC4LF719569</t>
  </si>
  <si>
    <t>Pearl White Paint;20â€™â€™ Gray Performance Wheels;All Black Premium Interior;Full Self-Driving Capability;Performance Upgrade;Carbon Fiber Spoiler;Performance Pedals;Performance Brakes;Front and Rear Heated Seats;</t>
  </si>
  <si>
    <t>5YJ3E1EA5KF406379</t>
  </si>
  <si>
    <t>5YJSA1E27KF335833</t>
  </si>
  <si>
    <t>Midnight Silver Metallic;19â€™â€™ Silver Wheels;Cream Premium Interior with Oak Wood DÃ©cor;Full Self-Driving Capability;Glass Roof;Infotainment Upgrade;</t>
  </si>
  <si>
    <t>5YJ3E1EA0LF657893</t>
  </si>
  <si>
    <t>5YJSA1E25JF300156</t>
  </si>
  <si>
    <t>Solid Black Paint;19" Sonic Carbon Slipstream Wheels;All Black Premium Interior;Full Self-Driving Capability;Smart Air Suspension;Glass Roof;Ultra High Fidelity Sound;HEPA Air Filtration System;Subzero Weather Package;Keyless Entry;Power Liftgate;GPS Enabled Homelink;Figured Ash Wood DÃ©cor;Dark Headliner;Infotainment Upgrade;</t>
  </si>
  <si>
    <t>Carlsbad, CA</t>
  </si>
  <si>
    <t>5YJ3E1EA8KF394874</t>
  </si>
  <si>
    <t>7SAYGDEEXNF324952</t>
  </si>
  <si>
    <t>Corte Madera, CA</t>
  </si>
  <si>
    <t>5YJ3E1EB1KF389721</t>
  </si>
  <si>
    <t>5YJXCDE23HF079507</t>
  </si>
  <si>
    <t>Pearl White Multi-Coat Paint;20" Sonic Carbon Wheels;Black Premium Interior;Full Self-Driving Capability;Smart Air Suspension;Ultra High Fidelity Sound;HEPA Air Filtration System;Subzero Weather Package;Towing Package;Keyless Entry;Power Liftgate;Five Seat Interior;Figured Ash Wood DÃ©cor;Dark Headliner;</t>
  </si>
  <si>
    <t>5YJ3E1EAXLF632032</t>
  </si>
  <si>
    <t>5YJ3E1EA2LF660164</t>
  </si>
  <si>
    <t>5YJ3E1EB9KF408502</t>
  </si>
  <si>
    <t>5YJSA1E66NF460622</t>
  </si>
  <si>
    <t>Deep Blue Metallic;21" Arachnid Wheels;Black and White Premium Interior with Carbon Fiber DÃ©cor;Full Self-Driving Capability;Infotainment Upgrade;</t>
  </si>
  <si>
    <t>5YJ3E1EB3KF487214</t>
  </si>
  <si>
    <t>5YJ3E1EB4JF116481</t>
  </si>
  <si>
    <t>5YJXCBE26LF244785</t>
  </si>
  <si>
    <t>Solid Black;20" Silver Wheels;All Black Premium Interior with Figured Ash Wood DÃ©cor;Full Self-Driving Capability;Six Seat Interior;Infotainment Upgrade;</t>
  </si>
  <si>
    <t>5YJSA1E64MF452579</t>
  </si>
  <si>
    <t>Midnight Silver Metallic;21" Arachnid Wheels;Cream Interior with Carbon Fiber Decor;Full Self-Driving Capability;Infotainment Upgrade;</t>
  </si>
  <si>
    <t>White Plains, NY</t>
  </si>
  <si>
    <t>5YJYGDEE9LF049424</t>
  </si>
  <si>
    <t>Pearl White Paint;20â€™â€™ Induction Wheels;Black and White Premium Interior;Full Self-Driving Capability;Five Seat Interior;Acceleration Boost;</t>
  </si>
  <si>
    <t>5YJ3E1EB8KF447355</t>
  </si>
  <si>
    <t>5YJSA1E21JF291262</t>
  </si>
  <si>
    <t>Midnight Silver Metallic Paint;21" Sonic Carbon Twin Turbine Wheels;All Black Premium Interior;Full Self-Driving Capability;Smart Air Suspension;Sunroof;Ultra High Fidelity Sound;HEPA Air Filtration System;Subzero Weather Package;Keyless Entry;Power Liftgate;GPS Enabled Homelink;Carbon Fiber DÃ©cor;Dark Headliner;Infotainment Upgrade;</t>
  </si>
  <si>
    <t>5YJSA1E29KF334568</t>
  </si>
  <si>
    <t>Pearl White Multi-Coat;19â€™â€™ Silver Wheels;Cream Premium Interior with Oak Wood DÃ©cor;Full Self-Driving Capability;Glass Roof;Infotainment Upgrade;</t>
  </si>
  <si>
    <t>5YJ3E1EA6KF436202</t>
  </si>
  <si>
    <t>5YJ3E1EA4KF409886</t>
  </si>
  <si>
    <t>5YJYGDEE2LF037809</t>
  </si>
  <si>
    <t>5YJ3E1EA0MF919526</t>
  </si>
  <si>
    <t>5YJSA1E66MF439347</t>
  </si>
  <si>
    <t>5YJSA1E26KF331109</t>
  </si>
  <si>
    <t>5YJYGDEE3LF024065</t>
  </si>
  <si>
    <t>Red Multi-Coat Paint;20â€™â€™ Induction Wheels;Black and White Premium Interior;Full Self-Driving Capability;Five Seat Interior;Acceleration Boost;</t>
  </si>
  <si>
    <t>KANSAS CITY, MO</t>
  </si>
  <si>
    <t>Kansas City</t>
  </si>
  <si>
    <t>5YJXCDE4XLF262333</t>
  </si>
  <si>
    <t>Deep Blue Metallic;20" Silver Wheels;Cream Premium Interior with Oak Wood DÃ©cor;Full Self-Driving Capability;Ludicrous Mode;Five Seat Interior;Infotainment Upgrade;</t>
  </si>
  <si>
    <t>LISLE, IL</t>
  </si>
  <si>
    <t>5YJ3E1EB7KF423144</t>
  </si>
  <si>
    <t>Solid Black Paint;20â€™â€™ Performance Wheels;Black and White Premium Interior;Full Self-Driving Capability;Performance Upgrade;Carbon Fiber Spoiler;Performance Pedals;Performance Brakes;Front and Rear Heated Seats;</t>
  </si>
  <si>
    <t>5YJXCBE27MF319432</t>
  </si>
  <si>
    <t>Solid Black;22" Onyx Black Wheels;Black and White Premium Interior with Dark Ash Wood DÃ©cor;Full Self-Driving Capability;Six Seat Interior;Infotainment Upgrade;</t>
  </si>
  <si>
    <t>5YJ3E1EB5KF469670</t>
  </si>
  <si>
    <t>5YJ3E1EB8KF413402</t>
  </si>
  <si>
    <t>5YJ3E1EB9KF477383</t>
  </si>
  <si>
    <t>5YJ3E1EA7LF612191</t>
  </si>
  <si>
    <t>5YJSA1E27KF332494</t>
  </si>
  <si>
    <t>Solid Black;19â€™â€™ Silver Wheels;Cream Premium Interior with Oak Wood DÃ©cor;Full Self-Driving Capability;Glass Roof;Infotainment Upgrade;</t>
  </si>
  <si>
    <t>5YJYGDEE4MF077021</t>
  </si>
  <si>
    <t>Pearl White Paint;20â€™â€™ Induction Wheels;All Black Premium Interior;Full Self-Driving Capability;Five Seat Interior;Tow Hitch;Acceleration Boost;</t>
  </si>
  <si>
    <t>5YJ3E1EB7NF129134</t>
  </si>
  <si>
    <t>Model 3 Long Range Dual Motor All-Wheel Drive</t>
  </si>
  <si>
    <t>Pomona, CA</t>
  </si>
  <si>
    <t>5YJ3E1EC7LF641790</t>
  </si>
  <si>
    <t>5YJSA1E64MF451867</t>
  </si>
  <si>
    <t>Solid Black;19" Tempest Wheels;All Black Premium Interior with Carbon Fiber DÃ©cor;Full Self-Driving Capability;Infotainment Upgrade;</t>
  </si>
  <si>
    <t>Santa Barbara, CA</t>
  </si>
  <si>
    <t>5YJXCBE46LF237515</t>
  </si>
  <si>
    <t>Solid Black;22" Onyx Black Wheels;Black and White Premium Interior with Carbon Fiber DÃ©cor;Full Self-Driving Capability;Ludicrous Mode;Six Seat Interior;Infotainment Upgrade;</t>
  </si>
  <si>
    <t>5YJ3E1EB4KF392631</t>
  </si>
  <si>
    <t>5YJ3E1EA8KF424505</t>
  </si>
  <si>
    <t>5YJSA1E56MF456298</t>
  </si>
  <si>
    <t>Pearl White Multi-Coat;21" Arachnid Wheels;Black and White Premium Interior with Walnut DÃ©cor;Full Self-Driving Capability;Infotainment Upgrade;</t>
  </si>
  <si>
    <t>5YJSA1E24HF213097</t>
  </si>
  <si>
    <t>Midnight Silver Metallic Paint;19" Silver Slipstream Wheels;Cream Premium Interior;Full Self-Driving Capability;Smart Air Suspension;Sunroof;Ultra High Fidelity Sound;HEPA Air Filtration System;Subzero Weather Package;Keyless Entry;Power Liftgate;GPS Enabled Homelink;Figured Ash Wood DÃ©cor;Light Headliner;Infotainment Upgrade;</t>
  </si>
  <si>
    <t>5YJXCBE41KF211984</t>
  </si>
  <si>
    <t>5YJYGDEEXLF026671</t>
  </si>
  <si>
    <t>Solid Black Paint;19â€™â€™ Gemini Wheels;All Black Premium Interior;Full Self-Driving Capability;Five Seat Interior;Acceleration Boost;</t>
  </si>
  <si>
    <t>5YJYGDEE9LF059628</t>
  </si>
  <si>
    <t>Midnight Silver Metallic Paint;20â€™â€™ Induction Wheels;All Black Premium Interior;Full Self-Driving Capability;Five Seat Interior;Tow Hitch;Acceleration Boost;</t>
  </si>
  <si>
    <t>5YJSA1E25KF348760</t>
  </si>
  <si>
    <t>Midnight Silver Metallic;19â€™â€™ Silver Wheels;Black and White Premium Interior with Dark Ash Wood DÃ©cor;Full Self-Driving Capability;Glass Roof;Infotainment Upgrade;</t>
  </si>
  <si>
    <t>5YJ3E1EA3LF745899</t>
  </si>
  <si>
    <t>5YJSA1E21GF158980</t>
  </si>
  <si>
    <t>Deep Blue Metallic Paint;19" Silver Slipstream Wheels;Tan Next Generation Seats;Autopilot with convenience features;Sunroof;HEPA Air Filtration System;Keyless Entry;Power Liftgate;GPS Enabled Homelink;Figured Ash Wood DÃ©cor;Integrated Center Console;Black Headliner;</t>
  </si>
  <si>
    <t>5YJ3E1EA3LF703166</t>
  </si>
  <si>
    <t>5YJ3E1EA9KF417059</t>
  </si>
  <si>
    <t>Solid Black Paint;19â€™â€™ Sport Wheels;All Black Partial Premium Interior;Full Self-Driving Capability;Front and Rear Heated Seats;</t>
  </si>
  <si>
    <t>5YJ3E1EA1LF590849</t>
  </si>
  <si>
    <t>Midnight Silver Metallic Paint;19â€™â€™ Sport Wheels;All Black Partial Premium Interior;Full Self-Driving Capability;Front and Rear Heated Seats;</t>
  </si>
  <si>
    <t>5YJYGDEF3MF197448</t>
  </si>
  <si>
    <t>Solid Black Paint;21â€™â€™ Ãœberturbine Wheels;All Black Premium Interior;Full Self-Driving Capability;Performance Upgrade;Five Seat Interior;Carbon Fiber Spoiler;Performance Pedals;Performance Brakes;</t>
  </si>
  <si>
    <t>5YJXCBE24KF196203</t>
  </si>
  <si>
    <t>5YJ3E1EB6KF432773</t>
  </si>
  <si>
    <t>Midnight Silver Metallic Paint;18â€™â€™ Aero Wheels;All Black Premium Interior;Full Self-Driving Capability;Front and Rear Heated Seats;</t>
  </si>
  <si>
    <t>5YJ3E1EA1KF398538</t>
  </si>
  <si>
    <t>Indianapolis, IN</t>
  </si>
  <si>
    <t>Indianapolis</t>
  </si>
  <si>
    <t>IN</t>
  </si>
  <si>
    <t>5YJXCDE21LF249369</t>
  </si>
  <si>
    <t>Solid Black;22" Onyx Black Wheels;Cream Premium Interior with Oak Wood DÃ©cor;Full Self-Driving Capability;Five Seat Interior;Infotainment Upgrade;</t>
  </si>
  <si>
    <t>5YJYGDEEXLF036892</t>
  </si>
  <si>
    <t>5YJSA1E27KF308809</t>
  </si>
  <si>
    <t>Midnight Silver Metallic Paint;19" Silver Slipstream Wheels;All Black Premium Interior;Full Self-Driving Capability;Smart Air Suspension;Glass Roof;Ultra High Fidelity Sound;HEPA Air Filtration System;Subzero Weather Package;Keyless Entry;Power Liftgate;GPS Enabled Homelink;Figured Ash Wood DÃ©cor;Dark Headliner;Infotainment Upgrade;</t>
  </si>
  <si>
    <t>5YJSA1E66MF438067</t>
  </si>
  <si>
    <t>Solid Black;21" Arachnid Wheels;All Black Premium Interior with Ebony DÃ©cor;Full Self-Driving Capability;Infotainment Upgrade;</t>
  </si>
  <si>
    <t>5YJ3E1EA5KF400288</t>
  </si>
  <si>
    <t>5YJ3E1EB3KF413727</t>
  </si>
  <si>
    <t>Midnight Silver Metallic Paint;20â€™â€™ Performance Wheels;Black and White Premium Interior;Full Self-Driving Capability;Performance Upgrade;Carbon Fiber Spoiler;Performance Pedals;Performance Brakes;Front and Rear Heated Seats;</t>
  </si>
  <si>
    <t>5YJSA1E53MF438843</t>
  </si>
  <si>
    <t>Midnight Silver Metallic;21" Arachnid Wheels;All Black Premium Interior with Ebony DÃ©cor;Full Self-Driving Capability;Infotainment Upgrade;</t>
  </si>
  <si>
    <t>5YJSA1E59MF433467</t>
  </si>
  <si>
    <t>5YJSA1E66MF430969</t>
  </si>
  <si>
    <t>Deep Blue Metallic;21" Arachnid Wheels;All Black Premium Interior with Ebony DÃ©cor;Full Self-Driving Capability;Infotainment Upgrade;</t>
  </si>
  <si>
    <t>5YJ3E1EAXKF311221</t>
  </si>
  <si>
    <t>5YJ3E1EC5LF714333</t>
  </si>
  <si>
    <t>5YJ3E1EB0LF666926</t>
  </si>
  <si>
    <t>Solid Black Paint;19â€™â€™ Sport Wheels;All Black Premium Interior;Full Self-Driving Capability;Acceleration Boost;Front and Rear Heated Seats;</t>
  </si>
  <si>
    <t>5YJXCAE2XJF100972</t>
  </si>
  <si>
    <t>Pearl White Multi-Coat Paint;20" Silver Wheels;Black Premium Interior;Full Self-Driving Capability;Smart Air Suspension;Ultra High Fidelity Sound;HEPA Air Filtration System;Subzero Weather Package;Towing Package;Keyless Entry;Power Liftgate;Seven Seat Interior;Figured Ash Wood DÃ©cor;Light Headliner;Infotainment Upgrade;</t>
  </si>
  <si>
    <t>5YJ3E1EB1JF133562</t>
  </si>
  <si>
    <t>7SAYGDEF0NF317677</t>
  </si>
  <si>
    <t>5YJYGDEE1MF111903</t>
  </si>
  <si>
    <t>Red Multi-Coat Paint;20â€™â€™ Induction Wheels;All Black Premium Interior;Full Self-Driving Capability;Five Seat Interior;Acceleration Boost;</t>
  </si>
  <si>
    <t>5YJYGDED1MF181389</t>
  </si>
  <si>
    <t>Solid Black Paint;19â€™â€™ Gemini Wheels;Black and White Premium Interior;Full Self-Driving Capability;Five Seat Interior;</t>
  </si>
  <si>
    <t>5YJ3E1EC3MF049191</t>
  </si>
  <si>
    <t>5YJ3E1EB6KF486946</t>
  </si>
  <si>
    <t>5YJ3E1EA8KF482596</t>
  </si>
  <si>
    <t>5YJSA1E22JF283462</t>
  </si>
  <si>
    <t>Midnight Silver Metallic Paint;19" Sonic Carbon Slipstream Wheels;Cream Premium Interior;Full Self-Driving Capability;Smart Air Suspension;Sunroof;Ultra High Fidelity Sound;HEPA Air Filtration System;Subzero Weather Package;Keyless Entry;Power Liftgate;GPS Enabled Homelink;Oak DÃ©cor;Light Headliner;Infotainment Upgrade;</t>
  </si>
  <si>
    <t>5YJ3E1EB6KF385292</t>
  </si>
  <si>
    <t>Solid Black Paint;18â€™â€™ Aero Wheels;All Black Premium Interior;Full Self-Driving Capability;Front and Rear Heated Seats;</t>
  </si>
  <si>
    <t>Brentwood, TN</t>
  </si>
  <si>
    <t>Nashville</t>
  </si>
  <si>
    <t>TN</t>
  </si>
  <si>
    <t>5YJ3E1EB8KF486978</t>
  </si>
  <si>
    <t>5YJ3E1EA1JF038085</t>
  </si>
  <si>
    <t>Red Multi-Coat Paint;18â€™â€™ Aero Wheels;All Black Premium Interior;Full Self-Driving Capability;Front and Rear Heated Seats;</t>
  </si>
  <si>
    <t>5YJ3E1EB7KF425590</t>
  </si>
  <si>
    <t>5YJ3E1EA8KF416047</t>
  </si>
  <si>
    <t>5YJ3E1EB3LF622497</t>
  </si>
  <si>
    <t>5YJXCAE26JF138540</t>
  </si>
  <si>
    <t>Midnight Silver Metallic Paint;22" Onyx Black Wheels;All Black Premium Interior;Full Self-Driving Capability;Smart Air Suspension;Ultra High Fidelity Sound;HEPA Air Filtration System;Subzero Weather Package;Towing Package;Keyless Entry;Power Liftgate;Seven Seat Interior;Carbon Fiber DÃ©cor;Dark Headliner;Infotainment Upgrade;</t>
  </si>
  <si>
    <t>5YJXCDE25JF120337</t>
  </si>
  <si>
    <t>Red Multi-Coat Paint;20" Silver Wheels;All Black Premium Interior;Full Self-Driving Capability;Smart Air Suspension;Ultra High Fidelity Sound;HEPA Air Filtration System;Subzero Weather Package;Towing Package;Keyless Entry;Power Liftgate;Five Seat Interior;Figured Ash Wood DÃ©cor;Dark Headliner;Infotainment Upgrade;</t>
  </si>
  <si>
    <t>7SAXCBE63NF333397</t>
  </si>
  <si>
    <t>Midnight Silver Metallic;22'' Turbine Wheels;Cream Interior with Carbon Fiber Decor;Full Self-Driving Capability;Six Seat Interior;Infotainment Upgrade;</t>
  </si>
  <si>
    <t>5YJYGDEE3MF084347</t>
  </si>
  <si>
    <t>5YJYGDEE1MF069197</t>
  </si>
  <si>
    <t>5YJSA1E64MF441226</t>
  </si>
  <si>
    <t>Solid Black;21" Arachnid Wheels;All Black Premium Interior with Carbon Fiber DÃ©cor;Full Self-Driving Capability;Infotainment Upgrade;</t>
  </si>
  <si>
    <t>5YJ3E1EB9KF419936</t>
  </si>
  <si>
    <t>Santa Ana, CA</t>
  </si>
  <si>
    <t>5YJYGDEE8LF058308</t>
  </si>
  <si>
    <t>5YJYGDEE2MF217485</t>
  </si>
  <si>
    <t>5YJ3E1EA1KF410459</t>
  </si>
  <si>
    <t>5YJ3E1EA0KF397851</t>
  </si>
  <si>
    <t>5YJSA1E53NF479331</t>
  </si>
  <si>
    <t>Model S Dual Motor All-Wheel Drive</t>
  </si>
  <si>
    <t>Solid Black;19" Tempest Wheels;All Black Premium Interior with Ebony DÃ©cor;Full Self-Driving Capability;Infotainment Upgrade;</t>
  </si>
  <si>
    <t>5YJSA1E67NF462945</t>
  </si>
  <si>
    <t>Tempe, AZ</t>
  </si>
  <si>
    <t>5YJXCDE2XJF089358</t>
  </si>
  <si>
    <t>Silver Metallic Paint;20" Silver Wheels;Black Textile Interior;Full Self-Driving Capability;Smart Air Suspension;Towing Package;Keyless Entry;Power Liftgate;Five Seat Interior;Dark Ash Wood DÃ©cor;Dark Headliner;Infotainment Upgrade;</t>
  </si>
  <si>
    <t>5YJYGDEE4MF204043</t>
  </si>
  <si>
    <t>Solid Black Paint;20â€™â€™ Induction Wheels;All Black Premium Interior;Full Self-Driving Capability;Five Seat Interior;Acceleration Boost;</t>
  </si>
  <si>
    <t>5YJ3E1EB1KF438772</t>
  </si>
  <si>
    <t>Schaumburg, IL</t>
  </si>
  <si>
    <t>5YJXCBE43KF183623</t>
  </si>
  <si>
    <t>Red Multi-Coat;20" Silver Wheels;Cream Premium Interior with Oak Wood DÃ©cor;Full Self-Driving Capability;Ludicrous Mode;Six Seat Interior;Infotainment Upgrade;</t>
  </si>
  <si>
    <t>5YJYGDEE6LF032418</t>
  </si>
  <si>
    <t>Midnight Silver Metallic Paint;19â€™â€™ Gemini Wheels;Black and White Premium Interior;Full Self-Driving Capability;Five Seat Interior;Acceleration Boost;</t>
  </si>
  <si>
    <t>5YJSA1E4XKF330899</t>
  </si>
  <si>
    <t>Pearl White Multi-Coat;19â€™â€™ Silver Wheels;Cream Premium Interior with Oak Wood DÃ©cor;Full Self-Driving Capability;Ludicrous Mode;Glass Roof;Infotainment Upgrade;</t>
  </si>
  <si>
    <t>5YJ3E1EAXKF445047</t>
  </si>
  <si>
    <t>5YJ3E1EA1JF050964</t>
  </si>
  <si>
    <t>5YJ3E1EA2KF307499</t>
  </si>
  <si>
    <t>5YJYGDEE6MF073763</t>
  </si>
  <si>
    <t>Deep Blue Metallic Paint;20â€™â€™ Induction Wheels;All Black Premium Interior;Full Self-Driving Capability;Five Seat Interior;Acceleration Boost;</t>
  </si>
  <si>
    <t>5YJXCDE22JF089760</t>
  </si>
  <si>
    <t>Solid Black Paint;20" Silver Wheels;Black Premium Interior;Full Self-Driving Capability;Smart Air Suspension;Ultra High Fidelity Sound;HEPA Air Filtration System;Subzero Weather Package;Towing Package;Keyless Entry;Power Liftgate;Five Seat Interior;Figured Ash Wood DÃ©cor;Dark Headliner;Infotainment Upgrade;</t>
  </si>
  <si>
    <t>5YJ3E1EA0JF007636</t>
  </si>
  <si>
    <t>5YJSA1E25JF291877</t>
  </si>
  <si>
    <t>Midnight Silver Metallic Paint;19" Silver Slipstream Wheels;Cream Premium Interior;Full Self-Driving Capability;Smart Air Suspension;Sunroof;Ultra High Fidelity Sound;HEPA Air Filtration System;Subzero Weather Package;Keyless Entry;Power Liftgate;GPS Enabled Homelink;Carbon Fiber DÃ©cor;Light Headliner;Infotainment Upgrade;</t>
  </si>
  <si>
    <t>5YJ3E1EBXKF385375</t>
  </si>
  <si>
    <t>5YJXCDE20JF112713</t>
  </si>
  <si>
    <t>Pearl White Multi-Coat Paint;20" Silver Wheels;Black Textile Interior;Full Self-Driving Capability;Smart Air Suspension;Keyless Entry;Power Liftgate;Five Seat Interior;Dark Ash Wood DÃ©cor;Dark Headliner;Infotainment Upgrade;</t>
  </si>
  <si>
    <t>5YJ3E1EA0JF171288</t>
  </si>
  <si>
    <t>Model 3 Mid Range Rear-Wheel Drive</t>
  </si>
  <si>
    <t>5YJ3E1EB3MF070274</t>
  </si>
  <si>
    <t>Solid Black Paint;19â€™â€™ Sport Wheels;Black and White Premium Interior;Full Self-Driving Capability;Acceleration Boost;Front and Rear Heated Seats;</t>
  </si>
  <si>
    <t>5YJXCDE24JF142572</t>
  </si>
  <si>
    <t>Solid Black Paint;20" Sonic Carbon Wheels;Cream Premium Interior;Full Self-Driving Capability;Smart Air Suspension;Ultra High Fidelity Sound;HEPA Air Filtration System;Subzero Weather Package;Towing Package;Keyless Entry;Power Liftgate;Five Seat Interior;Oak DÃ©cor;Light Headliner;Infotainment Upgrade;</t>
  </si>
  <si>
    <t>5YJ3E1EA0KF337536</t>
  </si>
  <si>
    <t>5YJ3E1EA0KF317884</t>
  </si>
  <si>
    <t>5YJ3E1EA0KF395274</t>
  </si>
  <si>
    <t>5YJXCDE27LF230955</t>
  </si>
  <si>
    <t>Pearl White Multi-Coat;20" Silver Wheels;All Black Premium Interior with Figured Ash Wood DÃ©cor;Full Self-Driving Capability;Five Seat Interior;Infotainment Upgrade;</t>
  </si>
  <si>
    <t>5YJYGDEE1LF015428</t>
  </si>
  <si>
    <t>5YJXCBE44KF180424</t>
  </si>
  <si>
    <t>Deep Blue Metallic;Black and White Premium Interior with Dark Ash Wood DÃ©cor;Full Self-Driving Capability;Ludicrous Mode;Six Seat Interior;Infotainment Upgrade;</t>
  </si>
  <si>
    <t>5YJ3E1EB7MF072738</t>
  </si>
  <si>
    <t>Pearl White Paint;19â€™â€™ Sport Wheels;Black and White Premium Interior;Full Self-Driving Capability;Acceleration Boost;Front and Rear Heated Seats;</t>
  </si>
  <si>
    <t>5YJXCBE44MF323133</t>
  </si>
  <si>
    <t>Solid Black;22" Onyx Black Wheels;All Black Premium Interior with Carbon Fiber DÃ©cor;Full Self-Driving Capability;Ludicrous Mode;Six Seat Interior;Infotainment Upgrade;</t>
  </si>
  <si>
    <t>5YJ3E1EC2LF714225</t>
  </si>
  <si>
    <t>5YJYGDEF1LF002266</t>
  </si>
  <si>
    <t>5YJ3E1EC9LF736271</t>
  </si>
  <si>
    <t>5YJXCBE25JF142746</t>
  </si>
  <si>
    <t>Solid Black Paint;20" Silver Wheels;All Black Premium Interior;Full Self-Driving Capability;Smart Air Suspension;Ultra High Fidelity Sound;HEPA Air Filtration System;Subzero Weather Package;Towing Package;Keyless Entry;Power Liftgate;Six Seat Interior;Figured Ash Wood DÃ©cor;Dark Headliner;Infotainment Upgrade;</t>
  </si>
  <si>
    <t>5YJ3E1EBXKF469521</t>
  </si>
  <si>
    <t>5YJXCBE49KF197171</t>
  </si>
  <si>
    <t>Pearl White Multi-Coat;20" Silver Wheels;Black and White Premium Interior with Carbon Fiber DÃ©cor;Full Self-Driving Capability;Ludicrous Mode;Six Seat Interior;Infotainment Upgrade;</t>
  </si>
  <si>
    <t>5YJ3E1EA4MF070677</t>
  </si>
  <si>
    <t>5YJYGDEE4LF033325</t>
  </si>
  <si>
    <t>5YJSA1E64MF437144</t>
  </si>
  <si>
    <t>Pearl White Multi-Coat;21" Arachnid Wheels;All Black Premium Interior with Ebony DÃ©cor;Full Self-Driving Capability;Infotainment Upgrade;</t>
  </si>
  <si>
    <t>5YJ3E1EA3KF436173</t>
  </si>
  <si>
    <t>5YJYGDEE8MF174237</t>
  </si>
  <si>
    <t>5YJ3E1EC7LF623757</t>
  </si>
  <si>
    <t>Midnight Silver Metallic Paint;20â€™â€™ Gray Performance Wheels;All Black Premium Interior;Full Self-Driving Capability;Performance Upgrade;Carbon Fiber Spoiler;Performance Pedals;Performance Brakes;Front and Rear Heated Seats;</t>
  </si>
  <si>
    <t>5YJ3E1EC6MF936252</t>
  </si>
  <si>
    <t>Midnight Silver Metallic Paint;20â€™â€™ Ãœberturbine Wheels;Black and White Premium Interior;Full Self-Driving Capability;Performance Upgrade;Carbon Fiber Spoiler;Performance Pedals;Performance Brakes;Front and Rear Heated Seats;</t>
  </si>
  <si>
    <t>5YJYGDEE4LF010966</t>
  </si>
  <si>
    <t>5YJ3E1EA2LF613863</t>
  </si>
  <si>
    <t>5YJYGDEF0MF246668</t>
  </si>
  <si>
    <t>Red Multi-Coat Paint;21â€™â€™ Ãœberturbine Wheels;Black and White Premium Interior;Full Self-Driving Capability;Performance Upgrade;Five Seat Interior;Carbon Fiber Spoiler;Performance Pedals;Performance Brakes;</t>
  </si>
  <si>
    <t>5YJYGDEE9MF261807</t>
  </si>
  <si>
    <t>5YJYGDEE6LF048201</t>
  </si>
  <si>
    <t>5YJ3E1EB4KF393729</t>
  </si>
  <si>
    <t>5YJSA1E64MF451433</t>
  </si>
  <si>
    <t>Pearl White Multi-Coat;21" Arachnid Wheels;Black and White Premium Interior with Carbon Fiber DÃ©cor;Full Self-Driving Capability;Infotainment Upgrade;</t>
  </si>
  <si>
    <t>Elk Grove Village, IL</t>
  </si>
  <si>
    <t>5YJSA1E51MF429624</t>
  </si>
  <si>
    <t>Deep Blue Metallic;19" Tempest Wheels;Cream Premium Interior with Walnut DÃ©cor;Full Self-Driving Capability;Infotainment Upgrade;</t>
  </si>
  <si>
    <t>5YJ3E1EB6LF599622</t>
  </si>
  <si>
    <t>5YJ3E1EB0JF181229</t>
  </si>
  <si>
    <t>5YJ3E1EA4KF326782</t>
  </si>
  <si>
    <t>5YJYGDEE8MF240379</t>
  </si>
  <si>
    <t>Deep Blue Metallic Paint;20â€™â€™ Induction Wheels;Black and White Premium Interior;Full Self-Driving Capability;Five Seat Interior;Acceleration Boost;</t>
  </si>
  <si>
    <t>5YJ3E1EC6NF175756</t>
  </si>
  <si>
    <t>5YJSA1E25KF332543</t>
  </si>
  <si>
    <t>Solid Black;19" Sonic Carbon Slipstream Wheels;All Black Premium Interior with Figured Ash Wood DÃ©cor;Full Self-Driving Capability;Glass Roof;Infotainment Upgrade;</t>
  </si>
  <si>
    <t>Blue Ash, OH</t>
  </si>
  <si>
    <t>Cincinnati</t>
  </si>
  <si>
    <t>5YJ3E1EA2JF025703</t>
  </si>
  <si>
    <t>5YJXCAE43LF283099</t>
  </si>
  <si>
    <t>Solid Black;20" Silver Wheels;Black and White Premium Interior with Carbon Fiber DÃ©cor;Full Self-Driving Capability;Ludicrous Mode;Seven Seat Interior;Infotainment Upgrade;</t>
  </si>
  <si>
    <t>5YJ3E1EA1KF302679</t>
  </si>
  <si>
    <t>Midnight Silver Metallic Paint;19â€™â€™ Sport Wheels;Black and White Partial Premium Interior;Full Self-Driving Capability;Front and Rear Heated Seats;</t>
  </si>
  <si>
    <t>5YJ3E1ECXLF586820</t>
  </si>
  <si>
    <t>Deep Blue Metallic Paint;19â€™â€™ Sport Wheels;All Black Premium Interior;Full Self-Driving Capability;Front and Rear Heated Seats;</t>
  </si>
  <si>
    <t>Glen Allen, VA</t>
  </si>
  <si>
    <t>Richmond</t>
  </si>
  <si>
    <t>5YJYGAEE0MF196165</t>
  </si>
  <si>
    <t>Deep Blue Metallic Paint;19â€™â€™ Gemini Wheels;All Black Premium Interior;Full Self-Driving Capability;Seven Seat Interior;Tow Hitch;Acceleration Boost;</t>
  </si>
  <si>
    <t>5YJ3E1EA5KF486847</t>
  </si>
  <si>
    <t>5YJ3E1EC8MF056556</t>
  </si>
  <si>
    <t>Pearl White Paint;20â€™â€™ Ãœberturbine Wheels;Black and White Premium Interior;Full Self-Driving Capability;Performance Upgrade;Carbon Fiber Spoiler;Performance Pedals;Performance Brakes;Front and Rear Heated Seats;</t>
  </si>
  <si>
    <t>5YJ3E1EB3JF103303</t>
  </si>
  <si>
    <t>5YJYGDEF7MF269767</t>
  </si>
  <si>
    <t>Midnight Silver Metallic Paint;21â€™â€™ Ãœberturbine Wheels;Black and White Premium Interior;Full Self-Driving Capability;Performance Upgrade;Five Seat Interior;Carbon Fiber Spoiler;Performance Pedals;Performance Brakes;</t>
  </si>
  <si>
    <t>5YJXCBE26JF103681</t>
  </si>
  <si>
    <t>Pearl White Multi-Coat Paint;22" Onyx Black Wheels;Black Textile Interior;Full Self-Driving Capability;Smart Air Suspension;Ultra High Fidelity Sound;HEPA Air Filtration System;Subzero Weather Package;Towing Package;Keyless Entry;Power Liftgate;Six Seat Interior;Dark Ash Wood DÃ©cor;Dark Headliner;Infotainment Upgrade;</t>
  </si>
  <si>
    <t>SAN RAFAEL, CA</t>
  </si>
  <si>
    <t>5YJSA1E64MF443719</t>
  </si>
  <si>
    <t>Red Multi-Coat;19" Tempest Wheels;Cream Interior with Carbon Fiber Decor;Full Self-Driving Capability;Infotainment Upgrade;</t>
  </si>
  <si>
    <t>5YJSA1E2XLF360484</t>
  </si>
  <si>
    <t>Midnight Silver Metallic;19â€™â€™ Silver Wheels;All Black Premium Interior with Figured Ash Wood DÃ©cor;Full Self-Driving Capability;Glass Roof;Infotainment Upgrade;</t>
  </si>
  <si>
    <t>5YJSA1E25JF291149</t>
  </si>
  <si>
    <t>Solid Black Paint;21" Sonic Carbon Twin Turbine Wheels;All Black Premium Interior;Full Self-Driving Capability;Smart Air Suspension;Sunroof;Ultra High Fidelity Sound;HEPA Air Filtration System;Subzero Weather Package;Keyless Entry;Power Liftgate;GPS Enabled Homelink;Carbon Fiber DÃ©cor;Dark Headliner;Infotainment Upgrade;</t>
  </si>
  <si>
    <t>5YJSA1E60MF455866</t>
  </si>
  <si>
    <t>5YJXCDE44JF141956</t>
  </si>
  <si>
    <t>Pearl White Multi-Coat Paint;20" Silver Wheels;Black and White Premium Interior;Full Self-Driving Capability;Smart Air Suspension;Ultra High Fidelity Sound;HEPA Air Filtration System;Subzero Weather Package;Towing Package;Keyless Entry;Power Liftgate;Red Brake Calipers;Five Seat Interior;Dark Ash Wood DÃ©cor;Dark Headliner;Infotainment Upgrade;</t>
  </si>
  <si>
    <t>5YJSA1E25KF332817</t>
  </si>
  <si>
    <t>5YJ3E1EB4JF088584</t>
  </si>
  <si>
    <t>5YJYGAEE1MF144544</t>
  </si>
  <si>
    <t>Deep Blue Metallic Paint;20â€™â€™ Induction Wheels;Black and White Premium Interior;Full Self-Driving Capability;Seven Seat Interior;Acceleration Boost;</t>
  </si>
  <si>
    <t>5YJXCBE43LF300196</t>
  </si>
  <si>
    <t>Midnight Silver Metallic;22" Onyx Black Wheels;All Black Premium Interior with Carbon Fiber DÃ©cor;Full Self-Driving Capability;Ludicrous Mode;Six Seat Interior;Infotainment Upgrade;</t>
  </si>
  <si>
    <t>5YJ3E1EA0JF165085</t>
  </si>
  <si>
    <t>Pearl White Paint;19â€™â€™ Sport Wheels;All Black Premium Interior;Full Self-Driving Capability;Front and Rear Heated Seats;</t>
  </si>
  <si>
    <t>5YJ3E1EB6KF432708</t>
  </si>
  <si>
    <t>5YJ3E1EB1KF440490</t>
  </si>
  <si>
    <t>5YJ3E1EC3LF602260</t>
  </si>
  <si>
    <t>5YJXCDE20JF104126</t>
  </si>
  <si>
    <t>Solid Black Paint;20" Silver Wheels;White Premium Interior;Full Self-Driving Capability;Smart Air Suspension;Towing Package;Keyless Entry;Power Liftgate;Five Seat Interior;Dark Ash Wood DÃ©cor;Dark Headliner;Infotainment Upgrade;</t>
  </si>
  <si>
    <t>5YJYGDEF0LF038918</t>
  </si>
  <si>
    <t>Midnight Silver Metallic Paint;20â€™â€™ Induction Wheels;All Black Premium Interior;Full Self-Driving Capability;Five Seat Interior;Carbon Fiber Spoiler;</t>
  </si>
  <si>
    <t>5YJSA1E57MF440207</t>
  </si>
  <si>
    <t>Pearl White Multi-Coat;19" Tempest Wheels;All Black Premium Interior with Ebony DÃ©cor;Full Self-Driving Capability;Infotainment Upgrade;</t>
  </si>
  <si>
    <t>5YJ3E1EA8MF018999</t>
  </si>
  <si>
    <t>7SAYGDEF9NF377151</t>
  </si>
  <si>
    <t>Red Multi-Coat Paint;21â€™â€™ Ãœberturbine Wheels;Black and White Premium Interior;Full Self-Driving Capability;Performance Upgrade;Five Seat Interior;Tow Hitch;Carbon Fiber Spoiler;Performance Pedals;Performance Brakes;</t>
  </si>
  <si>
    <t>5YJ3E1EA2KF449416</t>
  </si>
  <si>
    <t>5YJ3E1EB9KF422139</t>
  </si>
  <si>
    <t>5YJ3E1EAXKF331498</t>
  </si>
  <si>
    <t>5YJSA1E69MF451928</t>
  </si>
  <si>
    <t>5YJ3E1EA1KF422742</t>
  </si>
  <si>
    <t>5YJ3E1EA4NF117756</t>
  </si>
  <si>
    <t>Model 3 Rear-Wheel Drive</t>
  </si>
  <si>
    <t>5YJXCAE27GF027116</t>
  </si>
  <si>
    <t>Pearl White Multi-Coat Paint;22" Silver Turbine Wheels;Black Leather Seats;Full Self-Driving Capability;Smart Air Suspension;HEPA Air Filtration System;Towing Package;Keyless Entry;Power Liftgate;Seven Seat Interior;Dark Ash Wood DÃ©cor;Black Headliner;Infotainment Upgrade;</t>
  </si>
  <si>
    <t>5YJSA1E21KF302178</t>
  </si>
  <si>
    <t>Midnight Silver Metallic Paint;19" Silver Slipstream Wheels;All Black Premium Interior;Full Self-Driving Capability;Smart Air Suspension;Glass Roof;Ultra High Fidelity Sound;HEPA Air Filtration System;Subzero Weather Package;Keyless Entry;Power Liftgate;GPS Enabled Homelink;Carbon Fiber DÃ©cor;Dark Headliner;Infotainment Upgrade;</t>
  </si>
  <si>
    <t>5YJ3E1EB3MF965361</t>
  </si>
  <si>
    <t>5YJSA1E27JF284865</t>
  </si>
  <si>
    <t>Deep Blue Metallic Paint;19" Sonic Carbon Slipstream Wheels;All Black Premium Interior;Full Self-Driving Capability;Smart Air Suspension;Sunroof;Ultra High Fidelity Sound;HEPA Air Filtration System;Subzero Weather Package;Keyless Entry;Power Liftgate;GPS Enabled Homelink;Figured Ash Wood DÃ©cor;Dark Headliner;Infotainment Upgrade;</t>
  </si>
  <si>
    <t>Dedham, MA</t>
  </si>
  <si>
    <t>5YJ3E1EC5LF713442</t>
  </si>
  <si>
    <t>5YJ3E1EA4KF401917</t>
  </si>
  <si>
    <t>5YJXCBE25JF139278</t>
  </si>
  <si>
    <t>Solid Black Paint;20" Silver Wheels;Cream Premium Interior;Full Self-Driving Capability;Smart Air Suspension;Ultra High Fidelity Sound;HEPA Air Filtration System;Subzero Weather Package;Towing Package;Keyless Entry;Power Liftgate;Six Seat Interior;Oak DÃ©cor;Light Headliner;Infotainment Upgrade;</t>
  </si>
  <si>
    <t>5YJ3E1EAXKF352738</t>
  </si>
  <si>
    <t>5YJYGDEF2MF079116</t>
  </si>
  <si>
    <t>Owings Mills, MD</t>
  </si>
  <si>
    <t>5YJ3E1EA6JF050359</t>
  </si>
  <si>
    <t>5YJSA1E62MF451298</t>
  </si>
  <si>
    <t>Deep Blue Metallic;19" Tempest Wheels;All Black Premium Interior with Carbon Fiber DÃ©cor;Full Self-Driving Capability;Infotainment Upgrade;</t>
  </si>
  <si>
    <t>5YJ3E1EA9LF590355</t>
  </si>
  <si>
    <t>Springfield, NJ</t>
  </si>
  <si>
    <t>5YJ3E1EB4LF638921</t>
  </si>
  <si>
    <t>Solid Black Paint;18â€™â€™ Aero Wheels;Black and White Premium Interior;Full Self-Driving Capability;Acceleration Boost;Front and Rear Heated Seats;</t>
  </si>
  <si>
    <t>5YJ3E1EA8KF486518</t>
  </si>
  <si>
    <t>5YJ3E1EA0LF599042</t>
  </si>
  <si>
    <t>5YJ3E1EA9KF427154</t>
  </si>
  <si>
    <t>Deep Blue Metallic Paint;18â€™â€™ Aero Wheels;All Black Partial Premium Interior;Full Self-Driving Capability;Front and Rear Heated Seats;</t>
  </si>
  <si>
    <t>5YJ3E1EA1KF417024</t>
  </si>
  <si>
    <t>5YJ3E1EA0KF413093</t>
  </si>
  <si>
    <t>5YJ3E1EA4KF484023</t>
  </si>
  <si>
    <t>5YJ3E1EA1KF398801</t>
  </si>
  <si>
    <t>NESCONSET, NY</t>
  </si>
  <si>
    <t>Long Island</t>
  </si>
  <si>
    <t>5YJ3E1EA9KF436114</t>
  </si>
  <si>
    <t>5YJ3E1EA9KF413237</t>
  </si>
  <si>
    <t>5YJ3E1EA0KF413160</t>
  </si>
  <si>
    <t>EATONTOWN, NJ</t>
  </si>
  <si>
    <t>5YJXCBE41JF125458</t>
  </si>
  <si>
    <t>Solid Black Paint;20" Sonic Carbon Wheels;All Black Premium Interior;Full Self-Driving Capability;Smart Air Suspension;Ultra High Fidelity Sound;HEPA Air Filtration System;Subzero Weather Package;Towing Package;Keyless Entry;Power Liftgate;Red Brake Calipers;Six Seat Interior;Figured Ash Wood DÃ©cor;Dark Headliner;Infotainment Upgrade;</t>
  </si>
  <si>
    <t>5YJ3E1EA7KF476210</t>
  </si>
  <si>
    <t>5YJXCBE22KF184972</t>
  </si>
  <si>
    <t>5YJ3E1EA4KF357515</t>
  </si>
  <si>
    <t>5YJYGDEF4LF001161</t>
  </si>
  <si>
    <t>5YJSA1E26JF244678</t>
  </si>
  <si>
    <t>Solid Black Paint;19" Silver Slipstream Wheels;Black Textile Interior;Full Self-Driving Capability;Smart Air Suspension;Glass Roof;Ultra High Fidelity Sound;HEPA Air Filtration System;Subzero Weather Package;Keyless Entry;Power Liftgate;GPS Enabled Homelink;Dark Ash Wood DÃ©cor;Dark Headliner;</t>
  </si>
  <si>
    <t>5YJSA1E6XNF472742</t>
  </si>
  <si>
    <t>5YJXCDE25MF322213</t>
  </si>
  <si>
    <t>Pearl White Multi-Coat;22" Onyx Black Wheels;All Black Premium Interior with Figured Ash Wood DÃ©cor;Full Self-Driving Capability;Five Seat Interior;Infotainment Upgrade;</t>
  </si>
  <si>
    <t>5YJSA1E66MF452633</t>
  </si>
  <si>
    <t>5YJSA1E66MF431765</t>
  </si>
  <si>
    <t>5YJSA1E55NF464586</t>
  </si>
  <si>
    <t>5YJXCBE22HF070320</t>
  </si>
  <si>
    <t>Red Multi-Coat Paint;22" Onyx Black Wheels;White Premium Interior;Full Self-Driving Capability;Smart Air Suspension;Ultra High Fidelity Sound;HEPA Air Filtration System;Subzero Weather Package;Towing Package;Keyless Entry;Power Liftgate;Six Seat Interior;Carbon Fiber DÃ©cor;Dark Headliner;Infotainment Upgrade;</t>
  </si>
  <si>
    <t>7SAYGDEE9NF402623</t>
  </si>
  <si>
    <t>Pearl White Paint;20â€™â€™ Induction Wheels;Black and White Premium Interior;Full Self-Driving Capability;Five Seat Interior;Tow Hitch;Acceleration Boost;</t>
  </si>
  <si>
    <t>5YJ3E1EA6LF590944</t>
  </si>
  <si>
    <t>5YJXCDE24JF143446</t>
  </si>
  <si>
    <t>5YJ3E1EC4NF179188</t>
  </si>
  <si>
    <t>EDEN PRAIRIE, MN</t>
  </si>
  <si>
    <t>5YJ3E1EB4KF393567</t>
  </si>
  <si>
    <t>5YJ3E1EB5KF386899</t>
  </si>
  <si>
    <t>5YJ3E1EB2KF432382</t>
  </si>
  <si>
    <t>5YJ3E1EA6KF412305</t>
  </si>
  <si>
    <t>5YJ3E1EA6KF301432</t>
  </si>
  <si>
    <t>5YJ3E1EC1LF647049</t>
  </si>
  <si>
    <t>Deep Blue Metallic Paint;20â€™â€™ Gray Performance Wheels;All Black Premium Interior;Full Self-Driving Capability;Performance Upgrade;Carbon Fiber Spoiler;Performance Pedals;Performance Brakes;Front and Rear Heated Seats;</t>
  </si>
  <si>
    <t>5YJ3E1EA0KF476470</t>
  </si>
  <si>
    <t>5YJ3E1EAXLF597153</t>
  </si>
  <si>
    <t>5YJSA1E28JF285457</t>
  </si>
  <si>
    <t>Solid Black Paint;19" Silver Slipstream Wheels;All Black Premium Interior;Full Self-Driving Capability;Smart Air Suspension;Glass Roof;Ultra High Fidelity Sound;HEPA Air Filtration System;Subzero Weather Package;Keyless Entry;Power Liftgate;GPS Enabled Homelink;Carbon Fiber DÃ©cor;Dark Headliner;Infotainment Upgrade;</t>
  </si>
  <si>
    <t>5YJ3E1EBXKF421601</t>
  </si>
  <si>
    <t>5YJ3E1EA9LF784996</t>
  </si>
  <si>
    <t>5YJXCBE24LF230884</t>
  </si>
  <si>
    <t>Solid Black;22" Onyx Black Wheels;Cream Premium Interior with Oak Wood DÃ©cor;Full Self-Driving Capability;Six Seat Interior;Infotainment Upgrade;</t>
  </si>
  <si>
    <t>5YJXCDE29JF141904</t>
  </si>
  <si>
    <t>Pearl White Multi-Coat Paint;22" Onyx Black Wheels;All Black Premium Interior;Full Self-Driving Capability;Smart Air Suspension;Ultra High Fidelity Sound;HEPA Air Filtration System;Subzero Weather Package;Towing Package;Keyless Entry;Power Liftgate;Five Seat Interior;Figured Ash Wood DÃ©cor;Dark Headliner;Infotainment Upgrade;</t>
  </si>
  <si>
    <t>5YJXCBE24HF066592</t>
  </si>
  <si>
    <t>Obsidian Black Metallic Paint;22" Onyx Black Wheels;Black Premium Interior;Full Self-Driving Capability;Smart Air Suspension;Ultra High Fidelity Sound;HEPA Air Filtration System;Subzero Weather Package;Keyless Entry;Power Liftgate;Six Seat Interior;Carbon Fiber DÃ©cor;Black Headliner;Infotainment Upgrade;</t>
  </si>
  <si>
    <t>5YJ3E1EAXKF301479</t>
  </si>
  <si>
    <t>5YJSA1E65MF451151</t>
  </si>
  <si>
    <t>Solid Black;21" Arachnid Wheels;Black and White Premium Interior with Carbon Fiber DÃ©cor;Full Self-Driving Capability;Infotainment Upgrade;</t>
  </si>
  <si>
    <t>LAS VEGAS, NV</t>
  </si>
  <si>
    <t>Las Vegas</t>
  </si>
  <si>
    <t>NV</t>
  </si>
  <si>
    <t>5YJSA1E20LF365239</t>
  </si>
  <si>
    <t>Pearl White Multi-Coat;21" Sonic Carbon Twin Turbine Wheels;All Black Premium Interior with Figured Ash Wood DÃ©cor;Full Self-Driving Capability;Glass Roof;Infotainment Upgrade;</t>
  </si>
  <si>
    <t>7SAYGDEF7NF350322</t>
  </si>
  <si>
    <t>Red Multi-Coat Paint;21â€™â€™ Ãœberturbine Wheels;Black and White Premium Interior;Full Self-Driving Capability;Performance Upgrade;Five Seat Interior;Performance Pedals;Performance Brakes;</t>
  </si>
  <si>
    <t>5YJ3E1EA1KF413118</t>
  </si>
  <si>
    <t>Deep Blue Metallic Paint;18â€™â€™ Aero Wheels;Black and White Partial Premium Interior;Full Self-Driving Capability;Front and Rear Heated Seats;</t>
  </si>
  <si>
    <t>5YJ3E1EB5MF875807</t>
  </si>
  <si>
    <t>5YJ3E1EAXLF633939</t>
  </si>
  <si>
    <t>Deep Blue Metallic Paint;19â€™â€™ Sport Wheels;All Black Partial Premium Interior;Full Self-Driving Capability;Front and Rear Heated Seats;</t>
  </si>
  <si>
    <t>5YJ3E1EB1LF794799</t>
  </si>
  <si>
    <t>Midnight Silver Metallic Paint;18â€™â€™ Aero Wheels;All Black Premium Interior;Full Self-Driving Capability;Acceleration Boost;Front and Rear Heated Seats;</t>
  </si>
  <si>
    <t>5YJ3E1EAXLF744037</t>
  </si>
  <si>
    <t>5YJ3E1EB9KF406801</t>
  </si>
  <si>
    <t>5YJ3E1EA2LF629867</t>
  </si>
  <si>
    <t>5YJ3E1EB7KF418185</t>
  </si>
  <si>
    <t>5YJXCBE47JF093020</t>
  </si>
  <si>
    <t>Midnight Silver Metallic Paint;20" Sonic Carbon Wheels;White Premium Interior;Full Self-Driving Capability;Smart Air Suspension;Ultra High Fidelity Sound;HEPA Air Filtration System;Subzero Weather Package;Towing Package;Keyless Entry;Power Liftgate;Red Brake Calipers;Six Seat Interior with Center Console;Carbon Fiber DÃ©cor;Dark Headliner;Infotainment Upgrade;</t>
  </si>
  <si>
    <t>5YJ3E1EA4KF519613</t>
  </si>
  <si>
    <t>5YJYGDEE0MF204444</t>
  </si>
  <si>
    <t>5YJ3E1EA4KF307424</t>
  </si>
  <si>
    <t>5YJ3E1EAXLF612220</t>
  </si>
  <si>
    <t>5YJYGDEF5LF033634</t>
  </si>
  <si>
    <t>5YJXCDE27JF104284</t>
  </si>
  <si>
    <t>Red Multi-Coat Paint;20" Silver Wheels;Cream Premium Interior;Full Self-Driving Capability;Smart Air Suspension;Towing Package;Keyless Entry;Power Liftgate;Five Seat Interior;Oak DÃ©cor;Light Headliner;Infotainment Upgrade;</t>
  </si>
  <si>
    <t>5YJYGDEE1LF035193</t>
  </si>
  <si>
    <t>Solid Black Paint;19â€™â€™ Gemini Wheels;All Black Premium Interior;Full Self-Driving Capability;Five Seat Interior;Tow Hitch;Acceleration Boost;</t>
  </si>
  <si>
    <t>5YJXCDE25JF112299</t>
  </si>
  <si>
    <t>Obsidian Black Metallic Paint;20" Silver Wheels;All Black Premium Interior;Full Self-Driving Capability;Smart Air Suspension;Towing Package;Keyless Entry;Power Liftgate;Five Seat Interior;Figured Ash Wood DÃ©cor;Dark Headliner;Infotainment Upgrade;</t>
  </si>
  <si>
    <t>5YJYGDEF0LF049983</t>
  </si>
  <si>
    <t>5YJSA1E22JF290458</t>
  </si>
  <si>
    <t>Silver Metallic Paint;19" Silver Slipstream Wheels;All Black Premium Interior;Full Self-Driving Capability;Smart Air Suspension;Glass Roof;Ultra High Fidelity Sound;HEPA Air Filtration System;Subzero Weather Package;Keyless Entry;Power Liftgate;GPS Enabled Homelink;Carbon Fiber DÃ©cor;Dark Headliner;Infotainment Upgrade;</t>
  </si>
  <si>
    <t>5YJYGDEE6MF243345</t>
  </si>
  <si>
    <t>5YJSA1E47KF336286</t>
  </si>
  <si>
    <t>Red Multi-Coat;19â€™â€™ Silver Wheels;All Black Premium Interior with Figured Ash Wood DÃ©cor;Full Self-Driving Capability;Ludicrous Mode;Glass Roof;Infotainment Upgrade;</t>
  </si>
  <si>
    <t>5YJYGDEE2MF085778</t>
  </si>
  <si>
    <t>5YJ3E1EA1JF157612</t>
  </si>
  <si>
    <t>5YJYGDEE0MF180646</t>
  </si>
  <si>
    <t>5YJ3E1EA6LF797981</t>
  </si>
  <si>
    <t>5YJ3E1EB2MF850198</t>
  </si>
  <si>
    <t>5YJ3E1EA4JF024391</t>
  </si>
  <si>
    <t>Silver Metallic Paint;19â€™â€™ Sport Wheels;All Black Premium Interior;Full Self-Driving Capability;Front and Rear Heated Seats;</t>
  </si>
  <si>
    <t>5YJ3E1EA2JF018864</t>
  </si>
  <si>
    <t>5YJ3E1EB2KF389565</t>
  </si>
  <si>
    <t>5YJ3E1EB4JF132843</t>
  </si>
  <si>
    <t>Portland, OR</t>
  </si>
  <si>
    <t>5YJXCDE25JF138482</t>
  </si>
  <si>
    <t>Solid Black Paint;20" Silver Wheels;All Black Premium Interior;Full Self-Driving Capability;Smart Air Suspension;Ultra High Fidelity Sound;HEPA Air Filtration System;Subzero Weather Package;Towing Package;Keyless Entry;Power Liftgate;Five Seat Interior;Figured Ash Wood DÃ©cor;Dark Headliner;Infotainment Upgrade;</t>
  </si>
  <si>
    <t>5YJ3E1EA8KF298873</t>
  </si>
  <si>
    <t>5YJYGDEE9MF085860</t>
  </si>
  <si>
    <t>Midnight Silver Metallic Paint;19â€™â€™ Gemini Wheels;All Black Premium Interior;Full Self-Driving Capability;Five Seat Interior;Acceleration Boost;</t>
  </si>
  <si>
    <t>5YJ3E1EA3KF401553</t>
  </si>
  <si>
    <t>5YJSA1E6XMF431381</t>
  </si>
  <si>
    <t>5YJ3E1EA5KF419410</t>
  </si>
  <si>
    <t>7SAXCBE61NF336797</t>
  </si>
  <si>
    <t>Pearl White Multi-Coat;22'' Turbine Wheels;All Black Premium Interior with Carbon Fiber DÃ©cor;Full Self-Driving Capability;Six Seat Interior;Infotainment Upgrade;</t>
  </si>
  <si>
    <t>5YJXCAE24JF133997</t>
  </si>
  <si>
    <t>Pearl White Multi-Coat Paint;20" Silver Wheels;Cream Premium Interior;Full Self-Driving Capability;Smart Air Suspension;Ultra High Fidelity Sound;HEPA Air Filtration System;Subzero Weather Package;Towing Package;Keyless Entry;Power Liftgate;Seven Seat Interior;Oak DÃ©cor;Light Headliner;Infotainment Upgrade;</t>
  </si>
  <si>
    <t>5YJYGDEE2LF055047</t>
  </si>
  <si>
    <t>5YJXCAE28LF237752</t>
  </si>
  <si>
    <t>Pearl White Multi-Coat;20" Silver Wheels;All Black Premium Interior with Figured Ash Wood DÃ©cor;Full Self-Driving Capability;Seven Seat Interior;Infotainment Upgrade;</t>
  </si>
  <si>
    <t>5YJ3E1EA7KF435558</t>
  </si>
  <si>
    <t>5YJYGDEE7MF108570</t>
  </si>
  <si>
    <t>5YJ3E1EA5KF417270</t>
  </si>
  <si>
    <t>Red Multi-Coat Paint;19â€™â€™ Sport Wheels;All Black Partial Premium Interior;Full Self-Driving Capability;Front and Rear Heated Seats;</t>
  </si>
  <si>
    <t>5YJYGDEE1MF107981</t>
  </si>
  <si>
    <t>5YJYGDEE7MF097831</t>
  </si>
  <si>
    <t>5YJYGDEE8MF088779</t>
  </si>
  <si>
    <t>5YJ3E1EB1JF189307</t>
  </si>
  <si>
    <t>5YJSA1E62MF451639</t>
  </si>
  <si>
    <t>5YJXCDE23LF297584</t>
  </si>
  <si>
    <t>Midnight Silver Metallic;20" Silver Wheels;Black and White Premium Interior with Dark Ash Wood DÃ©cor;Full Self-Driving Capability;Five Seat Interior;Infotainment Upgrade;</t>
  </si>
  <si>
    <t>5YJ3E1EC5NF198400</t>
  </si>
  <si>
    <t>5YJSA1E23HF189004</t>
  </si>
  <si>
    <t>Midnight Silver Metallic Paint;19" Silver Cyclone Wheels;Black Leather Tesla Premium Seats;Full Self-Driving Capability;Smart Air Suspension;Glass Roof;HEPA Air Filtration System;Subzero Weather Package;Keyless Entry;Power Liftgate;GPS Enabled Homelink;Figured Ash Wood DÃ©cor;Integrated Center Console;Light Headliner;</t>
  </si>
  <si>
    <t>5YJXCBE21HF040662</t>
  </si>
  <si>
    <t>Obsidian Black Metallic Paint;20" Silver Wheels;Black Leather Seats;Full Self-Driving Capability;Smart Air Suspension;Ultra High Fidelity Sound;HEPA Air Filtration System;Subzero Weather Package;Towing Package;Keyless Entry;Power Liftgate;Six Seat Interior;Carbon Fiber DÃ©cor;Black Headliner;</t>
  </si>
  <si>
    <t>5YJ3E1EA8KF435651</t>
  </si>
  <si>
    <t>5YJYGDEF8LF012163</t>
  </si>
  <si>
    <t>5YJ3E1EA8KF398293</t>
  </si>
  <si>
    <t>5YJYGDEF5LF012122</t>
  </si>
  <si>
    <t>Solid Black Paint;19â€™â€™ Gemini Wheels;All Black Premium Interior;Full Self-Driving Capability;Five Seat Interior;Carbon Fiber Spoiler;</t>
  </si>
  <si>
    <t>5YJYGDEE6LF025338</t>
  </si>
  <si>
    <t>5YJXCBE26KF157189</t>
  </si>
  <si>
    <t>Deep Blue Metallic Paint;20" Sonic Carbon Wheels;All Black Premium Interior;Full Self-Driving Capability;Smart Air Suspension;Ultra High Fidelity Sound;HEPA Air Filtration System;Subzero Weather Package;Towing Package;Keyless Entry;Power Liftgate;Six Seat Interior;Figured Ash Wood DÃ©cor;Dark Headliner;Infotainment Upgrade;</t>
  </si>
  <si>
    <t>5YJXCDE24JF122547</t>
  </si>
  <si>
    <t>Red Multi-Coat Paint;20" Silver Wheels;Cream Premium Interior;Full Self-Driving Capability;Smart Air Suspension;Ultra High Fidelity Sound;HEPA Air Filtration System;Subzero Weather Package;Towing Package;Keyless Entry;Power Liftgate;Five Seat Interior;Oak DÃ©cor;Light Headliner;Infotainment Upgrade;</t>
  </si>
  <si>
    <t>5YJYGDEE4LF045541</t>
  </si>
  <si>
    <t>5YJSA1E69NF460212</t>
  </si>
  <si>
    <t>Red Multi-Coat;21" Arachnid Wheels;Black and White Premium Interior with Carbon Fiber DÃ©cor;Full Self-Driving Capability;Infotainment Upgrade;</t>
  </si>
  <si>
    <t>5YJYGDEE8MF266030</t>
  </si>
  <si>
    <t>Solid Black Paint;20â€™â€™ Induction Wheels;All Black Premium Interior;Full Self-Driving Capability;Five Seat Interior;Tow Hitch;Acceleration Boost;</t>
  </si>
  <si>
    <t>5YJ3E1EA1KF434891</t>
  </si>
  <si>
    <t>5YJXCBE2XKF187795</t>
  </si>
  <si>
    <t>Red Multi-Coat;22" Onyx Black Wheels;Black and White Premium Interior with Dark Ash Wood DÃ©cor;Full Self-Driving Capability;Six Seat Interior;Infotainment Upgrade;</t>
  </si>
  <si>
    <t>5YJ3E1EA5LF530413</t>
  </si>
  <si>
    <t>5YJSA1E24HF227677</t>
  </si>
  <si>
    <t>Midnight Silver Metallic Paint;19" Sonic Carbon Slipstream Wheels;Black Premium Interior;Full Self-Driving Capability;Smart Air Suspension;Glass Roof;Keyless Entry;Power Liftgate;GPS Enabled Homelink;Figured Ash Wood DÃ©cor;Dark Headliner;Infotainment Upgrade;</t>
  </si>
  <si>
    <t>5YJ3E1EA3KF406476</t>
  </si>
  <si>
    <t>5YJ3E1EA1KF395347</t>
  </si>
  <si>
    <t>5YJ3E1EA7LF658894</t>
  </si>
  <si>
    <t>5YJ3E1EA8KF486292</t>
  </si>
  <si>
    <t>5YJ3E1EB4KF390376</t>
  </si>
  <si>
    <t>5YJXCDE28KF155567</t>
  </si>
  <si>
    <t>Pearl White Multi-Coat Paint;20" Sonic Carbon Wheels;Cream Premium Interior;Full Self-Driving Capability;Smart Air Suspension;Ultra High Fidelity Sound;HEPA Air Filtration System;Subzero Weather Package;Towing Package;Keyless Entry;Power Liftgate;Five Seat Interior;Oak DÃ©cor;Light Headliner;Infotainment Upgrade;</t>
  </si>
  <si>
    <t>5YJXCAE43JF112012</t>
  </si>
  <si>
    <t>Pearl White Multi-Coat Paint;22" Onyx Black Wheels;Black and White Premium Interior;Full Self-Driving Capability;Smart Air Suspension;Ultra High Fidelity Sound;HEPA Air Filtration System;Subzero Weather Package;Towing Package;Keyless Entry;Power Liftgate;Red Brake Calipers;Seven Seat Interior;Dark Ash Wood DÃ©cor;Dark Headliner;Infotainment Upgrade;</t>
  </si>
  <si>
    <t>5YJXCBE24KF159619</t>
  </si>
  <si>
    <t>Midnight Silver Metallic Paint;20" Sonic Carbon Wheels;All Black Premium Interior;Full Self-Driving Capability;Smart Air Suspension;Ultra High Fidelity Sound;HEPA Air Filtration System;Subzero Weather Package;Towing Package;Keyless Entry;Power Liftgate;Six Seat Interior;Figured Ash Wood DÃ©cor;Dark Headliner;Infotainment Upgrade;</t>
  </si>
  <si>
    <t>5YJXCBE21KF185174</t>
  </si>
  <si>
    <t>7SAXCBE50NF334028</t>
  </si>
  <si>
    <t>Deep Blue Metallic;20'' Cyberstream Wheels;Black and White Premium Interior with Walnut DÃ©cor;Full Self-Driving Capability;Six Seat Interior;Infotainment Upgrade;</t>
  </si>
  <si>
    <t>5YJSA1E67MF442256</t>
  </si>
  <si>
    <t>Midnight Silver Metallic;19" Tempest Wheels;All Black Premium Interior with Ebony DÃ©cor;Full Self-Driving Capability;Infotainment Upgrade;</t>
  </si>
  <si>
    <t>5YJXCBE4XMF323699</t>
  </si>
  <si>
    <t>5YJXCDE21LF248142</t>
  </si>
  <si>
    <t>Solid Black;22" Onyx Black Wheels;All Black Premium Interior with Figured Ash Wood DÃ©cor;Full Self-Driving Capability;Five Seat Interior;Infotainment Upgrade;</t>
  </si>
  <si>
    <t>5YJYGDEE0MF160218</t>
  </si>
  <si>
    <t>5YJXCBE46JF121180</t>
  </si>
  <si>
    <t>Midnight Silver Metallic Paint;20" Silver Wheels;All Black Premium Interior;Full Self-Driving Capability;Smart Air Suspension;Ultra High Fidelity Sound;HEPA Air Filtration System;Subzero Weather Package;Towing Package;Keyless Entry;Power Liftgate;Red Brake Calipers;Six Seat Interior;Carbon Fiber DÃ©cor;Dark Headliner;Infotainment Upgrade;</t>
  </si>
  <si>
    <t>5YJSA1E28HF180279</t>
  </si>
  <si>
    <t>Midnight Silver Metallic Paint;19" Silver Slipstream Wheels;Black Leather Tesla Premium Seats;Full Self-Driving Capability;Smart Air Suspension;Glass Roof;HEPA Air Filtration System;Keyless Entry;Power Liftgate;GPS Enabled Homelink;Figured Ash Wood DÃ©cor;Integrated Center Console;Black Headliner;</t>
  </si>
  <si>
    <t>5YJ3E1EC3LF791959</t>
  </si>
  <si>
    <t>5YJSA1E2XKF348351</t>
  </si>
  <si>
    <t>Red Multi-Coat;19" Sonic Carbon Slipstream Wheels;All Black Premium Interior with Figured Ash Wood DÃ©cor;Full Self-Driving Capability;Glass Roof;Infotainment Upgrade;</t>
  </si>
  <si>
    <t>5YJ3E1EB2JF132789</t>
  </si>
  <si>
    <t>5YJ3E1EA0JF018328</t>
  </si>
  <si>
    <t>5YJ3E1ECXLF586171</t>
  </si>
  <si>
    <t>5YJ3E1EC7NF154057</t>
  </si>
  <si>
    <t>Solid Black Paint;20â€™â€™ Ãœberturbine Wheels;Black and White Premium Interior;Full Self-Driving Capability;Performance Upgrade;Carbon Fiber Spoiler;Performance Pedals;Performance Brakes;Front and Rear Heated Seats;</t>
  </si>
  <si>
    <t>5YJ3E1EA7JF023512</t>
  </si>
  <si>
    <t>5YJYGDEE0MF278608</t>
  </si>
  <si>
    <t>5YJSA1E50MF436211</t>
  </si>
  <si>
    <t>5YJ3E1EC1LF641865</t>
  </si>
  <si>
    <t>Deep Blue Metallic Paint;20â€™â€™ Gray Performance Wheels;Black and White Premium Interior;Full Self-Driving Capability;Performance Upgrade;Carbon Fiber Spoiler;Performance Pedals;Performance Brakes;Front and Rear Heated Seats;</t>
  </si>
  <si>
    <t>5YJ3E1EB7LF621787</t>
  </si>
  <si>
    <t>5YJXCAE45JF101643</t>
  </si>
  <si>
    <t>Obsidian Black Metallic Paint;22" Onyx Black Wheels;Black Premium Interior;Full Self-Driving Capability;Smart Air Suspension;Ultra High Fidelity Sound;HEPA Air Filtration System;Subzero Weather Package;Towing Package;Keyless Entry;Power Liftgate;Red Brake Calipers;Seven Seat Interior;Carbon Fiber DÃ©cor;Dark Headliner;Infotainment Upgrade;</t>
  </si>
  <si>
    <t>5YJXCDE2XJF137697</t>
  </si>
  <si>
    <t>Midnight Silver Metallic Paint;20" Silver Wheels;All Black Premium Interior;Full Self-Driving Capability;Smart Air Suspension;Ultra High Fidelity Sound;HEPA Air Filtration System;Subzero Weather Package;Towing Package;Keyless Entry;Power Liftgate;Five Seat Interior;Carbon Fiber DÃ©cor;Dark Headliner;Infotainment Upgrade;</t>
  </si>
  <si>
    <t>5YJYGDED7MF103991</t>
  </si>
  <si>
    <t>Deep Blue Metallic Paint;19â€™â€™ Gemini Wheels;Black and White Premium Interior;Full Self-Driving Capability;Five Seat Interior;</t>
  </si>
  <si>
    <t>5YJ3E1EA5JF037585</t>
  </si>
  <si>
    <t>5YJYGDEE4MF078959</t>
  </si>
  <si>
    <t>7SAYGDEE1NF367625</t>
  </si>
  <si>
    <t>5YJ3E1EA5KF331988</t>
  </si>
  <si>
    <t>5YJYGDEF4MF240243</t>
  </si>
  <si>
    <t>5YJ3E1EB7KF359364</t>
  </si>
  <si>
    <t>Red Multi-Coat Paint;18â€™â€™ Aero Wheels;All Black Premium Interior;Full Self-Driving Capability;Acceleration Boost;Front and Rear Heated Seats;</t>
  </si>
  <si>
    <t>5YJXCBE45JF102779</t>
  </si>
  <si>
    <t>Obsidian Black Metallic Paint;22" Onyx Black Wheels;All Black Premium Interior;Full Self-Driving Capability;Smart Air Suspension;Ultra High Fidelity Sound;HEPA Air Filtration System;Subzero Weather Package;Towing Package;Keyless Entry;Power Liftgate;Red Brake Calipers;Six Seat Interior;Carbon Fiber DÃ©cor;Dark Headliner;Infotainment Upgrade;</t>
  </si>
  <si>
    <t>5YJXCAE2XJF132644</t>
  </si>
  <si>
    <t>Pearl White Multi-Coat Paint;22" Onyx Black Wheels;All Black Premium Interior;Full Self-Driving Capability;Smart Air Suspension;Ultra High Fidelity Sound;HEPA Air Filtration System;Subzero Weather Package;Towing Package;Keyless Entry;Power Liftgate;Seven Seat Interior;Carbon Fiber DÃ©cor;Dark Headliner;Infotainment Upgrade;</t>
  </si>
  <si>
    <t>5YJ3E1EBXMF869811</t>
  </si>
  <si>
    <t>5YJYGDEE2MF108623</t>
  </si>
  <si>
    <t>5YJ3E1EB1KF469312</t>
  </si>
  <si>
    <t>5YJSA1E67MF452172</t>
  </si>
  <si>
    <t>5YJSA1E65MF443857</t>
  </si>
  <si>
    <t>5YJSA1E47KF330889</t>
  </si>
  <si>
    <t>Solid Black;19" Sonic Carbon Slipstream Wheels;All Black Premium Interior with Figured Ash Wood DÃ©cor;Full Self-Driving Capability;Ludicrous Mode;Glass Roof;Infotainment Upgrade;</t>
  </si>
  <si>
    <t>5YJXCBE48MF323166</t>
  </si>
  <si>
    <t>Pearl White Multi-Coat;20" Silver Wheels;All Black Premium Interior with Carbon Fiber DÃ©cor;Full Self-Driving Capability;Ludicrous Mode;Six Seat Interior;Infotainment Upgrade;</t>
  </si>
  <si>
    <t>5YJ3E1EA4JF040199</t>
  </si>
  <si>
    <t>5YJXCBE43KF186439</t>
  </si>
  <si>
    <t>5YJ3E1EB0JF080921</t>
  </si>
  <si>
    <t>5YJ3E1EC3LF627143</t>
  </si>
  <si>
    <t>5YJ3E1EB5KF231656</t>
  </si>
  <si>
    <t>5YJ3E1EBXKF487369</t>
  </si>
  <si>
    <t>5YJ3E1EB3KF390854</t>
  </si>
  <si>
    <t>5YJ3E1EB6KF454031</t>
  </si>
  <si>
    <t>5YJXCDE23HF077157</t>
  </si>
  <si>
    <t>Solid Black Paint;22" Onyx Black Wheels;White Premium Interior;Full Self-Driving Capability;Smart Air Suspension;Ultra High Fidelity Sound;HEPA Air Filtration System;Subzero Weather Package;Towing Package;Keyless Entry;Power Liftgate;Five Seat Interior;Dark Ash Wood DÃ©cor;Dark Headliner;</t>
  </si>
  <si>
    <t>5YJXCAE24JF089919</t>
  </si>
  <si>
    <t>Silver Metallic Paint;20" Silver Wheels;White Premium Interior;Full Self-Driving Capability;Smart Air Suspension;Ultra High Fidelity Sound;HEPA Air Filtration System;Subzero Weather Package;Towing Package;Keyless Entry;Power Liftgate;Seven Seat Interior;Dark Ash Wood DÃ©cor;Dark Headliner;</t>
  </si>
  <si>
    <t>5YJ3E1EA3KF357439</t>
  </si>
  <si>
    <t>5YJ3E1EB3KF513360</t>
  </si>
  <si>
    <t>5YJXCBE48LF238651</t>
  </si>
  <si>
    <t>Pearl White Multi-Coat;22" Onyx Black Wheels;All Black Premium Interior with Figured Ash Wood DÃ©cor;Full Self-Driving Capability;Ludicrous Mode;Six Seat Interior;Infotainment Upgrade;</t>
  </si>
  <si>
    <t>5YJ3E1EB0LF620853</t>
  </si>
  <si>
    <t>5YJ3E1EA1LF632095</t>
  </si>
  <si>
    <t>5YJ3E1EA8LF745719</t>
  </si>
  <si>
    <t>5YJ3E1EB1KF512367</t>
  </si>
  <si>
    <t>5YJ3E1EB1KF433040</t>
  </si>
  <si>
    <t>5YJ3E1EB3MF069240</t>
  </si>
  <si>
    <t>5YJ3E1EB9JF106366</t>
  </si>
  <si>
    <t>Deep Blue Metallic Paint;20â€™â€™ Performance Wheels;All Black Premium Interior;Full Self-Driving Capability;Performance Upgrade;Performance Pedals;Performance Brakes;Front and Rear Heated Seats;</t>
  </si>
  <si>
    <t>5YJ3E1EA6LF633338</t>
  </si>
  <si>
    <t>5YJ3E1EB2KF429482</t>
  </si>
  <si>
    <t>5YJYGDEE6LF036047</t>
  </si>
  <si>
    <t>5YJ3E1EA4KF412819</t>
  </si>
  <si>
    <t>5YJ3E1EA5KF357734</t>
  </si>
  <si>
    <t>5YJXCBE26JF137149</t>
  </si>
  <si>
    <t>Pearl White Multi-Coat Paint;22" Onyx Black Wheels;All Black Premium Interior;Full Self-Driving Capability;Smart Air Suspension;Ultra High Fidelity Sound;HEPA Air Filtration System;Subzero Weather Package;Towing Package;Keyless Entry;Power Liftgate;Six Seat Interior with Center Console;Figured Ash Wood DÃ©cor;Dark Headliner;Infotainment Upgrade;</t>
  </si>
  <si>
    <t>5YJ3E1EB7LF600065</t>
  </si>
  <si>
    <t>5YJ3E1EB3KF388943</t>
  </si>
  <si>
    <t>5YJ3E1EB6KF434233</t>
  </si>
  <si>
    <t>5YJXCDE27HF064606</t>
  </si>
  <si>
    <t>Pearl White Multi-Coat Paint;22" Onyx Black Wheels;White Premium Interior;Full Self-Driving Capability;Smart Air Suspension;Ultra High Fidelity Sound;HEPA Air Filtration System;Subzero Weather Package;Towing Package;Keyless Entry;Power Liftgate;Five Seat Interior;Dark Ash Wood DÃ©cor;Black Headliner;</t>
  </si>
  <si>
    <t>5YJXCBE44MF310317</t>
  </si>
  <si>
    <t>5YJXCBE2XHF043897</t>
  </si>
  <si>
    <t>Midnight Silver Metallic Paint;20" Silver Wheels;White Premium Interior;Full Self-Driving Capability;Smart Air Suspension;HEPA Air Filtration System;Subzero Weather Package;Keyless Entry;Power Liftgate;Six Seat Interior;Dark Ash Wood DÃ©cor;Black Headliner;</t>
  </si>
  <si>
    <t>5YJ3E1EB1MF091446</t>
  </si>
  <si>
    <t>5YJ3E1EB0JF069580</t>
  </si>
  <si>
    <t>5YJXCBE45KF211678</t>
  </si>
  <si>
    <t>Pearl White Multi-Coat;20" Silver Wheels;Black and White Premium Interior with Dark Ash Wood DÃ©cor;Full Self-Driving Capability;Ludicrous Mode;Six Seat Interior;Infotainment Upgrade;</t>
  </si>
  <si>
    <t>5YJ3E1EBXKF418326</t>
  </si>
  <si>
    <t>5YJ3E1EB8KF535189</t>
  </si>
  <si>
    <t>5YJYGDEE7MF259456</t>
  </si>
  <si>
    <t>5YJ3E1EB9KF423145</t>
  </si>
  <si>
    <t>5YJ3E1EA7KF395627</t>
  </si>
  <si>
    <t>5YJ3E1EB6JF127689</t>
  </si>
  <si>
    <t>5YJ3E1EA2KF323685</t>
  </si>
  <si>
    <t>Deep Blue Metallic Paint;18â€™â€™ Aero Wheels;Black and White Premium Interior;Full Self-Driving Capability;Front and Rear Heated Seats;</t>
  </si>
  <si>
    <t>5YJ3E1EAXMF929691</t>
  </si>
  <si>
    <t>5YJ3E1EA2LF662531</t>
  </si>
  <si>
    <t>Solid Black Paint;19â€™â€™ Sport Wheels;Black and White Partial Premium Interior;Full Self-Driving Capability;Front and Rear Heated Seats;</t>
  </si>
  <si>
    <t>5YJ3E1EB6LF668860</t>
  </si>
  <si>
    <t>5YJ3E1EB6KF432840</t>
  </si>
  <si>
    <t>5YJ3E1EB8KF209070</t>
  </si>
  <si>
    <t>5YJ3E1EB3KF512449</t>
  </si>
  <si>
    <t>5YJ3E1EB9KF386677</t>
  </si>
  <si>
    <t>5YJ3E1EB6JF105806</t>
  </si>
  <si>
    <t>5YJ3E1EA9KF425307</t>
  </si>
  <si>
    <t>5YJ3E1EA7KF312598</t>
  </si>
  <si>
    <t>5YJ3E1EB8KF514424</t>
  </si>
  <si>
    <t>5YJ3E1EA2JF017603</t>
  </si>
  <si>
    <t>5YJXCBE26JF124420</t>
  </si>
  <si>
    <t>Deep Blue Metallic Paint;20" Silver Wheels;Cream Premium Interior;Full Self-Driving Capability;Smart Air Suspension;Ultra High Fidelity Sound;HEPA Air Filtration System;Subzero Weather Package;Towing Package;Keyless Entry;Power Liftgate;Six Seat Interior;Oak DÃ©cor;Light Headliner;Infotainment Upgrade;</t>
  </si>
  <si>
    <t>5YJXCBE47LF237118</t>
  </si>
  <si>
    <t>Midnight Silver Metallic;20'' Two-Tone Slipstream Wheels;All Black Premium Interior with Carbon Fiber DÃ©cor;Full Self-Driving Capability;Ludicrous Mode;Six Seat Interior;Infotainment Upgrade;</t>
  </si>
  <si>
    <t>5YJXCAE29KF155480</t>
  </si>
  <si>
    <t>Solid Black Paint;22" Onyx Black Wheels;All Black Premium Interior;Full Self-Driving Capability;Smart Air Suspension;Ultra High Fidelity Sound;HEPA Air Filtration System;Subzero Weather Package;Towing Package;Keyless Entry;Power Liftgate;Seven Seat Interior;Figured Ash Wood DÃ©cor;Dark Headliner;Infotainment Upgrade;</t>
  </si>
  <si>
    <t>5YJXCAE2XKF160798</t>
  </si>
  <si>
    <t>5YJXCDE4XKF152168</t>
  </si>
  <si>
    <t>Solid Black Paint;22" Onyx Black Wheels;All Black Premium Interior;Full Self-Driving Capability;Smart Air Suspension;Ultra High Fidelity Sound;HEPA Air Filtration System;Subzero Weather Package;Towing Package;Keyless Entry;Power Liftgate;Red Brake Calipers;Five Seat Interior;Carbon Fiber DÃ©cor;Dark Headliner;Infotainment Upgrade;</t>
  </si>
  <si>
    <t>5YJXCAE26MF308738</t>
  </si>
  <si>
    <t>5YJYGDEE0MF117823</t>
  </si>
  <si>
    <t>5YJYGDEE8LF008752</t>
  </si>
  <si>
    <t>5YJSA1E60MF442745</t>
  </si>
  <si>
    <t>5YJ3E1EA6KF503980</t>
  </si>
  <si>
    <t>5YJYGDEE8MF065048</t>
  </si>
  <si>
    <t>5YJYGDEE6MF078381</t>
  </si>
  <si>
    <t>5YJYGAEE0MF143286</t>
  </si>
  <si>
    <t>Deep Blue Metallic Paint;20â€™â€™ Induction Wheels;All Black Premium Interior;Full Self-Driving Capability;Seven Seat Interior;Acceleration Boost;</t>
  </si>
  <si>
    <t>5YJYGDEE1MF120598</t>
  </si>
  <si>
    <t>5YJSA1E22HF213504</t>
  </si>
  <si>
    <t>Pearl White Multi-Coat Paint;21" Grey Turbine Wheels;Ultra White Tesla Premium Seats;Full Self-Driving Capability;Smart Air Suspension;Sunroof;Keyless Entry;Power Liftgate;GPS Enabled Homelink;Dark Ash Wood DÃ©cor;Black Headliner;</t>
  </si>
  <si>
    <t>5YJYGDEE7MF258887</t>
  </si>
  <si>
    <t>Deep Blue Metallic Paint;19â€™â€™ Gemini Wheels;Black and White Premium Interior;Full Self-Driving Capability;Five Seat Interior;Acceleration Boost;</t>
  </si>
  <si>
    <t>5YJ3E1EA3KF407563</t>
  </si>
  <si>
    <t>5YJSA1E69MF438824</t>
  </si>
  <si>
    <t>Red Multi-Coat;21" Arachnid Wheels;All Black Premium Interior with Ebony DÃ©cor;Full Self-Driving Capability;Infotainment Upgrade;</t>
  </si>
  <si>
    <t>5YJ3E1EA5LF614344</t>
  </si>
  <si>
    <t>5YJXCAE26JF128509</t>
  </si>
  <si>
    <t>Solid Black Paint;20" Silver Wheels;Black and White Premium Interior;Full Self-Driving Capability;Smart Air Suspension;Ultra High Fidelity Sound;HEPA Air Filtration System;Subzero Weather Package;Towing Package;Keyless Entry;Power Liftgate;Seven Seat Interior;Dark Ash Wood DÃ©cor;Dark Headliner;Infotainment Upgrade;</t>
  </si>
  <si>
    <t>5YJ3E1EB1MF928115</t>
  </si>
  <si>
    <t>5YJYGDEF9LF057242</t>
  </si>
  <si>
    <t>Pearl White Paint;21â€™â€™ Ãœberturbine Wheels;Black and White Premium Interior;Full Self-Driving Capability;Performance Upgrade;Five Seat Interior;Carbon Fiber Spoiler;Performance Pedals;Performance Brakes;</t>
  </si>
  <si>
    <t>5YJXCDE26LF248802</t>
  </si>
  <si>
    <t>Pearl White Multi-Coat;22" Onyx Black Wheels;Black and White Premium Interior with Dark Ash Wood DÃ©cor;Full Self-Driving Capability;Five Seat Interior;Infotainment Upgrade;</t>
  </si>
  <si>
    <t>5YJYGDEE6MF065260</t>
  </si>
  <si>
    <t>5YJYGDEE8LF017449</t>
  </si>
  <si>
    <t>7SAYGDEF0NF315184</t>
  </si>
  <si>
    <t>5YJYGDEF8LF003110</t>
  </si>
  <si>
    <t>5YJXCBE2XJF103540</t>
  </si>
  <si>
    <t>Pearl White Multi-Coat Paint;22" Onyx Black Wheels;Black Premium Interior;Full Self-Driving Capability;Smart Air Suspension;Towing Package;Keyless Entry;Power Liftgate;Six Seat Interior;Carbon Fiber DÃ©cor;Dark Headliner;Infotainment Upgrade;</t>
  </si>
  <si>
    <t>5YJSA1E23JF246209</t>
  </si>
  <si>
    <t>Deep Blue Metallic Paint;19" Silver Slipstream Wheels;Cream Premium Interior;Full Self-Driving Capability;Smart Air Suspension;Sunroof;Keyless Entry;Power Liftgate;GPS Enabled Homelink;Figured Ash Wood DÃ©cor;Light Headliner;Infotainment Upgrade;</t>
  </si>
  <si>
    <t>5YJ3E1EA3KF424489</t>
  </si>
  <si>
    <t>5YJ3E1EAXKF413019</t>
  </si>
  <si>
    <t>5YJXCDE21LF303222</t>
  </si>
  <si>
    <t>Red Multi-Coat;22" Onyx Black Wheels;All Black Premium Interior with Figured Ash Wood DÃ©cor;Full Self-Driving Capability;Five Seat Interior;Infotainment Upgrade;</t>
  </si>
  <si>
    <t>5YJ3E1EB5KF193829</t>
  </si>
  <si>
    <t>5YJ3E1EA2KF484294</t>
  </si>
  <si>
    <t>5YJ3E1EB8KF465211</t>
  </si>
  <si>
    <t>5YJSA1E26HF217071</t>
  </si>
  <si>
    <t>Solid Black Paint;19" Silver Slipstream Wheels;Black Premium Interior;Full Self-Driving Capability;Smart Air Suspension;Glass Roof;Ultra High Fidelity Sound;HEPA Air Filtration System;Subzero Weather Package;Keyless Entry;Power Liftgate;GPS Enabled Homelink;Figured Ash Wood DÃ©cor;Black Headliner;</t>
  </si>
  <si>
    <t>5YJ3E1EB1JF106281</t>
  </si>
  <si>
    <t>5YJYGDEE6MF201709</t>
  </si>
  <si>
    <t>5YJ3E1EB3NF106594</t>
  </si>
  <si>
    <t>5YJSA1E65MF452638</t>
  </si>
  <si>
    <t>5YJYGDEE6LF027512</t>
  </si>
  <si>
    <t>5YJYGDEE4LF018355</t>
  </si>
  <si>
    <t>5YJYGDEF3LF005864</t>
  </si>
  <si>
    <t>5YJYGDEE9LF039668</t>
  </si>
  <si>
    <t>Deep Blue Metallic Paint;20â€™â€™ Induction Wheels;Black and White Premium Interior;Full Self-Driving Capability;Five Seat Interior;Tow Hitch;Acceleration Boost;</t>
  </si>
  <si>
    <t>5YJYGDEE3LF038595</t>
  </si>
  <si>
    <t>5YJYGDEE6LF020611</t>
  </si>
  <si>
    <t>Columbus, OH</t>
  </si>
  <si>
    <t>Columbus</t>
  </si>
  <si>
    <t>5YJYGDEE9LF037774</t>
  </si>
  <si>
    <t>Red Multi-Coat Paint;20â€™â€™ Induction Wheels;All Black Premium Interior;Full Self-Driving Capability;Five Seat Interior;Tow Hitch;Acceleration Boost;</t>
  </si>
  <si>
    <t>5YJYGDEE5LF037254</t>
  </si>
  <si>
    <t>Midnight Silver Metallic Paint;19â€™â€™ Gemini Wheels;All Black Premium Interior;Full Self-Driving Capability;Five Seat Interior;Tow Hitch;Acceleration Boost;</t>
  </si>
  <si>
    <t>5YJYGDEEXLF025682</t>
  </si>
  <si>
    <t>5YJ3E1EA6KF435390</t>
  </si>
  <si>
    <t>5YJSA1E61MF451583</t>
  </si>
  <si>
    <t>5YJ3E1EB2KF469576</t>
  </si>
  <si>
    <t>5YJ3E1EA6KF411381</t>
  </si>
  <si>
    <t>5YJXCAE23JF101736</t>
  </si>
  <si>
    <t>Deep Blue Metallic Paint;20" Silver Wheels;Cream Premium Interior;Full Self-Driving Capability;Smart Air Suspension;Towing Package;Keyless Entry;Power Liftgate;Seven Seat Interior;Oak DÃ©cor;Light Headliner;Infotainment Upgrade;</t>
  </si>
  <si>
    <t>5YJYGDEE1MF108628</t>
  </si>
  <si>
    <t>5YJ3E1EA5KF400680</t>
  </si>
  <si>
    <t>5YJ3E1EA3LF706827</t>
  </si>
  <si>
    <t>5YJXCBE23HF067796</t>
  </si>
  <si>
    <t>Midnight Silver Metallic Paint;20" Silver Wheels;White Premium Interior;Full Self-Driving Capability;Smart Air Suspension;Ultra High Fidelity Sound;HEPA Air Filtration System;Subzero Weather Package;Towing Package;Keyless Entry;Power Liftgate;Six Seat Interior;Carbon Fiber DÃ©cor;Dark Headliner;</t>
  </si>
  <si>
    <t>5YJXCBE2XHF040515</t>
  </si>
  <si>
    <t>Solid Black Paint;20" Silver Wheels;Black Leather Seats;Full Self-Driving Capability;Smart Air Suspension;Ultra High Fidelity Sound;HEPA Air Filtration System;Towing Package;Keyless Entry;Power Liftgate;Six Seat Interior;Carbon Fiber DÃ©cor;Black Headliner;</t>
  </si>
  <si>
    <t>5YJYGDEE1LF011203</t>
  </si>
  <si>
    <t>5YJ3E1EA2KF402578</t>
  </si>
  <si>
    <t>5YJ3E1EA3JF005704</t>
  </si>
  <si>
    <t>5YJ3E1EA2KF413094</t>
  </si>
  <si>
    <t>5YJ3E1EA3KF432124</t>
  </si>
  <si>
    <t>5YJXCDE25JF135520</t>
  </si>
  <si>
    <t>Pearl White Multi-Coat Paint;22" Onyx Black Wheels;All Black Premium Interior;Full Self-Driving Capability;Smart Air Suspension;Ultra High Fidelity Sound;HEPA Air Filtration System;Subzero Weather Package;Towing Package;Keyless Entry;Power Liftgate;Five Seat Interior;Carbon Fiber DÃ©cor;Dark Headliner;Infotainment Upgrade;</t>
  </si>
  <si>
    <t>5YJ3E1EB8LF662767</t>
  </si>
  <si>
    <t>5YJ3E1EB1JF145422</t>
  </si>
  <si>
    <t>5YJ3E1EA3LF629926</t>
  </si>
  <si>
    <t>5YJ3E1EBXKF433277</t>
  </si>
  <si>
    <t>Pearl White Paint;18â€™â€™ Aero Wheels;All Black Premium Interior;Full Self-Driving Capability;Carbon Fiber Spoiler;Front and Rear Heated Seats;</t>
  </si>
  <si>
    <t>5YJSA1E67NF459124</t>
  </si>
  <si>
    <t>Solid Black;19" Tempest Wheels;Black and White Premium Interior with Carbon Fiber DÃ©cor;Full Self-Driving Capability;Infotainment Upgrade;</t>
  </si>
  <si>
    <t>5YJ3E1EA7JF156500</t>
  </si>
  <si>
    <t>5YJ3E1EB1KF425651</t>
  </si>
  <si>
    <t>5YJ3E1EA7JF003325</t>
  </si>
  <si>
    <t>5YJSA1E64NF459940</t>
  </si>
  <si>
    <t>Red Multi-Coat;21" Arachnid Wheels;All Black Premium Interior with Carbon Fiber DÃ©cor;Full Self-Driving Capability;Infotainment Upgrade;</t>
  </si>
  <si>
    <t>5YJ3E1EB8LF618526</t>
  </si>
  <si>
    <t>5YJ3E1EB0JF104716</t>
  </si>
  <si>
    <t>Seattle, WA</t>
  </si>
  <si>
    <t>5YJ3E1EA4MF100373</t>
  </si>
  <si>
    <t>5YJXCBE43KF211940</t>
  </si>
  <si>
    <t>5YJ3E1EB8KF441328</t>
  </si>
  <si>
    <t>5YJ3E1EC2NF125923</t>
  </si>
  <si>
    <t>5YJSA1E61MF434072</t>
  </si>
  <si>
    <t>5YJ3E1EB7KF413665</t>
  </si>
  <si>
    <t>5YJ3E1EA8KF337784</t>
  </si>
  <si>
    <t>5YJ3E1EA0MF987793</t>
  </si>
  <si>
    <t>5YJ3E1EB0KF389404</t>
  </si>
  <si>
    <t>5YJXCDE22JF110672</t>
  </si>
  <si>
    <t>Pearl White Multi-Coat Paint;22" Onyx Black Wheels;All Black Premium Interior;Full Self-Driving Capability;Smart Air Suspension;Ultra High Fidelity Sound;HEPA Air Filtration System;Subzero Weather Package;Towing Package;Keyless Entry;Power Liftgate;Five Seat Interior;Carbon Fiber DÃ©cor;Light Headliner;Infotainment Upgrade;</t>
  </si>
  <si>
    <t>5YJSA1E67MF453838</t>
  </si>
  <si>
    <t>Pearl White Multi-Coat;19" Tempest Wheels;All Black Premium Interior with Carbon Fiber DÃ©cor;Full Self-Driving Capability;Infotainment Upgrade;</t>
  </si>
  <si>
    <t>5YJ3E1EB2KF477788</t>
  </si>
  <si>
    <t>5YJ3E1EA6KF412451</t>
  </si>
  <si>
    <t>5YJSA1E2XLF370738</t>
  </si>
  <si>
    <t>Midnight Silver Metallic;19" Sonic Carbon Slipstream Wheels;All Black Premium Interior with Figured Ash Wood DÃ©cor;Full Self-Driving Capability;Glass Roof;Infotainment Upgrade;</t>
  </si>
  <si>
    <t>5YJ3E1EA1KF313813</t>
  </si>
  <si>
    <t>Cathedral City, CA</t>
  </si>
  <si>
    <t>5YJYGDEF8MF211926</t>
  </si>
  <si>
    <t>5YJ3E1EB5KF392668</t>
  </si>
  <si>
    <t>5YJYGDEE9MF286030</t>
  </si>
  <si>
    <t>5YJYGDEE9MF271382</t>
  </si>
  <si>
    <t>5YJYGDEE0MF062516</t>
  </si>
  <si>
    <t>5YJYGDEF6MF230670</t>
  </si>
  <si>
    <t>5YJSA1E22JF278021</t>
  </si>
  <si>
    <t>Obsidian Black Metallic Paint;19" Sonic Carbon Slipstream Wheels;Black and White Premium Interior;Full Self-Driving Capability;Smart Air Suspension;Glass Roof;Ultra High Fidelity Sound;HEPA Air Filtration System;Subzero Weather Package;Keyless Entry;Power Liftgate;GPS Enabled Homelink;Dark Ash Wood DÃ©cor;Dark Headliner;Infotainment Upgrade;</t>
  </si>
  <si>
    <t>5YJSA1E68MF451869</t>
  </si>
  <si>
    <t>Pearl White Multi-Coat;21" Arachnid Wheels;Cream Interior with Carbon Fiber Decor;Full Self-Driving Capability;Infotainment Upgrade;</t>
  </si>
  <si>
    <t>5YJ3E1EB9KF432332</t>
  </si>
  <si>
    <t>5YJ3E1EAXJF009829</t>
  </si>
  <si>
    <t>5YJ3E1EB8JF054891</t>
  </si>
  <si>
    <t>5YJYGDEE7MF074954</t>
  </si>
  <si>
    <t>5YJ3E1EB2KF528920</t>
  </si>
  <si>
    <t>5YJYGAEE4MF201223</t>
  </si>
  <si>
    <t>5YJ3E1ECXLF623901</t>
  </si>
  <si>
    <t>5YJ3E1EB4LF646663</t>
  </si>
  <si>
    <t>Red Multi-Coat Paint;18â€™â€™ Aero Wheels;Black and White Premium Interior;Full Self-Driving Capability;Acceleration Boost;Front and Rear Heated Seats;</t>
  </si>
  <si>
    <t>5YJ3E1EA8MF054269</t>
  </si>
  <si>
    <t>5YJ3E1EC0LF791885</t>
  </si>
  <si>
    <t>5YJ3E1EB0KF487011</t>
  </si>
  <si>
    <t>5YJYGDEF8MF073059</t>
  </si>
  <si>
    <t>5YJSA1E28JF258808</t>
  </si>
  <si>
    <t>Midnight Silver Metallic Paint;19" Silver Slipstream Wheels;White Premium Interior;Full Self-Driving Capability;Smart Air Suspension;Sunroof;Ultra High Fidelity Sound;HEPA Air Filtration System;Subzero Weather Package;Keyless Entry;Power Liftgate;GPS Enabled Homelink;Carbon Fiber DÃ©cor;Dark Headliner;Infotainment Upgrade;</t>
  </si>
  <si>
    <t>5YJ3E1EB1KF421566</t>
  </si>
  <si>
    <t>5YJXCAE24JF109442</t>
  </si>
  <si>
    <t>Solid Black Paint;20" Sonic Carbon Wheels;Black Textile Interior;Full Self-Driving Capability;Smart Air Suspension;Towing Package;Keyless Entry;Power Liftgate;Seven Seat Interior;Dark Ash Wood DÃ©cor;Dark Headliner;Infotainment Upgrade;</t>
  </si>
  <si>
    <t>5YJXCAE29LF303449</t>
  </si>
  <si>
    <t>Pearl White Multi-Coat;20" Silver Wheels;Black and White Premium Interior with Dark Ash Wood DÃ©cor;Full Self-Driving Capability;Seven Seat Interior;Infotainment Upgrade;</t>
  </si>
  <si>
    <t>5YJXCAE48KF181831</t>
  </si>
  <si>
    <t>Midnight Silver Metallic;20" Silver Wheels;All Black Premium Interior with Figured Ash Wood DÃ©cor;Full Self-Driving Capability;Seven Seat Interior;Infotainment Upgrade;</t>
  </si>
  <si>
    <t>5YJSA1E24JF292387</t>
  </si>
  <si>
    <t>Deep Blue Metallic Paint;21" Sonic Carbon Twin Turbine Wheels;All Black Premium Interior;Full Self-Driving Capability;Smart Air Suspension;Sunroof;Ultra High Fidelity Sound;HEPA Air Filtration System;Subzero Weather Package;Keyless Entry;Power Liftgate;GPS Enabled Homelink;Carbon Fiber DÃ©cor;Dark Headliner;Infotainment Upgrade;</t>
  </si>
  <si>
    <t>5YJYGAEE4MF212433</t>
  </si>
  <si>
    <t>Deep Blue Metallic Paint;19â€™â€™ Gemini Wheels;Black and White Premium Interior;Full Self-Driving Capability;Seven Seat Interior;Acceleration Boost;</t>
  </si>
  <si>
    <t>5YJSA1E24KF331223</t>
  </si>
  <si>
    <t>Pearl White Multi-Coat;21" Sonic Carbon Twin Turbine Wheels;Cream Premium Interior with Oak Wood DÃ©cor;Full Self-Driving Capability;Glass Roof;Infotainment Upgrade;</t>
  </si>
  <si>
    <t>5YJYGDEEXMF085642</t>
  </si>
  <si>
    <t>5YJ3E1EA6KF398258</t>
  </si>
  <si>
    <t>5YJ3E1EB6JF145156</t>
  </si>
  <si>
    <t>5YJ3E1EA8KF397287</t>
  </si>
  <si>
    <t>5YJ3E1EBXKF513792</t>
  </si>
  <si>
    <t>5YJ3E1EA0KF317819</t>
  </si>
  <si>
    <t>5YJ3E1EB8KF368042</t>
  </si>
  <si>
    <t>5YJ3E1EBXKF442352</t>
  </si>
  <si>
    <t>5YJSA1E66MF431491</t>
  </si>
  <si>
    <t>Midnight Silver Metallic;21" Arachnid Wheels;Cream Premium Interior with Walnut DÃ©cor;Full Self-Driving Capability;Infotainment Upgrade;</t>
  </si>
  <si>
    <t>5YJ3E1EB3KF365405</t>
  </si>
  <si>
    <t>5YJ3E1EA2KF417162</t>
  </si>
  <si>
    <t>5YJ3E1EB2KF393048</t>
  </si>
  <si>
    <t>5YJ3E1EA1LF657420</t>
  </si>
  <si>
    <t>5YJ3E1EB1KF419879</t>
  </si>
  <si>
    <t>5YJ3E1EAXKF321876</t>
  </si>
  <si>
    <t>5YJ3E1EB2JF093119</t>
  </si>
  <si>
    <t>5YJXCDE28LF296110</t>
  </si>
  <si>
    <t>Pearl White Multi-Coat;20" Silver Wheels;Black and White Premium Interior with Dark Ash Wood DÃ©cor;Full Self-Driving Capability;Five Seat Interior;Infotainment Upgrade;</t>
  </si>
  <si>
    <t>5YJYGDEE2MF076983</t>
  </si>
  <si>
    <t>5YJYGDEE5MF199113</t>
  </si>
  <si>
    <t>5YJYGDEE8LF020996</t>
  </si>
  <si>
    <t>Midnight Silver Metallic Paint;20â€™â€™ Induction Wheels;Black and White Premium Interior;Full Self-Driving Capability;Five Seat Interior;Acceleration Boost;</t>
  </si>
  <si>
    <t>5YJSA1E66MF441499</t>
  </si>
  <si>
    <t>5YJSA1E62MF437594</t>
  </si>
  <si>
    <t>5YJXCBE24HF071209</t>
  </si>
  <si>
    <t>Pearl White Multi-Coat Paint;20" Silver Wheels;Cream Premium Interior;Full Self-Driving Capability;Smart Air Suspension;Ultra High Fidelity Sound;HEPA Air Filtration System;Subzero Weather Package;Keyless Entry;Power Liftgate;Six Seat Interior;Figured Ash Wood DÃ©cor;Light Headliner;</t>
  </si>
  <si>
    <t>5YJYGDEE9MF066127</t>
  </si>
  <si>
    <t>Wexford, PA</t>
  </si>
  <si>
    <t>Pittsburgh</t>
  </si>
  <si>
    <t>5YJXCBE43GF017884</t>
  </si>
  <si>
    <t>Obsidian Black Metallic Paint;22" Onyx Black Wheels;Black Leather Seats;Full Self-Driving Capability;Smart Air Suspension;Ultra High Fidelity Sound;HEPA Air Filtration System;Keyless Entry;Power Liftgate;Red Brake Calipers;Six Seat Interior;Carbon Fiber DÃ©cor;Light Headliner;</t>
  </si>
  <si>
    <t>5YJSA1E26JF297106</t>
  </si>
  <si>
    <t>Pearl White Multi-Coat Paint;19" Sonic Carbon Slipstream Wheels;Black and White Premium Interior;Full Self-Driving Capability;Smart Air Suspension;Glass Roof;Ultra High Fidelity Sound;HEPA Air Filtration System;Subzero Weather Package;Keyless Entry;Power Liftgate;GPS Enabled Homelink;Dark Ash Wood DÃ©cor;Dark Headliner;Infotainment Upgrade;</t>
  </si>
  <si>
    <t>5YJYGDEF8MF252928</t>
  </si>
  <si>
    <t>Pearl White Paint;21â€™â€™ Ãœberturbine Wheels;All Black Premium Interior;Full Self-Driving Capability;Performance Upgrade;Five Seat Interior;Tow Hitch;Carbon Fiber Spoiler;Performance Pedals;Performance Brakes;</t>
  </si>
  <si>
    <t>5YJSA1E43JF239715</t>
  </si>
  <si>
    <t>Red Multi-Coat Paint;21" Sonic Carbon Twin Turbine Wheels;Black Premium Interior;Full Self-Driving Capability;Smart Air Suspension;Sunroof;Ultra High Fidelity Sound;HEPA Air Filtration System;Subzero Weather Package;Keyless Entry;Power Liftgate;Red Brake Calipers;GPS Enabled Homelink;Carbon Fiber DÃ©cor;Dark Headliner;Infotainment Upgrade;</t>
  </si>
  <si>
    <t>5YJSA1E42HF187391</t>
  </si>
  <si>
    <t>Deep Blue Metallic Paint;21" Grey Turbine Wheels;Black Leather Tesla Premium Seats;Full Self-Driving Capability;Carbon Fiber Spoiler;Smart Air Suspension;Glass Roof;Ultra High Fidelity Sound;HEPA Air Filtration System;Subzero Weather Package;Keyless Entry;Rear Facing Seats;Power Liftgate;Red Brake Calipers;GPS Enabled Homelink;Figured Ash Wood DÃ©cor;Integrated Center Console;Black Headliner;Infotainment Upgrade;</t>
  </si>
  <si>
    <t>5YJ3E1EB0MF049544</t>
  </si>
  <si>
    <t>5YJXCAE29JF122011</t>
  </si>
  <si>
    <t>Solid Black Paint;20" Silver Wheels;All Black Premium Interior;Full Self-Driving Capability;Smart Air Suspension;Ultra High Fidelity Sound;HEPA Air Filtration System;Subzero Weather Package;Towing Package;Keyless Entry;Power Liftgate;Seven Seat Interior;Carbon Fiber DÃ©cor;Dark Headliner;Infotainment Upgrade;</t>
  </si>
  <si>
    <t>5YJXCDE21HF077559</t>
  </si>
  <si>
    <t>Red Multi-Coat Paint;20" Silver Wheels;Black Textile Interior;Full Self-Driving Capability;Smart Air Suspension;Ultra High Fidelity Sound;HEPA Air Filtration System;Subzero Weather Package;Towing Package;Keyless Entry;Power Liftgate;Five Seat Interior;Dark Ash Wood DÃ©cor;Dark Headliner;</t>
  </si>
  <si>
    <t>5YJ3E1EA6KF424504</t>
  </si>
  <si>
    <t>5YJXCDE23LF304095</t>
  </si>
  <si>
    <t>5YJ3E1EA3KF416960</t>
  </si>
  <si>
    <t>5YJXCBE49MF310166</t>
  </si>
  <si>
    <t>Solid Black;20" Silver Wheels;Black and White Premium Interior with Carbon Fiber DÃ©cor;Full Self-Driving Capability;Ludicrous Mode;Six Seat Interior;Infotainment Upgrade;</t>
  </si>
  <si>
    <t>5YJ3E1EAXJF019390</t>
  </si>
  <si>
    <t>Deep Blue Metallic Paint;18â€™â€™ Aero Wheels;All Black Premium Interior;Full Self-Driving Capability;Front and Rear Heated Seats;</t>
  </si>
  <si>
    <t>5YJSA1E20JF243266</t>
  </si>
  <si>
    <t>5YJ3E1EA2LF590911</t>
  </si>
  <si>
    <t>5YJ3E1EA6KF402275</t>
  </si>
  <si>
    <t>Tampa, FL</t>
  </si>
  <si>
    <t>Tampa</t>
  </si>
  <si>
    <t>5YJ3E1EB5NF169986</t>
  </si>
  <si>
    <t>5YJYGDEE1LF025571</t>
  </si>
  <si>
    <t>Eatonville, FL</t>
  </si>
  <si>
    <t>5YJYGDEE1MF122559</t>
  </si>
  <si>
    <t>5YJYGDEE1MF248503</t>
  </si>
  <si>
    <t>5YJYGAEE8MF192526</t>
  </si>
  <si>
    <t>Pearl White Paint;20â€™â€™ Induction Wheels;All Black Premium Interior;Full Self-Driving Capability;Seven Seat Interior;Acceleration Boost;</t>
  </si>
  <si>
    <t>5YJYGDEE3MF068276</t>
  </si>
  <si>
    <t>5YJ3E1EC4MF918459</t>
  </si>
  <si>
    <t>Deep Blue Metallic Paint;20â€™â€™ Ãœberturbine Wheels;Black and White Premium Interior;Full Self-Driving Capability;Performance Upgrade;Carbon Fiber Spoiler;Performance Pedals;Performance Brakes;Front and Rear Heated Seats;</t>
  </si>
  <si>
    <t>5YJ3E1EB4KF391611</t>
  </si>
  <si>
    <t>5YJ3E1EAXLF599159</t>
  </si>
  <si>
    <t>5YJSA1E66MF452826</t>
  </si>
  <si>
    <t>Pearl White Multi-Coat;21" Arachnid Wheels;All Black Premium Interior with Carbon Fiber DÃ©cor;Full Self-Driving Capability;Infotainment Upgrade;</t>
  </si>
  <si>
    <t>5YJXCDE29LF239155</t>
  </si>
  <si>
    <t>5YJYGDEE5LF037416</t>
  </si>
  <si>
    <t>5YJ3E1EB9KF208767</t>
  </si>
  <si>
    <t>5YJ3E1EB5LF651080</t>
  </si>
  <si>
    <t>5YJ3E1EA7JF041797</t>
  </si>
  <si>
    <t>5YJ3E1EA7JF028709</t>
  </si>
  <si>
    <t>5YJSA1E60MF435990</t>
  </si>
  <si>
    <t>5YJSA1E64MF431358</t>
  </si>
  <si>
    <t>5YJXCAE4XJF137361</t>
  </si>
  <si>
    <t>Midnight Silver Metallic Paint;22" Onyx Black Wheels;All Black Premium Interior;Full Self-Driving Capability;Smart Air Suspension;Ultra High Fidelity Sound;HEPA Air Filtration System;Subzero Weather Package;Towing Package;Keyless Entry;Power Liftgate;Red Brake Calipers;Seven Seat Interior;Carbon Fiber DÃ©cor;Dark Headliner;Infotainment Upgrade;</t>
  </si>
  <si>
    <t>5YJ3E1EB7KF494389</t>
  </si>
  <si>
    <t>5YJYGDEE9LF023759</t>
  </si>
  <si>
    <t>5YJ3E1EA9KF332061</t>
  </si>
  <si>
    <t>5YJ3E1EBXMF916593</t>
  </si>
  <si>
    <t>5YJ3E1EB9KF494703</t>
  </si>
  <si>
    <t>5YJYGDEE8LF038303</t>
  </si>
  <si>
    <t>5YJ3E1EC8LF640888</t>
  </si>
  <si>
    <t>5YJ3E1EA1KF398748</t>
  </si>
  <si>
    <t>5YJ3E1EA0JF042290</t>
  </si>
  <si>
    <t>5YJ3E1EA0KF310191</t>
  </si>
  <si>
    <t>5YJSA1E2XJF265341</t>
  </si>
  <si>
    <t>Obsidian Black Metallic Paint;19" Silver Slipstream Wheels;All Black Premium Interior;Full Self-Driving Capability;Smart Air Suspension;Sunroof;Ultra High Fidelity Sound;HEPA Air Filtration System;Subzero Weather Package;Keyless Entry;Power Liftgate;GPS Enabled Homelink;Figured Ash Wood DÃ©cor;Dark Headliner;Infotainment Upgrade;</t>
  </si>
  <si>
    <t>5YJ3E1EA1JF015292</t>
  </si>
  <si>
    <t>5YJ3E1EA7KF416749</t>
  </si>
  <si>
    <t>5YJSA1E61NF464741</t>
  </si>
  <si>
    <t>5YJ3E1EA6KF309658</t>
  </si>
  <si>
    <t>5YJYGAEE0MF187837</t>
  </si>
  <si>
    <t>Deep Blue Metallic Paint;20â€™â€™ Induction Wheels;All Black Premium Interior;Full Self-Driving Capability;Seven Seat Interior;Tow Hitch;Acceleration Boost;</t>
  </si>
  <si>
    <t>5YJ3E1EA4MF059209</t>
  </si>
  <si>
    <t>5YJYGDEE0MF202838</t>
  </si>
  <si>
    <t>5YJ3E1EA5KF410027</t>
  </si>
  <si>
    <t>5YJYGDEF1LF051502</t>
  </si>
  <si>
    <t>5YJYGDEF3MF246230</t>
  </si>
  <si>
    <t>5YJXCDE23LF233335</t>
  </si>
  <si>
    <t>5YJ3E1EC9LF624506</t>
  </si>
  <si>
    <t>Solid Black Paint;20â€™â€™ Gray Performance Wheels;Black and White Premium Interior;Full Self-Driving Capability;Performance Upgrade;Carbon Fiber Spoiler;Performance Pedals;Performance Brakes;Front and Rear Heated Seats;</t>
  </si>
  <si>
    <t>5YJ3E1EC0LF641002</t>
  </si>
  <si>
    <t>5YJ3E1EB9KF421864</t>
  </si>
  <si>
    <t>5YJ3E1EA0JF007653</t>
  </si>
  <si>
    <t>5YJSA1E62MF433612</t>
  </si>
  <si>
    <t>5YJ3E1EB6MF978959</t>
  </si>
  <si>
    <t>5YJ3E1EB4KF434411</t>
  </si>
  <si>
    <t>5YJ3E1EB8KF432905</t>
  </si>
  <si>
    <t>5YJSA1E21JF289706</t>
  </si>
  <si>
    <t>Midnight Silver Metallic Paint;19" Silver Slipstream Wheels;All Black Premium Interior;Full Self-Driving Capability;Smart Air Suspension;Sunroof;Ultra High Fidelity Sound;HEPA Air Filtration System;Subzero Weather Package;Keyless Entry;Power Liftgate;GPS Enabled Homelink;Figured Ash Wood DÃ©cor;Dark Headliner;Infotainment Upgrade;</t>
  </si>
  <si>
    <t>5YJ3E1EA4KF314440</t>
  </si>
  <si>
    <t>5YJ3E1EB8JF122638</t>
  </si>
  <si>
    <t>5YJ3E1EC1LF647097</t>
  </si>
  <si>
    <t>5YJ3E1EA0KF332983</t>
  </si>
  <si>
    <t>7SAYGDEEXNF354209</t>
  </si>
  <si>
    <t>5YJ3E1EC6LF804655</t>
  </si>
  <si>
    <t>Pearl White Paint;20â€™â€™ Gray Performance Wheels;Black and White Premium Interior;Full Self-Driving Capability;Performance Upgrade;Carbon Fiber Spoiler;Performance Pedals;Performance Brakes;Front and Rear Heated Seats;</t>
  </si>
  <si>
    <t>5YJXCDE20JF111643</t>
  </si>
  <si>
    <t>Deep Blue Metallic Paint;20" Silver Wheels;Black and White Premium Interior;Full Self-Driving Capability;Smart Air Suspension;Ultra High Fidelity Sound;HEPA Air Filtration System;Subzero Weather Package;Towing Package;Keyless Entry;Power Liftgate;Five Seat Interior;Dark Ash Wood DÃ©cor;Dark Headliner;Infotainment Upgrade;</t>
  </si>
  <si>
    <t>7SAYGDEF3NF397587</t>
  </si>
  <si>
    <t>5YJXCBE40HF048320</t>
  </si>
  <si>
    <t>Deep Blue Metallic Paint;20" Silver Helix Wheels;Ultra White Seats;Full Self-Driving Capability;Smart Air Suspension;Ultra High Fidelity Sound;Subzero Weather Package;Keyless Entry;Power Liftgate;Red Brake Calipers;Six Seat Interior;Carbon Fiber DÃ©cor;Black Headliner;</t>
  </si>
  <si>
    <t>5YJ3E1EB6KF406562</t>
  </si>
  <si>
    <t>5YJXCDE26KF185022</t>
  </si>
  <si>
    <t>5YJSA1E20LF399956</t>
  </si>
  <si>
    <t>5YJXCDE25JF099943</t>
  </si>
  <si>
    <t>Red Multi-Coat Paint;20" Silver Wheels;Black Textile Interior;Full Self-Driving Capability;Smart Air Suspension;Towing Package;Keyless Entry;Power Liftgate;Five Seat Interior;Dark Ash Wood DÃ©cor;Dark Headliner;Infotainment Upgrade;</t>
  </si>
  <si>
    <t>5YJ3E1EB9KF477786</t>
  </si>
  <si>
    <t>5YJXCBE20JF120038</t>
  </si>
  <si>
    <t>Pearl White Multi-Coat Paint;20" Silver Wheels;Black and White Premium Interior;Full Self-Driving Capability;Smart Air Suspension;Ultra High Fidelity Sound;HEPA Air Filtration System;Subzero Weather Package;Towing Package;Keyless Entry;Power Liftgate;Six Seat Interior with Center Console;Carbon Fiber DÃ©cor;Dark Headliner;Infotainment Upgrade;</t>
  </si>
  <si>
    <t>Roswell, GA</t>
  </si>
  <si>
    <t>5YJYGDEF1MF248428</t>
  </si>
  <si>
    <t>Red Multi-Coat Paint;21â€™â€™ Ãœberturbine Wheels;All Black Premium Interior;Full Self-Driving Capability;Performance Upgrade;Five Seat Interior;Carbon Fiber Spoiler;Performance Pedals;Performance Brakes;</t>
  </si>
  <si>
    <t>5YJXCAE24JF106394</t>
  </si>
  <si>
    <t>Deep Blue Metallic Paint;20" Silver Wheels;Black Premium Interior;Full Self-Driving Capability;Smart Air Suspension;Towing Package;Keyless Entry;Power Liftgate;Seven Seat Interior;Carbon Fiber DÃ©cor;Dark Headliner;Infotainment Upgrade;</t>
  </si>
  <si>
    <t>5YJ3E1EB5JF065458</t>
  </si>
  <si>
    <t>5YJYGDEF9LF020448</t>
  </si>
  <si>
    <t>5YJ3E1EA3JF109450</t>
  </si>
  <si>
    <t>5YJ3E1EA5KF402025</t>
  </si>
  <si>
    <t>5YJ3E1EB4KF393522</t>
  </si>
  <si>
    <t>5YJ3E1EB5KF432618</t>
  </si>
  <si>
    <t>5YJ3E1EB3JF111904</t>
  </si>
  <si>
    <t>Silver Metallic Paint;19â€™â€™ Sport Wheels;Black and White Premium Interior;Full Self-Driving Capability;Acceleration Boost;Front and Rear Heated Seats;</t>
  </si>
  <si>
    <t>5YJ3E1EA1JF012022</t>
  </si>
  <si>
    <t>5YJ3E1EB7KF451736</t>
  </si>
  <si>
    <t>5YJ3E1EA4JF018171</t>
  </si>
  <si>
    <t>5YJXCDE28HF068650</t>
  </si>
  <si>
    <t>Midnight Silver Metallic Paint;20" Silver Wheels;Cream Premium Interior;Full Self-Driving Capability;Smart Air Suspension;Towing Package;Keyless Entry;Power Liftgate;Five Seat Interior;Carbon Fiber DÃ©cor;Light Headliner;Infotainment Upgrade;</t>
  </si>
  <si>
    <t>5YJSA1E29LF400697</t>
  </si>
  <si>
    <t>Pearl White Multi-Coat;19'' Tempest Wheels;All Black Premium Interior with Figured Ash Wood DÃ©cor;Full Self-Driving Capability;Glass Roof;Infotainment Upgrade;</t>
  </si>
  <si>
    <t>5YJXCAE22HF055780</t>
  </si>
  <si>
    <t>Solid Black Paint;20" Silver Wheels;Black Leather Seats;Full Self-Driving Capability;Smart Air Suspension;Ultra High Fidelity Sound;HEPA Air Filtration System;Towing Package;Keyless Entry;Power Liftgate;Seven Seat Interior;Carbon Fiber DÃ©cor;Black Headliner;</t>
  </si>
  <si>
    <t>5YJ3E1EB6JF100833</t>
  </si>
  <si>
    <t>5YJXCBE45LF283451</t>
  </si>
  <si>
    <t>5YJ3E1EB5KF199937</t>
  </si>
  <si>
    <t>5YJYGDEF1MF189493</t>
  </si>
  <si>
    <t>Raleigh, NC</t>
  </si>
  <si>
    <t>Raleigh</t>
  </si>
  <si>
    <t>5YJ3E1EB2LF669181</t>
  </si>
  <si>
    <t>5YJYGDEF2LF015639</t>
  </si>
  <si>
    <t>7SAXCBE63NF337322</t>
  </si>
  <si>
    <t>Midnight Silver Metallic;20'' Cyberstream Wheels;All Black Premium Interior with Carbon Fiber DÃ©cor;Full Self-Driving Capability;Six Seat Interior;Infotainment Upgrade;</t>
  </si>
  <si>
    <t>5YJ3E1EB5KF433882</t>
  </si>
  <si>
    <t>5YJ3E1EA9JF057385</t>
  </si>
  <si>
    <t>5YJ3E1EB1KF365371</t>
  </si>
  <si>
    <t>5YJ3E1EB3JF181502</t>
  </si>
  <si>
    <t>5YJ3E1EB9LF801983</t>
  </si>
  <si>
    <t>5YJ3E1EB7LF794712</t>
  </si>
  <si>
    <t>5YJ3E1EB8KF418177</t>
  </si>
  <si>
    <t>5YJ3E1EB3KF512970</t>
  </si>
  <si>
    <t>5YJ3E1EB5LF600033</t>
  </si>
  <si>
    <t>5YJXCBE49HF052883</t>
  </si>
  <si>
    <t>Red Multi-Coat Paint;22" Onyx Black Wheels;Black Leather Seats;Full Self-Driving Capability;Smart Air Suspension;Ultra High Fidelity Sound;HEPA Air Filtration System;Subzero Weather Package;Keyless Entry;Power Liftgate;Red Brake Calipers;Six Seat Interior;Figured Ash Wood DÃ©cor;Black Headliner;</t>
  </si>
  <si>
    <t>5YJ3E1EB0KF392450</t>
  </si>
  <si>
    <t>5YJSA1E2XJF288229</t>
  </si>
  <si>
    <t>Deep Blue Metallic Paint;19" Silver Slipstream Wheels;Cream Premium Interior;Full Self-Driving Capability;Smart Air Suspension;Glass Roof;Ultra High Fidelity Sound;HEPA Air Filtration System;Subzero Weather Package;Keyless Entry;Power Liftgate;GPS Enabled Homelink;Oak DÃ©cor;Light Headliner;Infotainment Upgrade;</t>
  </si>
  <si>
    <t>5YJ3E1EB1JF184902</t>
  </si>
  <si>
    <t>5YJ3E1EB7LF798100</t>
  </si>
  <si>
    <t>5YJSA1E67MF452429</t>
  </si>
  <si>
    <t>5YJ3E1EB9KF195552</t>
  </si>
  <si>
    <t>5YJSA1E20JF258432</t>
  </si>
  <si>
    <t>Pearl White Multi-Coat Paint;21" Sonic Carbon Twin Turbine Wheels;Black Premium Interior;Full Self-Driving Capability;Smart Air Suspension;Sunroof;Ultra High Fidelity Sound;HEPA Air Filtration System;Subzero Weather Package;Keyless Entry;Power Liftgate;GPS Enabled Homelink;Carbon Fiber DÃ©cor;Dark Headliner;Infotainment Upgrade;</t>
  </si>
  <si>
    <t>5YJ3E1EB4LF663642</t>
  </si>
  <si>
    <t>5YJ3E1EB4JF115721</t>
  </si>
  <si>
    <t>5YJ3E1EBXKF384775</t>
  </si>
  <si>
    <t>5YJXCBE43KF212005</t>
  </si>
  <si>
    <t>Pearl White Multi-Coat;22" Onyx Black Wheels;All Black Premium Interior with Carbon Fiber DÃ©cor;Full Self-Driving Capability;Ludicrous Mode;Six Seat Interior;Infotainment Upgrade;</t>
  </si>
  <si>
    <t>5YJXCAE43KF196849</t>
  </si>
  <si>
    <t>Pearl White Multi-Coat;20" Silver Wheels;Black and White Premium Interior with Carbon Fiber DÃ©cor;Full Self-Driving Capability;Ludicrous Mode;Seven Seat Interior;Infotainment Upgrade;</t>
  </si>
  <si>
    <t>5YJXCBE46JF125956</t>
  </si>
  <si>
    <t>Pearl White Multi-Coat Paint;22" Onyx Black Wheels;Black and White Premium Interior;Full Self-Driving Capability;Smart Air Suspension;Ultra High Fidelity Sound;HEPA Air Filtration System;Subzero Weather Package;Towing Package;Keyless Entry;Power Liftgate;Red Brake Calipers;Six Seat Interior with Center Console;Dark Ash Wood DÃ©cor;Dark Headliner;Infotainment Upgrade;</t>
  </si>
  <si>
    <t>5YJYGDEF1MF209872</t>
  </si>
  <si>
    <t>5YJYGDEF9LF013984</t>
  </si>
  <si>
    <t>5YJ3E1EB3KF389655</t>
  </si>
  <si>
    <t>7SAYGDEF0NF381170</t>
  </si>
  <si>
    <t>5YJXCBE21KF151722</t>
  </si>
  <si>
    <t>Midnight Silver Metallic Paint;20" Sonic Carbon Wheels;Cream Premium Interior;Full Self-Driving Capability;Smart Air Suspension;Ultra High Fidelity Sound;HEPA Air Filtration System;Subzero Weather Package;Towing Package;Keyless Entry;Power Liftgate;Six Seat Interior;Oak DÃ©cor;Light Headliner;Infotainment Upgrade;</t>
  </si>
  <si>
    <t>5YJ3E1EB2JF063621</t>
  </si>
  <si>
    <t>5YJXCAE45MF320574</t>
  </si>
  <si>
    <t>Pearl White Multi-Coat;22" Onyx Black Wheels;Black and White Premium Interior with Carbon Fiber DÃ©cor;Full Self-Driving Capability;Ludicrous Mode;Seven Seat Interior;Infotainment Upgrade;</t>
  </si>
  <si>
    <t>5YJ3E1EB4KF390457</t>
  </si>
  <si>
    <t>5YJSA1E45JF260565</t>
  </si>
  <si>
    <t>Red Multi-Coat Paint;21" Sonic Carbon Twin Turbine Wheels;All Black Premium Interior;Full Self-Driving Capability;Smart Air Suspension;Glass Roof;Ultra High Fidelity Sound;HEPA Air Filtration System;Subzero Weather Package;Keyless Entry;Power Liftgate;Red Brake Calipers;GPS Enabled Homelink;Carbon Fiber DÃ©cor;Dark Headliner;Infotainment Upgrade;</t>
  </si>
  <si>
    <t>5YJSA1E64MF447334</t>
  </si>
  <si>
    <t>5YJYGAEE2MF208994</t>
  </si>
  <si>
    <t>Pearl White Paint;20â€™â€™ Induction Wheels;All Black Premium Interior;Full Self-Driving Capability;Seven Seat Interior;Tow Hitch;Acceleration Boost;</t>
  </si>
  <si>
    <t>5YJ3E1EB9KF413389</t>
  </si>
  <si>
    <t>5YJXCDE29LF272320</t>
  </si>
  <si>
    <t>5YJXCDE26KF140064</t>
  </si>
  <si>
    <t>Deep Blue Metallic Paint;20" Silver Wheels;Black Textile Interior;Full Self-Driving Capability;Smart Air Suspension;Ultra High Fidelity Sound;HEPA Air Filtration System;Subzero Weather Package;Towing Package;Keyless Entry;Power Liftgate;Five Seat Interior;Dark Ash Wood DÃ©cor;Dark Headliner;Infotainment Upgrade;</t>
  </si>
  <si>
    <t>5YJYGDEF0LF005126</t>
  </si>
  <si>
    <t>5YJ3E1EB6LF735392</t>
  </si>
  <si>
    <t>5YJ3E1EB2LF668208</t>
  </si>
  <si>
    <t>5YJ3E1EBXLF618558</t>
  </si>
  <si>
    <t>5YJ3E1EB9JF145751</t>
  </si>
  <si>
    <t>5YJYGDEF3LF022955</t>
  </si>
  <si>
    <t>Red Multi-Coat Paint;19â€™â€™ Gemini Wheels;All Black Premium Interior;Full Self-Driving Capability;Five Seat Interior;Carbon Fiber Spoiler;</t>
  </si>
  <si>
    <t>5YJSA1E66MF452020</t>
  </si>
  <si>
    <t>5YJSA1E20JF265686</t>
  </si>
  <si>
    <t>Deep Blue Metallic Paint;19" Silver Slipstream Wheels;Black and White Premium Interior;Full Self-Driving Capability;Smart Air Suspension;Sunroof;Ultra High Fidelity Sound;HEPA Air Filtration System;Subzero Weather Package;Keyless Entry;Power Liftgate;GPS Enabled Homelink;Dark Ash Wood DÃ©cor;Dark Headliner;Infotainment Upgrade;</t>
  </si>
  <si>
    <t>5YJ3E1EB7JF122436</t>
  </si>
  <si>
    <t>5YJSA1E20HF197299</t>
  </si>
  <si>
    <t>Silver Metallic Paint;19" Silver Slipstream Wheels;Black Leather Tesla Premium Seats;Full Self-Driving Capability;Smart Air Suspension;Sunroof;HEPA Air Filtration System;Subzero Weather Package;Keyless Entry;Power Liftgate;GPS Enabled Homelink;Figured Ash Wood DÃ©cor;Black Headliner;</t>
  </si>
  <si>
    <t>5YJ3E1EB5KF432988</t>
  </si>
  <si>
    <t>5YJSA1E24JF284676</t>
  </si>
  <si>
    <t>Deep Blue Metallic Paint;19" Sonic Carbon Slipstream Wheels;All Black Premium Interior;Full Self-Driving Capability;Smart Air Suspension;Glass Roof;Ultra High Fidelity Sound;HEPA Air Filtration System;Subzero Weather Package;Keyless Entry;Power Liftgate;GPS Enabled Homelink;Figured Ash Wood DÃ©cor;Dark Headliner;Infotainment Upgrade;</t>
  </si>
  <si>
    <t>5YJ3E1EB4MF927301</t>
  </si>
  <si>
    <t>5YJSA1E27JF274076</t>
  </si>
  <si>
    <t>Pearl White Multi-Coat Paint;19" Silver Slipstream Wheels;Black and White Premium Interior;Full Self-Driving Capability;Smart Air Suspension;Sunroof;Ultra High Fidelity Sound;HEPA Air Filtration System;Subzero Weather Package;Keyless Entry;Power Liftgate;GPS Enabled Homelink;Dark Ash Wood DÃ©cor;Dark Headliner;Infotainment Upgrade;</t>
  </si>
  <si>
    <t>5YJ3E1EB5KF494102</t>
  </si>
  <si>
    <t>5YJ3E1EA6JF009973</t>
  </si>
  <si>
    <t>5YJ3E1EB8LF616534</t>
  </si>
  <si>
    <t>5YJ3E1EB2KF453944</t>
  </si>
  <si>
    <t>5YJ3E1EBXKF469518</t>
  </si>
  <si>
    <t>5YJ3E1EB7LF663523</t>
  </si>
  <si>
    <t>5YJ3E1EB4KF194390</t>
  </si>
  <si>
    <t>5YJ3E1EB0MF990492</t>
  </si>
  <si>
    <t>5YJ3E1EBXKF512660</t>
  </si>
  <si>
    <t>5YJXCDE23JF088939</t>
  </si>
  <si>
    <t>Midnight Silver Metallic Paint;20" Sonic Carbon Wheels;Black Textile Interior;Full Self-Driving Capability;Smart Air Suspension;Ultra High Fidelity Sound;HEPA Air Filtration System;Subzero Weather Package;Towing Package;Keyless Entry;Power Liftgate;Five Seat Interior;Dark Ash Wood DÃ©cor;Dark Headliner;</t>
  </si>
  <si>
    <t>5YJ3E1EA1KF332796</t>
  </si>
  <si>
    <t>Deep Blue Metallic Paint;19â€™â€™ Sport Wheels;Black and White Premium Interior;Full Self-Driving Capability;Front and Rear Heated Seats;</t>
  </si>
  <si>
    <t>5YJXCBE26JF135952</t>
  </si>
  <si>
    <t>Midnight Silver Metallic Paint;22" Onyx Black Wheels;Cream Premium Interior;Full Self-Driving Capability;Smart Air Suspension;Ultra High Fidelity Sound;HEPA Air Filtration System;Subzero Weather Package;Towing Package;Keyless Entry;Power Liftgate;Six Seat Interior;Carbon Fiber DÃ©cor;Light Headliner;Infotainment Upgrade;</t>
  </si>
  <si>
    <t>5YJ3E1EA5KF400565</t>
  </si>
  <si>
    <t>5YJ3E1EB6KF209309</t>
  </si>
  <si>
    <t>5YJ3E1EBXJF086211</t>
  </si>
  <si>
    <t>5YJYGDEF9LF002032</t>
  </si>
  <si>
    <t>Pearl White Paint;19â€™â€™ Gemini Wheels;All Black Premium Interior;Full Self-Driving Capability;Five Seat Interior;Carbon Fiber Spoiler;</t>
  </si>
  <si>
    <t>5YJ3E1EBXKF387322</t>
  </si>
  <si>
    <t>5YJ3E1EB6KF391416</t>
  </si>
  <si>
    <t>5YJYGDEE1LF010357</t>
  </si>
  <si>
    <t>5YJYGDEE2MF174783</t>
  </si>
  <si>
    <t>5YJYGDEF5MF211804</t>
  </si>
  <si>
    <t>5YJ3E1EA9JF173363</t>
  </si>
  <si>
    <t>5YJSA1E28JF294885</t>
  </si>
  <si>
    <t>Solid Black Paint;19" Silver Slipstream Wheels;Cream Premium Interior;Full Self-Driving Capability;Smart Air Suspension;Sunroof;Ultra High Fidelity Sound;HEPA Air Filtration System;Subzero Weather Package;Keyless Entry;Power Liftgate;GPS Enabled Homelink;Oak DÃ©cor;Light Headliner;Infotainment Upgrade;</t>
  </si>
  <si>
    <t>5YJ3E1EB0KF387846</t>
  </si>
  <si>
    <t>5YJ3E1EB9KF389952</t>
  </si>
  <si>
    <t>5YJXCBE25HF051633</t>
  </si>
  <si>
    <t>Midnight Silver Metallic Paint;22" Silver Turbine Wheels;Black Leather Seats;Full Self-Driving Capability;Smart Air Suspension;Ultra High Fidelity Sound;HEPA Air Filtration System;Keyless Entry;Power Liftgate;Six Seat Interior;Carbon Fiber DÃ©cor;Black Headliner;</t>
  </si>
  <si>
    <t>5YJ3E1EB6LF664145</t>
  </si>
  <si>
    <t>5YJSA1E26JF287871</t>
  </si>
  <si>
    <t>Pearl White Multi-Coat Paint;19" Silver Slipstream Wheels;Black Textile Interior;Full Self-Driving Capability;Smart Air Suspension;Sunroof;Ultra High Fidelity Sound;HEPA Air Filtration System;Subzero Weather Package;Keyless Entry;Power Liftgate;GPS Enabled Homelink;Dark Ash Wood DÃ©cor;Dark Headliner;Infotainment Upgrade;</t>
  </si>
  <si>
    <t>5YJXCBE23LF230200</t>
  </si>
  <si>
    <t>5YJSA1E46KF330933</t>
  </si>
  <si>
    <t>Red Multi-Coat;21" Sonic Carbon Twin Turbine Wheels;All Black Premium Interior with Figured Ash Wood DÃ©cor;Full Self-Driving Capability;Ludicrous Mode;Glass Roof;Infotainment Upgrade;</t>
  </si>
  <si>
    <t>5YJYGDEF3LF025354</t>
  </si>
  <si>
    <t>5YJ3E1EB9KF406958</t>
  </si>
  <si>
    <t>5YJ3E1EB4JF105190</t>
  </si>
  <si>
    <t>5YJ3E1EB4KF522231</t>
  </si>
  <si>
    <t>5YJ3E1EBXKF194426</t>
  </si>
  <si>
    <t>5YJ3E1EB0LF650189</t>
  </si>
  <si>
    <t>5YJ3E1EB9KF388686</t>
  </si>
  <si>
    <t>5YJ3E1EB1LF735025</t>
  </si>
  <si>
    <t>5YJXCBE28HF041128</t>
  </si>
  <si>
    <t>Obsidian Black Metallic Paint;22" Onyx Black Wheels;White Premium Interior;Full Self-Driving Capability;Smart Air Suspension;Ultra High Fidelity Sound;HEPA Air Filtration System;Subzero Weather Package;Keyless Entry;Power Liftgate;Six Seat Interior;Carbon Fiber DÃ©cor;Black Headliner;</t>
  </si>
  <si>
    <t>5YJ3E1EB7LF667250</t>
  </si>
  <si>
    <t>5YJXCAE28JF111792</t>
  </si>
  <si>
    <t>5YJXCBE43JF108757</t>
  </si>
  <si>
    <t>Pearl White Multi-Coat Paint;22" Onyx Black Wheels;All Black Premium Interior;Full Self-Driving Capability;Smart Air Suspension;Ultra High Fidelity Sound;HEPA Air Filtration System;Subzero Weather Package;Keyless Entry;Power Liftgate;Red Brake Calipers;Six Seat Interior;Carbon Fiber DÃ©cor;Dark Headliner;Infotainment Upgrade;</t>
  </si>
  <si>
    <t>5YJYGDEF2MF278067</t>
  </si>
  <si>
    <t>5YJYGDEF2MF194685</t>
  </si>
  <si>
    <t>5YJ3E1EB6KF451632</t>
  </si>
  <si>
    <t>5YJYGDEF7MF211707</t>
  </si>
  <si>
    <t>5YJ3E1EB0MF019427</t>
  </si>
  <si>
    <t>5YJSA1E2XJF263718</t>
  </si>
  <si>
    <t>Solid Black Paint;21" Sonic Carbon Twin Turbine Wheels;Cream Premium Interior;Full Self-Driving Capability;Smart Air Suspension;Glass Roof;Keyless Entry;Power Liftgate;GPS Enabled Homelink;Carbon Fiber DÃ©cor;Light Headliner;Infotainment Upgrade;</t>
  </si>
  <si>
    <t>5YJXCBE47KF205039</t>
  </si>
  <si>
    <t>Deep Blue Metallic;20'' Two-Tone Slipstream Wheels;All Black Premium Interior with Carbon Fiber DÃ©cor;Full Self-Driving Capability;Ludicrous Mode;Six Seat Interior;Infotainment Upgrade;</t>
  </si>
  <si>
    <t>5YJSA1E60MF431342</t>
  </si>
  <si>
    <t>5YJ3E1EB3KF452219</t>
  </si>
  <si>
    <t>5YJSA1E60NF460938</t>
  </si>
  <si>
    <t>5YJXCAE21GF022090</t>
  </si>
  <si>
    <t>Solid Black Paint;20" Silver Wheels;Ultra White Seats;Autopilot with convenience features;Smart Air Suspension;HEPA Air Filtration System;Keyless Entry;Power Liftgate;Seven Seat Interior;Carbon Fiber DÃ©cor;Black Headliner;</t>
  </si>
  <si>
    <t>5YJ3E1EBXJF092512</t>
  </si>
  <si>
    <t>5YJ3E1EB9KF391362</t>
  </si>
  <si>
    <t>5YJYGDEF1MF073405</t>
  </si>
  <si>
    <t>5YJ3E1EA9LF634340</t>
  </si>
  <si>
    <t>5YJSA1E67MF432049</t>
  </si>
  <si>
    <t>5YJSA1E24JF263312</t>
  </si>
  <si>
    <t>Red Multi-Coat Paint;19" Sonic Carbon Slipstream Wheels;White Premium Interior;Full Self-Driving Capability;Smart Air Suspension;Sunroof;Ultra High Fidelity Sound;HEPA Air Filtration System;Subzero Weather Package;Keyless Entry;Power Liftgate;GPS Enabled Homelink;Dark Ash Wood DÃ©cor;Dark Headliner;Infotainment Upgrade;</t>
  </si>
  <si>
    <t>5YJ3E1EB7KF389657</t>
  </si>
  <si>
    <t>5YJSA1E28KF305563</t>
  </si>
  <si>
    <t>5YJ3E1EB0LF617175</t>
  </si>
  <si>
    <t>5YJSA1E48LF378919</t>
  </si>
  <si>
    <t>Midnight Silver Metallic;19" Sonic Carbon Slipstream Wheels;All Black Premium Interior with Carbon Fiber DÃ©cor;Full Self-Driving Capability;Ludicrous Mode;Glass Roof;Infotainment Upgrade;</t>
  </si>
  <si>
    <t>5YJ3E1EA0LF736528</t>
  </si>
  <si>
    <t>5YJSA1E60NF462849</t>
  </si>
  <si>
    <t>5YJ3E1EA5LF643813</t>
  </si>
  <si>
    <t>5YJ3E1EB3KF197037</t>
  </si>
  <si>
    <t>5YJSA1E23JF287777</t>
  </si>
  <si>
    <t>Solid Black Paint;19" Silver Slipstream Wheels;Black Textile Interior;Full Self-Driving Capability;Smart Air Suspension;Glass Roof;Ultra High Fidelity Sound;HEPA Air Filtration System;Subzero Weather Package;Keyless Entry;Power Liftgate;GPS Enabled Homelink;Dark Ash Wood DÃ©cor;Dark Headliner;Infotainment Upgrade;</t>
  </si>
  <si>
    <t>5YJ3E1EB2KF384480</t>
  </si>
  <si>
    <t>5YJ3E1EA8JF023955</t>
  </si>
  <si>
    <t>5YJ3E1EB5JF149117</t>
  </si>
  <si>
    <t>5YJ3E1EA1JF018757</t>
  </si>
  <si>
    <t>5YJ3E1EB8LF497772</t>
  </si>
  <si>
    <t>5YJ3E1EB3LF640093</t>
  </si>
  <si>
    <t>5YJ3E1EB1LF618397</t>
  </si>
  <si>
    <t>5YJSA1E64MF453571</t>
  </si>
  <si>
    <t>5YJ3E1EB1KF433619</t>
  </si>
  <si>
    <t>5YJSA1E60NF459238</t>
  </si>
  <si>
    <t>Pearl White Multi-Coat;19" Tempest Wheels;Black and White Premium Interior with Walnut DÃ©cor;Full Self-Driving Capability;Infotainment Upgrade;</t>
  </si>
  <si>
    <t>5YJ3E1EB4MF853300</t>
  </si>
  <si>
    <t>5YJ3E1EBXKF388339</t>
  </si>
  <si>
    <t>5YJYGDEF4LF043295</t>
  </si>
  <si>
    <t>5YJSA1E66MF456603</t>
  </si>
  <si>
    <t>Red Multi-Coat;21" Arachnid Wheels;Black and White Premium Interior with Walnut DÃ©cor;Full Self-Driving Capability;Infotainment Upgrade;</t>
  </si>
  <si>
    <t>7SAYGDEF0NF376955</t>
  </si>
  <si>
    <t>5YJ3E1EA6KF416967</t>
  </si>
  <si>
    <t>5YJYGDEE7LF011254</t>
  </si>
  <si>
    <t>5YJ3E1EA2KF423012</t>
  </si>
  <si>
    <t>5YJYGDEE1LF009628</t>
  </si>
  <si>
    <t>5YJ3E1EC2MF064698</t>
  </si>
  <si>
    <t>5YJXCBE21HF049460</t>
  </si>
  <si>
    <t>Red Multi-Coat Paint;20" Silver Wheels;Black Leather Seats;Full Self-Driving Capability;Smart Air Suspension;HEPA Air Filtration System;Keyless Entry;Power Liftgate;Six Seat Interior;Figured Ash Wood DÃ©cor;Black Headliner;</t>
  </si>
  <si>
    <t>5YJ3E1EB5LF769601</t>
  </si>
  <si>
    <t>5YJ3E1EC8LF646920</t>
  </si>
  <si>
    <t>5YJXCDE27JF139682</t>
  </si>
  <si>
    <t>Red Multi-Coat Paint;20" Sonic Carbon Wheels;Black and White Premium Interior;Full Self-Driving Capability;Smart Air Suspension;Ultra High Fidelity Sound;HEPA Air Filtration System;Subzero Weather Package;Towing Package;Keyless Entry;Power Liftgate;Five Seat Interior;Dark Ash Wood DÃ©cor;Dark Headliner;Infotainment Upgrade;</t>
  </si>
  <si>
    <t>5YJ3E1EB0KF421574</t>
  </si>
  <si>
    <t>5YJ3E1EB8KF486947</t>
  </si>
  <si>
    <t>5YJ3E1EB1KF493514</t>
  </si>
  <si>
    <t>5YJ3E1EB3JF081724</t>
  </si>
  <si>
    <t>5YJ3E1EB6JF088859</t>
  </si>
  <si>
    <t>Mt. Kisco, NY</t>
  </si>
  <si>
    <t>5YJ3E1EC1MF082934</t>
  </si>
  <si>
    <t>5YJ3E1EA1KF309244</t>
  </si>
  <si>
    <t>5YJ3E1EC3LF640863</t>
  </si>
  <si>
    <t>5YJSA1E62MF453018</t>
  </si>
  <si>
    <t>5YJXCBE21JF141190</t>
  </si>
  <si>
    <t>Deep Blue Metallic Paint;20" Silver Wheels;All Black Premium Interior;Full Self-Driving Capability;Smart Air Suspension;Ultra High Fidelity Sound;HEPA Air Filtration System;Subzero Weather Package;Towing Package;Keyless Entry;Power Liftgate;Six Seat Interior;Figured Ash Wood DÃ©cor;Dark Headliner;Infotainment Upgrade;</t>
  </si>
  <si>
    <t>5YJXCBE44LF301020</t>
  </si>
  <si>
    <t>Pearl White Multi-Coat;22" Onyx Black Wheels;Cream Premium Interior with Oak Wood DÃ©cor;Full Self-Driving Capability;Ludicrous Mode;Six Seat Interior;Infotainment Upgrade;</t>
  </si>
  <si>
    <t>5YJ3E1EB5LF638040</t>
  </si>
  <si>
    <t>5YJ3E1EB8JF063073</t>
  </si>
  <si>
    <t>5YJ3E1EB2KF434407</t>
  </si>
  <si>
    <t>5YJYGDEE1LF029622</t>
  </si>
  <si>
    <t>5YJ3E1EA5LF616045</t>
  </si>
  <si>
    <t>5YJ3E1EB4MF055945</t>
  </si>
  <si>
    <t>5YJ3E1EB4LF599943</t>
  </si>
  <si>
    <t>5YJYGDEE9LF021199</t>
  </si>
  <si>
    <t>5YJ3E1EB2KF528738</t>
  </si>
  <si>
    <t>5YJ3E1EB6KF368072</t>
  </si>
  <si>
    <t>5YJ3E1EB5KF236663</t>
  </si>
  <si>
    <t>5YJ3E1EB6KF393313</t>
  </si>
  <si>
    <t>5YJ3E1EB4JF170878</t>
  </si>
  <si>
    <t>5YJ3E1EA6LF598204</t>
  </si>
  <si>
    <t>5YJ3E1EB9KF386887</t>
  </si>
  <si>
    <t>5YJ3E1EB4NF106443</t>
  </si>
  <si>
    <t>5YJ3E1EAXKF399137</t>
  </si>
  <si>
    <t>5YJ3E1EC5LF640976</t>
  </si>
  <si>
    <t>5YJ3E1EA1KF316890</t>
  </si>
  <si>
    <t>5YJ3E1EB3KF514511</t>
  </si>
  <si>
    <t>5YJXCBE40KF185359</t>
  </si>
  <si>
    <t>Midnight Silver Metallic;22" Onyx Black Wheels;All Black Premium Interior with Carbon Fiber DÃ©cor;Full Self-Driving Capability;Six Seat Interior;Infotainment Upgrade;</t>
  </si>
  <si>
    <t>5YJ3E1EB9KF393225</t>
  </si>
  <si>
    <t>5YJ3E1EB9KF392995</t>
  </si>
  <si>
    <t>Red Multi-Coat Paint;20â€™â€™ Performance Wheels;All Black Premium Interior;Full Self-Driving Capability;Performance Upgrade;Carbon Fiber Spoiler;Performance Pedals;Performance Brakes;Front and Rear Heated Seats;</t>
  </si>
  <si>
    <t>5YJ3E1EB3LF620779</t>
  </si>
  <si>
    <t>5YJ3E1EA1KF313083</t>
  </si>
  <si>
    <t>5YJ3E1EB6KF231505</t>
  </si>
  <si>
    <t>5YJ3E1EB3KF390773</t>
  </si>
  <si>
    <t>5YJ3E1EA7KF431364</t>
  </si>
  <si>
    <t>5YJ3E1EA6LF632481</t>
  </si>
  <si>
    <t>5YJ3E1EA3KF402167</t>
  </si>
  <si>
    <t>5YJ3E1EB7KF481478</t>
  </si>
  <si>
    <t>5YJ3E1EB6LF622865</t>
  </si>
  <si>
    <t>5YJ3E1EB9KF421699</t>
  </si>
  <si>
    <t>5YJ3E1EA4KF402646</t>
  </si>
  <si>
    <t>5YJ3E1EB2KF511504</t>
  </si>
  <si>
    <t>5YJ3E1ECXMF914268</t>
  </si>
  <si>
    <t>5YJ3E1EC5LF601966</t>
  </si>
  <si>
    <t>5YJYGDEF1MF140908</t>
  </si>
  <si>
    <t>Deep Blue Metallic Paint;21â€™â€™ Ãœberturbine Wheels;Black and White Premium Interior;Full Self-Driving Capability;Performance Upgrade;Five Seat Interior;Carbon Fiber Spoiler;Performance Pedals;Performance Brakes;</t>
  </si>
  <si>
    <t>5YJYGDEE2MF190823</t>
  </si>
  <si>
    <t>5YJXCBE27LF304878</t>
  </si>
  <si>
    <t>5YJXCDE23JF115427</t>
  </si>
  <si>
    <t>Midnight Silver Metallic Paint;20" Silver Wheels;All Black Premium Interior;Full Self-Driving Capability;Smart Air Suspension;Ultra High Fidelity Sound;HEPA Air Filtration System;Subzero Weather Package;Towing Package;Keyless Entry;Power Liftgate;Five Seat Interior;Figured Ash Wood DÃ©cor;Dark Headliner;Infotainment Upgrade;</t>
  </si>
  <si>
    <t>5YJ3E1EB6KF195315</t>
  </si>
  <si>
    <t>5YJ3E1EB4KF391186</t>
  </si>
  <si>
    <t>5YJSA1E40KF305820</t>
  </si>
  <si>
    <t>Midnight Silver Metallic Paint;21" Sonic Carbon Twin Turbine Wheels;All Black Premium Interior;Full Self-Driving Capability;Carbon Fiber Spoiler;Smart Air Suspension;Glass Roof;Ultra High Fidelity Sound;HEPA Air Filtration System;Subzero Weather Package;Keyless Entry;Power Liftgate;Red Brake Calipers;GPS Enabled Homelink;Carbon Fiber DÃ©cor;Dark Headliner;Infotainment Upgrade;</t>
  </si>
  <si>
    <t>5YJSA1E28JF295650</t>
  </si>
  <si>
    <t>5YJ3E1EB9MF001170</t>
  </si>
  <si>
    <t>5YJ3E1EB3JF178941</t>
  </si>
  <si>
    <t>5YJYGDEE4MF068156</t>
  </si>
  <si>
    <t>5YJYGDEE6LF055987</t>
  </si>
  <si>
    <t>5YJ3E1EB2LF622443</t>
  </si>
  <si>
    <t>5YJ3E1EB0KF477692</t>
  </si>
  <si>
    <t>5YJ3E1EB6LF796077</t>
  </si>
  <si>
    <t>5YJ3E1EC1LF669617</t>
  </si>
  <si>
    <t>5YJYGDEE3LF010876</t>
  </si>
  <si>
    <t>5YJYGDED6MF103724</t>
  </si>
  <si>
    <t>Pearl White Paint;20â€™â€™ Induction Wheels;All Black Premium Interior;Full Self-Driving Capability;Five Seat Interior;</t>
  </si>
  <si>
    <t>5YJXCBE47KF185360</t>
  </si>
  <si>
    <t>Midnight Silver Metallic;20" Silver Wheels;All Black Premium Interior with Carbon Fiber DÃ©cor;Full Self-Driving Capability;Ludicrous Mode;Six Seat Interior;Infotainment Upgrade;</t>
  </si>
  <si>
    <t>5YJXCAE2XJF101393</t>
  </si>
  <si>
    <t>5YJ3E1EC8MF024285</t>
  </si>
  <si>
    <t>5YJ3E1EC3LF602873</t>
  </si>
  <si>
    <t>Solid Black Paint;20â€™â€™ Gray Performance Wheels;All Black Premium Interior;Full Self-Driving Capability;Performance Upgrade;Carbon Fiber Spoiler;Performance Pedals;Performance Brakes;Front and Rear Heated Seats;</t>
  </si>
  <si>
    <t>5YJ3E1EB1LF664182</t>
  </si>
  <si>
    <t>5YJ3E1EB7LF622700</t>
  </si>
  <si>
    <t>5YJ3E1EB4KF454318</t>
  </si>
  <si>
    <t>5YJXCDE24KF196908</t>
  </si>
  <si>
    <t>Solid Black;20" Silver Wheels;All Black Premium Interior with Figured Ash Wood DÃ©cor;Full Self-Driving Capability;Five Seat Interior;Infotainment Upgrade;</t>
  </si>
  <si>
    <t>5YJXCDE2XKF153822</t>
  </si>
  <si>
    <t>5YJ3E1EC6LF791809</t>
  </si>
  <si>
    <t>5YJ3E1EB7KF487149</t>
  </si>
  <si>
    <t>5YJ3E1EB5KF433302</t>
  </si>
  <si>
    <t>5YJ3E1EB1MF869292</t>
  </si>
  <si>
    <t>5YJ3E1EA6MF919742</t>
  </si>
  <si>
    <t>5YJSA1E65MF442885</t>
  </si>
  <si>
    <t>Deep Blue Metallic;21" Arachnid Wheels;All Black Premium Interior with Carbon Fiber DÃ©cor;Full Self-Driving Capability;Infotainment Upgrade;</t>
  </si>
  <si>
    <t>5YJSA1E20JF285307</t>
  </si>
  <si>
    <t>Deep Blue Metallic Paint;19" Silver Slipstream Wheels;All Black Premium Interior;Full Self-Driving Capability;Smart Air Suspension;Glass Roof;Ultra High Fidelity Sound;HEPA Air Filtration System;Subzero Weather Package;Keyless Entry;Power Liftgate;GPS Enabled Homelink;Carbon Fiber DÃ©cor;Dark Headliner;Infotainment Upgrade;</t>
  </si>
  <si>
    <t>5YJ3E1EB1KF451604</t>
  </si>
  <si>
    <t>5YJ3E1EB7LF600406</t>
  </si>
  <si>
    <t>5YJ3E1EB0KF391301</t>
  </si>
  <si>
    <t>5YJSA1E64MF438276</t>
  </si>
  <si>
    <t>Red Multi-Coat;21" Arachnid Wheels;Cream Premium Interior with Walnut DÃ©cor;Full Self-Driving Capability;Infotainment Upgrade;</t>
  </si>
  <si>
    <t>5YJXCBE20GF012107</t>
  </si>
  <si>
    <t>Pearl White Multi-Coat Paint;20" Silver Helix Wheels;Tan Leather Seats;Autopilot with convenience features;Smart Air Suspension;Ultra High Fidelity Sound;HEPA Air Filtration System;Subzero Weather Package;Keyless Entry;Power Liftgate;Six Seat Interior;Figured Ash Wood DÃ©cor;Light Headliner;</t>
  </si>
  <si>
    <t>5YJ3E1EB2KF231176</t>
  </si>
  <si>
    <t>5YJ3E1EB3KF408463</t>
  </si>
  <si>
    <t>5YJ3E1EA3KF483655</t>
  </si>
  <si>
    <t>5YJ3E1EA7MF096402</t>
  </si>
  <si>
    <t>5YJ3E1EB8KF391644</t>
  </si>
  <si>
    <t>5YJYGDEE3MF214207</t>
  </si>
  <si>
    <t>5YJ3E1EB2JF090852</t>
  </si>
  <si>
    <t>5YJ3E1EB5KF451346</t>
  </si>
  <si>
    <t>5YJYGDEE4MF231033</t>
  </si>
  <si>
    <t>5YJYGDEE1LF022704</t>
  </si>
  <si>
    <t>5YJ3E1EB0LF733699</t>
  </si>
  <si>
    <t>5YJ3E1EB6KF359307</t>
  </si>
  <si>
    <t>5YJ3E1EBXJF117330</t>
  </si>
  <si>
    <t>5YJYGDEE3MF301993</t>
  </si>
  <si>
    <t>5YJ3E1EB6JF068739</t>
  </si>
  <si>
    <t>5YJ3E1EB9JF100146</t>
  </si>
  <si>
    <t>5YJXCBE2XJF137347</t>
  </si>
  <si>
    <t>Solid Black Paint;20" Sonic Carbon Wheels;All Black Premium Interior;Full Self-Driving Capability;Smart Air Suspension;Ultra High Fidelity Sound;HEPA Air Filtration System;Subzero Weather Package;Towing Package;Keyless Entry;Power Liftgate;Six Seat Interior;Figured Ash Wood DÃ©cor;Dark Headliner;Infotainment Upgrade;</t>
  </si>
  <si>
    <t>5YJ3E1EB8KF493588</t>
  </si>
  <si>
    <t>5YJ3E1EB5JF135217</t>
  </si>
  <si>
    <t>Red Multi-Coat Paint;19â€™â€™ Sport Wheels;Black and White Premium Interior;Full Self-Driving Capability;Acceleration Boost;Front and Rear Heated Seats;</t>
  </si>
  <si>
    <t>5YJSA1E65MF438514</t>
  </si>
  <si>
    <t>5YJ3E1EB7JF104597</t>
  </si>
  <si>
    <t>5YJ3E1EB1KF389234</t>
  </si>
  <si>
    <t>5YJYGDEF5LF005798</t>
  </si>
  <si>
    <t>5YJ3E1EBXKF442478</t>
  </si>
  <si>
    <t>5YJ3E1EB1KF387127</t>
  </si>
  <si>
    <t>5YJ3E1EC9MF992377</t>
  </si>
  <si>
    <t>5YJ3E1EB2KF389744</t>
  </si>
  <si>
    <t>5YJ3E1EB5KF194916</t>
  </si>
  <si>
    <t>5YJ3E1EB2JF116818</t>
  </si>
  <si>
    <t>5YJ3E1EB1JF068664</t>
  </si>
  <si>
    <t>5YJ3E1EA0LF632203</t>
  </si>
  <si>
    <t>5YJ3E1EBXJF147850</t>
  </si>
  <si>
    <t>Deep Blue Metallic Paint;19â€™â€™ Sport Wheels;Black and White Premium Interior;Full Self-Driving Capability;Acceleration Boost;Front and Rear Heated Seats;</t>
  </si>
  <si>
    <t>5YJ3E1EAXKF415417</t>
  </si>
  <si>
    <t>5YJ3E1EA3KF417865</t>
  </si>
  <si>
    <t>5YJ3E1EB1KF389153</t>
  </si>
  <si>
    <t>5YJ3E1EB5JF091512</t>
  </si>
  <si>
    <t>5YJSA1E24JF282667</t>
  </si>
  <si>
    <t>Pearl White Multi-Coat Paint;19" Silver Slipstream Wheels;Black and White Premium Interior;Full Self-Driving Capability;Smart Air Suspension;Glass Roof;Ultra High Fidelity Sound;HEPA Air Filtration System;Subzero Weather Package;Keyless Entry;Power Liftgate;GPS Enabled Homelink;Dark Ash Wood DÃ©cor;Dark Headliner;Infotainment Upgrade;</t>
  </si>
  <si>
    <t>5YJ3E1EB3KF494938</t>
  </si>
  <si>
    <t>5YJ3E1EB3KF384553</t>
  </si>
  <si>
    <t>5YJ3E1EB4KF205937</t>
  </si>
  <si>
    <t>5YJ3E1EB6KF434166</t>
  </si>
  <si>
    <t>5YJ3E1EB7KF454345</t>
  </si>
  <si>
    <t>5YJ3E1EB9LF637960</t>
  </si>
  <si>
    <t>5YJ3E1EAXJF003819</t>
  </si>
  <si>
    <t>5YJXCAE46LF284022</t>
  </si>
  <si>
    <t>5YJ3E1EA9JF006436</t>
  </si>
  <si>
    <t>5YJ3E1EB5JF100497</t>
  </si>
  <si>
    <t>5YJ3E1EA9KF417840</t>
  </si>
  <si>
    <t>5YJ3E1EB6JF068756</t>
  </si>
  <si>
    <t>5YJ3E1EA1LF740524</t>
  </si>
  <si>
    <t>5YJ3E1EB5KF389222</t>
  </si>
  <si>
    <t>7SAXCBE61NF331423</t>
  </si>
  <si>
    <t>Red Multi-Coat;20'' Cyberstream Wheels;Black and White Premium Interior with Carbon Fiber DÃ©cor;Full Self-Driving Capability;Six Seat Interior;Infotainment Upgrade;</t>
  </si>
  <si>
    <t>5YJXCAE22JF138213</t>
  </si>
  <si>
    <t>5YJ3E1EB6KF387026</t>
  </si>
  <si>
    <t>5YJXCAE27KF184511</t>
  </si>
  <si>
    <t>Solid Black;20'' Two-Tone Slipstream Wheels;All Black Premium Interior with Figured Ash Wood DÃ©cor;Full Self-Driving Capability;Seven Seat Interior;Infotainment Upgrade;</t>
  </si>
  <si>
    <t>5YJ3E1EBXKF418598</t>
  </si>
  <si>
    <t>Minneapolis, MN</t>
  </si>
  <si>
    <t>5YJXCBE43LF305298</t>
  </si>
  <si>
    <t>5YJ3E1EBXKF388681</t>
  </si>
  <si>
    <t>5YJYGDEF5LF013917</t>
  </si>
  <si>
    <t>5YJ3E1EB0KF441856</t>
  </si>
  <si>
    <t>5YJ3E1EC6NF196963</t>
  </si>
  <si>
    <t>5YJ3E1EB0JF145086</t>
  </si>
  <si>
    <t>5YJ3E1EB4KF465254</t>
  </si>
  <si>
    <t>5YJ3E1EB6JF119933</t>
  </si>
  <si>
    <t>5YJ3E1EB8KF493459</t>
  </si>
  <si>
    <t>5YJYGDEF5MF211589</t>
  </si>
  <si>
    <t>5YJ3E1EB7KF388167</t>
  </si>
  <si>
    <t>5YJYGDEF4LF003153</t>
  </si>
  <si>
    <t>5YJSA1E68MF453167</t>
  </si>
  <si>
    <t>5YJ3E1EB8LF798042</t>
  </si>
  <si>
    <t>5YJ3E1EB4MF852745</t>
  </si>
  <si>
    <t>5YJ3E1EB1NF201462</t>
  </si>
  <si>
    <t>5YJSA1E28JF277813</t>
  </si>
  <si>
    <t>Pearl White Multi-Coat Paint;21" Sonic Carbon Twin Turbine Wheels;Cream Premium Interior;Full Self-Driving Capability;Smart Air Suspension;Sunroof;Ultra High Fidelity Sound;HEPA Air Filtration System;Subzero Weather Package;Keyless Entry;Power Liftgate;GPS Enabled Homelink;Oak DÃ©cor;Light Headliner;Infotainment Upgrade;</t>
  </si>
  <si>
    <t>5YJ3E1EB6KF433762</t>
  </si>
  <si>
    <t>5YJ3E1EB7KF386340</t>
  </si>
  <si>
    <t>5YJ3E1EB9KF387215</t>
  </si>
  <si>
    <t>5YJ3E1EB1KF453952</t>
  </si>
  <si>
    <t>5YJ3E1EB1KF388312</t>
  </si>
  <si>
    <t>5YJ3E1EA0LF597002</t>
  </si>
  <si>
    <t>5YJ3E1EB3KF389977</t>
  </si>
  <si>
    <t>5YJ3E1EB5KF452092</t>
  </si>
  <si>
    <t>5YJ3E1EB8KF433990</t>
  </si>
  <si>
    <t>5YJ3E1EB0KF477708</t>
  </si>
  <si>
    <t>5YJ3E1EB7KF388511</t>
  </si>
  <si>
    <t>5YJ3E1EB9KF392351</t>
  </si>
  <si>
    <t>5YJYGDEE5MF279348</t>
  </si>
  <si>
    <t>5YJ3E1EBXKF388566</t>
  </si>
  <si>
    <t>5YJYGDEE9MF294113</t>
  </si>
  <si>
    <t>5YJ3E1EB8LF616324</t>
  </si>
  <si>
    <t>5YJYGDEF3LF001474</t>
  </si>
  <si>
    <t>5YJ3E1EB4KF477310</t>
  </si>
  <si>
    <t>5YJ3E1EB4LF741871</t>
  </si>
  <si>
    <t>5YJ3E1EC9MF031472</t>
  </si>
  <si>
    <t>Red Multi-Coat Paint;20â€™â€™ Ãœberturbine Wheels;Black and White Premium Interior;Full Self-Driving Capability;Performance Upgrade;Carbon Fiber Spoiler;Performance Pedals;Performance Brakes;Front and Rear Heated Seats;</t>
  </si>
  <si>
    <t>5YJ3E1EA0JF028258</t>
  </si>
  <si>
    <t>5YJYGDEE8MF076910</t>
  </si>
  <si>
    <t>5YJYGDEE2MF240393</t>
  </si>
  <si>
    <t>5YJYGDEF8MF276050</t>
  </si>
  <si>
    <t>5YJYGDEE8MF089916</t>
  </si>
  <si>
    <t>5YJ3E1EB6KF393747</t>
  </si>
  <si>
    <t>5YJYGAEE1MF218495</t>
  </si>
  <si>
    <t>Solid Black Paint;19â€™â€™ Gemini Wheels;All Black Premium Interior;Full Self-Driving Capability;Seven Seat Interior;Acceleration Boost;</t>
  </si>
  <si>
    <t>5YJSA1E60MF438159</t>
  </si>
  <si>
    <t>5YJSA1E60MF451770</t>
  </si>
  <si>
    <t>5YJYGAEE7MF210028</t>
  </si>
  <si>
    <t>Solid Black Paint;19â€™â€™ Gemini Wheels;Black and White Premium Interior;Full Self-Driving Capability;Seven Seat Interior;Acceleration Boost;</t>
  </si>
  <si>
    <t>5YJ3E1EA8KF417201</t>
  </si>
  <si>
    <t>7SAYGDEF8NF323632</t>
  </si>
  <si>
    <t>5YJ3E1EB5KF438693</t>
  </si>
  <si>
    <t>5YJYGDEE3MF084767</t>
  </si>
  <si>
    <t>5YJXCAE25JF123544</t>
  </si>
  <si>
    <t>Midnight Silver Metallic Paint;22" Onyx Black Wheels;Black and White Premium Interior;Full Self-Driving Capability;Smart Air Suspension;Ultra High Fidelity Sound;HEPA Air Filtration System;Subzero Weather Package;Towing Package;Keyless Entry;Power Liftgate;Seven Seat Interior;Carbon Fiber DÃ©cor;Dark Headliner;Infotainment Upgrade;</t>
  </si>
  <si>
    <t>5YJYGDEE1LF016305</t>
  </si>
  <si>
    <t>5YJYGDEE5LF054975</t>
  </si>
  <si>
    <t>5YJ3E1EC5NF248003</t>
  </si>
  <si>
    <t>5YJYGDEE5LF052336</t>
  </si>
  <si>
    <t>5YJ3E1EB4KF214086</t>
  </si>
  <si>
    <t>5YJ3E1EB1JF081897</t>
  </si>
  <si>
    <t>5YJ3E1EB5KF425541</t>
  </si>
  <si>
    <t>5YJ3E1EB1KF469634</t>
  </si>
  <si>
    <t>5YJ3E1EB2KF513933</t>
  </si>
  <si>
    <t>5YJ3E1EB0KF392609</t>
  </si>
  <si>
    <t>5YJ3E1ECXLF811723</t>
  </si>
  <si>
    <t>5YJ3E1EB4KF393407</t>
  </si>
  <si>
    <t>5YJXCBE24HF051073</t>
  </si>
  <si>
    <t>Deep Blue Metallic Paint;20" Silver Wheels;White Premium Interior;Full Self-Driving Capability;Smart Air Suspension;HEPA Air Filtration System;Keyless Entry;Power Liftgate;Six Seat Interior;Dark Ash Wood DÃ©cor;Black Headliner;</t>
  </si>
  <si>
    <t>5YJXCBE24LF301999</t>
  </si>
  <si>
    <t>Pearl White Multi-Coat;22" Onyx Black Wheels;Cream Premium Interior with Oak Wood DÃ©cor;Full Self-Driving Capability;Six Seat Interior;Infotainment Upgrade;</t>
  </si>
  <si>
    <t>5YJ3E1EB0JF083334</t>
  </si>
  <si>
    <t>Silver Metallic Paint;20â€™â€™ Performance Wheels;All Black Premium Interior;Full Self-Driving Capability;Performance Upgrade;Carbon Fiber Spoiler;Performance Pedals;Performance Brakes;Front and Rear Heated Seats;</t>
  </si>
  <si>
    <t>5YJYGDEE7MF069768</t>
  </si>
  <si>
    <t>5YJ3E1ECXLF784572</t>
  </si>
  <si>
    <t>5YJYGDEE2MF077566</t>
  </si>
  <si>
    <t>5YJXCDE41KF185446</t>
  </si>
  <si>
    <t>Deep Blue Metallic;22" Onyx Black Wheels;All Black Premium Interior with Carbon Fiber DÃ©cor;Full Self-Driving Capability;Five Seat Interior;Infotainment Upgrade;</t>
  </si>
  <si>
    <t>5YJYGDEE8LF042805</t>
  </si>
  <si>
    <t>5YJXCAE22KF198414</t>
  </si>
  <si>
    <t>5YJXCBE44LF231227</t>
  </si>
  <si>
    <t>5YJYGDEE4MF293628</t>
  </si>
  <si>
    <t>5YJYGDEE3MF077446</t>
  </si>
  <si>
    <t>Deep Blue Metallic Paint;19â€™â€™ Gemini Wheels;All Black Premium Interior;Full Self-Driving Capability;Five Seat Interior;Tow Hitch;Acceleration Boost;</t>
  </si>
  <si>
    <t>5YJ3E1EB5JF073656</t>
  </si>
  <si>
    <t>5YJYGDEE4MF186093</t>
  </si>
  <si>
    <t>5YJ3E1EB6KF429498</t>
  </si>
  <si>
    <t>5YJYGAEEXMF172780</t>
  </si>
  <si>
    <t>5YJXCAE22HF060302</t>
  </si>
  <si>
    <t>Deep Blue Metallic Paint;20" Silver Wheels;Cream Premium Interior;Full Self-Driving Capability;Smart Air Suspension;Ultra High Fidelity Sound;HEPA Air Filtration System;Subzero Weather Package;Keyless Entry;Power Liftgate;Seven Seat Interior;Figured Ash Wood DÃ©cor;Light Headliner;</t>
  </si>
  <si>
    <t>5YJXCDE20KF195724</t>
  </si>
  <si>
    <t>5YJXCAE40JF128104</t>
  </si>
  <si>
    <t>Solid Black Paint;22" Onyx Black Wheels;All Black Premium Interior;Autopilot;Smart Air Suspension;Ultra High Fidelity Sound;HEPA Air Filtration System;Subzero Weather Package;Towing Package;Keyless Entry;Power Liftgate;Red Brake Calipers;Seven Seat Interior;Figured Ash Wood DÃ©cor;Dark Headliner;Infotainment Upgrade;</t>
  </si>
  <si>
    <t>5YJSA1E27JF254636</t>
  </si>
  <si>
    <t>Pearl White Multi-Coat Paint;19" Silver Slipstream Wheels;Cream Premium Interior;Autopilot;Smart Air Suspension;Glass Roof;Keyless Entry;Power Liftgate;GPS Enabled Homelink;Figured Ash Wood DÃ©cor;Light Headliner;Infotainment Upgrade;</t>
  </si>
  <si>
    <t>5YJ3E1EB9KF393564</t>
  </si>
  <si>
    <t>5YJ3E1EB0KF413636</t>
  </si>
  <si>
    <t>5YJXCBE26JF139533</t>
  </si>
  <si>
    <t>Midnight Silver Metallic Paint;20" Silver Wheels;Cream Premium Interior;Autopilot;Smart Air Suspension;Ultra High Fidelity Sound;HEPA Air Filtration System;Subzero Weather Package;Towing Package;Keyless Entry;Power Liftgate;Six Seat Interior with Center Console;Oak DÃ©cor;Light Headliner;Infotainment Upgrade;</t>
  </si>
  <si>
    <t>5YJXCBE41GF018130</t>
  </si>
  <si>
    <t>Obsidian Black Metallic Paint;22" Silver Turbine Wheels;Black Leather Seats;Autopilot with convenience features;Smart Air Suspension;HEPA Air Filtration System;Subzero Weather Package;Keyless Entry;Power Liftgate;Red Brake Calipers;Six Seat Interior;Dark Ash Wood DÃ©cor;Black Headliner;</t>
  </si>
  <si>
    <t>5YJYGAEE7MF192131</t>
  </si>
  <si>
    <t>5YJXCAE27JF133850</t>
  </si>
  <si>
    <t>Solid Black Paint;20" Silver Wheels;Black Textile Interior;Full Self-Driving Capability;Smart Air Suspension;Ultra High Fidelity Sound;HEPA Air Filtration System;Subzero Weather Package;Towing Package;Keyless Entry;Power Liftgate;Seven Seat Interior;Dark Ash Wood DÃ©cor;Dark Headliner;Infotainment Upgrade;</t>
  </si>
  <si>
    <t>5YJYGDEE6MF121195</t>
  </si>
  <si>
    <t>Midnight Silver Metallic Paint;20â€™â€™ Induction Wheels;Black and White Premium Interior;Full Self-Driving Capability;Five Seat Interior;Tow Hitch;Acceleration Boost;</t>
  </si>
  <si>
    <t>5YJXCAE47KF182047</t>
  </si>
  <si>
    <t>Pearl White Multi-Coat;22" Onyx Black Wheels;All Black Premium Interior with Figured Ash Wood DÃ©cor;Full Self-Driving Capability;Ludicrous Mode;Seven Seat Interior;Infotainment Upgrade;</t>
  </si>
  <si>
    <t>5YJ3E1EB1LF735669</t>
  </si>
  <si>
    <t>7SAYGDEE8NF454261</t>
  </si>
  <si>
    <t>5YJ3E1EC2LF602959</t>
  </si>
  <si>
    <t>5YJSA1E40JF257685</t>
  </si>
  <si>
    <t>Obsidian Black Metallic Paint;21" Sonic Carbon Twin Turbine Wheels;Black Premium Interior;Full Self-Driving Capability;Carbon Fiber Spoiler;Smart Air Suspension;Glass Roof;Ultra High Fidelity Sound;HEPA Air Filtration System;Subzero Weather Package;Keyless Entry;Power Liftgate;Red Brake Calipers;GPS Enabled Homelink;Figured Ash Wood DÃ©cor;Dark Headliner;Infotainment Upgrade;</t>
  </si>
  <si>
    <t>5YJSA1E68MF434084</t>
  </si>
  <si>
    <t>5YJXCBE27HF077991</t>
  </si>
  <si>
    <t>Pearl White Multi-Coat Paint;20" Silver Wheels;Cream Premium Interior;Full Self-Driving Capability;Smart Air Suspension;Ultra High Fidelity Sound;HEPA Air Filtration System;Subzero Weather Package;Keyless Entry;Power Liftgate;Six Seat Interior;Figured Ash Wood DÃ©cor;Light Headliner;Infotainment Upgrade;</t>
  </si>
  <si>
    <t>5YJXCBE28JF136150</t>
  </si>
  <si>
    <t>Solid Black Paint;20" Silver Wheels;Black and White Premium Interior;Full Self-Driving Capability;Smart Air Suspension;Ultra High Fidelity Sound;HEPA Air Filtration System;Subzero Weather Package;Towing Package;Keyless Entry;Power Liftgate;Six Seat Interior with Center Console;Dark Ash Wood DÃ©cor;Dark Headliner;Infotainment Upgrade;</t>
  </si>
  <si>
    <t>5YJXCAE2XKF182820</t>
  </si>
  <si>
    <t>Model X Standard Range All-Wheel Drive</t>
  </si>
  <si>
    <t>Pearl White Multi-Coat;22" Onyx Black Wheels;All Black Premium Interior with Figured Ash Wood DÃ©cor;Full Self-Driving Capability;Seven Seat Interior;Infotainment Upgrade;</t>
  </si>
  <si>
    <t>5YJ3E1EA1JF030374</t>
  </si>
  <si>
    <t>5YJ3E1EB2KF364956</t>
  </si>
  <si>
    <t>5YJ3E1EB8KF454628</t>
  </si>
  <si>
    <t>5YJ3E1EB6JF100699</t>
  </si>
  <si>
    <t>5YJXCAE22LF236001</t>
  </si>
  <si>
    <t>5YJ3E1EB3KF494020</t>
  </si>
  <si>
    <t>5YJ3E1EB1JF086758</t>
  </si>
  <si>
    <t>5YJ3E1EBXJF054116</t>
  </si>
  <si>
    <t>5YJ3E1EB8KF387237</t>
  </si>
  <si>
    <t>5YJ3E1EB8KF389747</t>
  </si>
  <si>
    <t>5YJ3E1EB2KF390294</t>
  </si>
  <si>
    <t>5YJ3E1EB1KF442045</t>
  </si>
  <si>
    <t>5YJ3E1EB1KF406923</t>
  </si>
  <si>
    <t>5YJ3E1EB9JF074759</t>
  </si>
  <si>
    <t>Red Multi-Coat Paint;20â€™â€™ Performance Wheels;Black and White Premium Interior;Full Self-Driving Capability;Performance Upgrade;Performance Pedals;Performance Brakes;Front and Rear Heated Seats;</t>
  </si>
  <si>
    <t>5YJ3E1EA1LF504505</t>
  </si>
  <si>
    <t>5YJXCBE2XMF310921</t>
  </si>
  <si>
    <t>5YJ3E1EB1KF514376</t>
  </si>
  <si>
    <t>5YJ3E1EB5KF452013</t>
  </si>
  <si>
    <t>5YJ3E1EA8JF044451</t>
  </si>
  <si>
    <t>5YJ3E1EBXJF100754</t>
  </si>
  <si>
    <t>5YJ3E1EA7KF416895</t>
  </si>
  <si>
    <t>5YJ3E1EB1KF406906</t>
  </si>
  <si>
    <t>5YJ3E1EB4KF388384</t>
  </si>
  <si>
    <t>5YJ3E1EB3KF392216</t>
  </si>
  <si>
    <t>5YJ3E1EA8KF400382</t>
  </si>
  <si>
    <t>5YJ3E1EB3KF454634</t>
  </si>
  <si>
    <t>5YJYGDEF9LF027903</t>
  </si>
  <si>
    <t>5YJ3E1EB2LF640649</t>
  </si>
  <si>
    <t>5YJ3E1EB2JF088700</t>
  </si>
  <si>
    <t>5YJ3E1EB5KF388765</t>
  </si>
  <si>
    <t>5YJ3E1EB4KF193921</t>
  </si>
  <si>
    <t>5YJ3E1EBXJF122513</t>
  </si>
  <si>
    <t>5YJ3E1EB0LF783325</t>
  </si>
  <si>
    <t>5YJ3E1EB0LF711508</t>
  </si>
  <si>
    <t>5YJ3E1EA9LF597337</t>
  </si>
  <si>
    <t>5YJ3E1EA3LF659573</t>
  </si>
  <si>
    <t>5YJ3E1EB7JF112344</t>
  </si>
  <si>
    <t>5YJ3E1EC9LF603378</t>
  </si>
  <si>
    <t>Midnight Silver Metallic Paint;20â€™â€™ Gray Performance Wheels;Black and White Premium Interior;Full Self-Driving Capability;Performance Upgrade;Carbon Fiber Spoiler;Performance Pedals;Performance Brakes;Front and Rear Heated Seats;</t>
  </si>
  <si>
    <t>5YJ3E1EB7KF390887</t>
  </si>
  <si>
    <t>5YJ3E1EB1JF115661</t>
  </si>
  <si>
    <t>5YJ3E1EB0JF098142</t>
  </si>
  <si>
    <t>5YJSA1E25JF283990</t>
  </si>
  <si>
    <t>Silver Metallic Paint;19" Silver Slipstream Wheels;Black Textile Interior;Full Self-Driving Capability;Smart Air Suspension;Glass Roof;Ultra High Fidelity Sound;HEPA Air Filtration System;Subzero Weather Package;Keyless Entry;Power Liftgate;GPS Enabled Homelink;Dark Ash Wood DÃ©cor;Dark Headliner;Infotainment Upgrade;</t>
  </si>
  <si>
    <t>5YJ3E1EB5KF450570</t>
  </si>
  <si>
    <t>5YJ3E1EB4JF105996</t>
  </si>
  <si>
    <t>5YJ3E1EB5KF427869</t>
  </si>
  <si>
    <t>5YJ3E1EBXKF195687</t>
  </si>
  <si>
    <t>5YJ3E1EB8LF787204</t>
  </si>
  <si>
    <t>5YJ3E1EB5KF390533</t>
  </si>
  <si>
    <t>5YJ3E1EB3MF079279</t>
  </si>
  <si>
    <t>5YJYGDEE2LF010335</t>
  </si>
  <si>
    <t>5YJ3E1EB3MF924440</t>
  </si>
  <si>
    <t>5YJ3E1EB5KF497646</t>
  </si>
  <si>
    <t>5YJ3E1EB4MF849621</t>
  </si>
  <si>
    <t>5YJ3E1EB1KF406775</t>
  </si>
  <si>
    <t>5YJSA1E28JF254788</t>
  </si>
  <si>
    <t>Pearl White Multi-Coat Paint;19" Silver Slipstream Wheels;Cream Premium Interior;Full Self-Driving Capability;Smart Air Suspension;Glass Roof;Ultra High Fidelity Sound;HEPA Air Filtration System;Subzero Weather Package;Keyless Entry;Power Liftgate;GPS Enabled Homelink;Oak DÃ©cor;Light Headliner;Infotainment Upgrade;</t>
  </si>
  <si>
    <t>5YJ3E1EB1KF205930</t>
  </si>
  <si>
    <t>5YJ3E1EB4JF089024</t>
  </si>
  <si>
    <t>5YJXCDE43MF311521</t>
  </si>
  <si>
    <t>Solid Black;22" Onyx Black Wheels;All Black Premium Interior with Carbon Fiber DÃ©cor;Full Self-Driving Capability;Ludicrous Mode;Five Seat Interior;Infotainment Upgrade;</t>
  </si>
  <si>
    <t>5YJ3E1EB0LF520610</t>
  </si>
  <si>
    <t>5YJ3E1EA7JF053416</t>
  </si>
  <si>
    <t>5YJ3E1EB9LF638753</t>
  </si>
  <si>
    <t>5YJ3E1EB1KF366004</t>
  </si>
  <si>
    <t>5YJ3E1EBXJF111978</t>
  </si>
  <si>
    <t>5YJ3E1EBXKF453707</t>
  </si>
  <si>
    <t>5YJ3E1EB5JF069235</t>
  </si>
  <si>
    <t>Silver Metallic Paint;19â€™â€™ Sport Wheels;All Black Premium Interior;Full Self-Driving Capability;Acceleration Boost;Front and Rear Heated Seats;</t>
  </si>
  <si>
    <t>5YJ3E1EB3KF238136</t>
  </si>
  <si>
    <t>5YJ3E1EB4KF469479</t>
  </si>
  <si>
    <t>5YJ3E1EA4JF010572</t>
  </si>
  <si>
    <t>5YJ3E1EB3KF386674</t>
  </si>
  <si>
    <t>5YJ3E1EB2JF086137</t>
  </si>
  <si>
    <t>5YJ3E1EB8JF146115</t>
  </si>
  <si>
    <t>5YJ3E1EB1JF112226</t>
  </si>
  <si>
    <t>5YJ3E1EB1KF385068</t>
  </si>
  <si>
    <t>5YJ3E1EB7JF054316</t>
  </si>
  <si>
    <t>5YJ3E1EB7KF389996</t>
  </si>
  <si>
    <t>5YJ3E1EB5KF513019</t>
  </si>
  <si>
    <t>5YJ3E1EBXLF616521</t>
  </si>
  <si>
    <t>5YJ3E1EB5KF210595</t>
  </si>
  <si>
    <t>5YJ3E1EB1LF600594</t>
  </si>
  <si>
    <t>5YJ3E1EB8LF796114</t>
  </si>
  <si>
    <t>5YJ3E1EB4LF664984</t>
  </si>
  <si>
    <t>5YJXCDE41LF228927</t>
  </si>
  <si>
    <t>Midnight Silver Metallic;20" Silver Wheels;All Black Premium Interior with Carbon Fiber DÃ©cor;Full Self-Driving Capability;Ludicrous Mode;Five Seat Interior;Infotainment Upgrade;</t>
  </si>
  <si>
    <t>5YJYGDEE2MF267612</t>
  </si>
  <si>
    <t>5YJYGDEEXMF072177</t>
  </si>
  <si>
    <t>5YJSA1E27HF185229</t>
  </si>
  <si>
    <t>Red Multi-Coat Paint;19" Silver Slipstream Wheels;Black Leather Tesla Premium Seats;Full Self-Driving Capability;Smart Air Suspension;Sunroof;Ultra High Fidelity Sound;HEPA Air Filtration System;Subzero Weather Package;Keyless Entry;Power Liftgate;GPS Enabled Homelink;Figured Ash Wood DÃ©cor;Integrated Center Console;Black Headliner;</t>
  </si>
  <si>
    <t>5YJ3E1EA2JF135828</t>
  </si>
  <si>
    <t>5YJ3E1EB5KF211570</t>
  </si>
  <si>
    <t>5YJ3E1EBXJF087438</t>
  </si>
  <si>
    <t>5YJ3E1EB8KF494112</t>
  </si>
  <si>
    <t>5YJ3E1EB4JF128856</t>
  </si>
  <si>
    <t>5YJ3E1EB5JF184241</t>
  </si>
  <si>
    <t>5YJ3E1EA4KF312249</t>
  </si>
  <si>
    <t>5YJ3E1EAXKF410010</t>
  </si>
  <si>
    <t>5YJ3E1EA7LF630318</t>
  </si>
  <si>
    <t>5YJ3E1EB3LF742669</t>
  </si>
  <si>
    <t>5YJ3E1EA2LF792325</t>
  </si>
  <si>
    <t>5YJ3E1EB4LF735553</t>
  </si>
  <si>
    <t>5YJ3E1EB4KF408553</t>
  </si>
  <si>
    <t>5YJSA1E5XMF429539</t>
  </si>
  <si>
    <t>5YJ3E1EB3LF619096</t>
  </si>
  <si>
    <t>5YJ3E1EBXKF390463</t>
  </si>
  <si>
    <t>Pearl White Paint;19â€™â€™ Sport Wheels;All Black Premium Interior;Autopilot;Acceleration Boost;Front and Rear Heated Seats;</t>
  </si>
  <si>
    <t>5YJ3E1EC6LF714471</t>
  </si>
  <si>
    <t>5YJ3E1EA4KF412867</t>
  </si>
  <si>
    <t>5YJSA1E55MF433305</t>
  </si>
  <si>
    <t>5YJ3E1EB0KF393310</t>
  </si>
  <si>
    <t>5YJSA1E49KF306349</t>
  </si>
  <si>
    <t>Solid Black Paint;21" Sonic Carbon Twin Turbine Wheels;Black and White Premium Interior;Full Self-Driving Capability;Carbon Fiber Spoiler;Smart Air Suspension;Glass Roof;Ultra High Fidelity Sound;HEPA Air Filtration System;Subzero Weather Package;Keyless Entry;Power Liftgate;Red Brake Calipers;GPS Enabled Homelink;Carbon Fiber DÃ©cor;Dark Headliner;Infotainment Upgrade;</t>
  </si>
  <si>
    <t>5YJYGAEE0MF195372</t>
  </si>
  <si>
    <t>Midnight Silver Metallic Paint;20â€™â€™ Induction Wheels;Black and White Premium Interior;Full Self-Driving Capability;Seven Seat Interior;Tow Hitch;</t>
  </si>
  <si>
    <t>5YJ3E1EA7HF002881</t>
  </si>
  <si>
    <t>5YJ3E1EA8MF031963</t>
  </si>
  <si>
    <t>5YJSA1E24JF296472</t>
  </si>
  <si>
    <t>Red Multi-Coat Paint;19" Silver Slipstream Wheels;All Black Premium Interior;Full Self-Driving Capability;Smart Air Suspension;Sunroof;Ultra High Fidelity Sound;HEPA Air Filtration System;Subzero Weather Package;Keyless Entry;Power Liftgate;GPS Enabled Homelink;Carbon Fiber DÃ©cor;Dark Headliner;Infotainment Upgrade;</t>
  </si>
  <si>
    <t>5YJ3E1EB5KF512422</t>
  </si>
  <si>
    <t>5YJ3E1EB3LF636545</t>
  </si>
  <si>
    <t>5YJ3E1EB1JF066896</t>
  </si>
  <si>
    <t>5YJ3E1EAXJF076639</t>
  </si>
  <si>
    <t>5YJ3E1EB3LF617347</t>
  </si>
  <si>
    <t>5YJ3E1EB8KF384905</t>
  </si>
  <si>
    <t>5YJ3E1EB0NF128908</t>
  </si>
  <si>
    <t>5YJ3E1EB7KF408756</t>
  </si>
  <si>
    <t>5YJYGDEE7MF299617</t>
  </si>
  <si>
    <t>5YJXCAE2XLF231791</t>
  </si>
  <si>
    <t>Deep Blue Metallic;20" Silver Wheels;All Black Premium Interior with Figured Ash Wood DÃ©cor;Full Self-Driving Capability;Seven Seat Interior;Infotainment Upgrade;</t>
  </si>
  <si>
    <t>5YJ3E1EB5KF454196</t>
  </si>
  <si>
    <t>5YJSA1E20KF305735</t>
  </si>
  <si>
    <t>Solid Black Paint;19" Sonic Carbon Slipstream Wheels;Black and White Premium Interior;Full Self-Driving Capability;Smart Air Suspension;Glass Roof;Ultra High Fidelity Sound;HEPA Air Filtration System;Subzero Weather Package;Keyless Entry;Power Liftgate;GPS Enabled Homelink;Dark Ash Wood DÃ©cor;Dark Headliner;Infotainment Upgrade;</t>
  </si>
  <si>
    <t>5YJYGAEE9MF247176</t>
  </si>
  <si>
    <t>Solid Black Paint;20â€™â€™ Induction Wheels;Black and White Premium Interior;Full Self-Driving Capability;Seven Seat Interior;Tow Hitch;Acceleration Boost;</t>
  </si>
  <si>
    <t>5YJ3E1EB2KF454933</t>
  </si>
  <si>
    <t>5YJ3E1EB4JF103181</t>
  </si>
  <si>
    <t>5YJ3E1EB5KF530337</t>
  </si>
  <si>
    <t>5YJ3E1EB8KF388727</t>
  </si>
  <si>
    <t>5YJXCBE41HF051713</t>
  </si>
  <si>
    <t>Obsidian Black Metallic Paint;22" Onyx Black Wheels;Black Leather Seats;Full Self-Driving Capability;Smart Air Suspension;HEPA Air Filtration System;Subzero Weather Package;Keyless Entry;Power Liftgate;Red Brake Calipers;Six Seat Interior;Figured Ash Wood DÃ©cor;Black Headliner;Infotainment Upgrade;</t>
  </si>
  <si>
    <t>5YJYGDEE1MF193003</t>
  </si>
  <si>
    <t>5YJYGDEE7MF188792</t>
  </si>
  <si>
    <t>5YJ3E1EB6JF095200</t>
  </si>
  <si>
    <t>5YJ3E1EB7KF389089</t>
  </si>
  <si>
    <t>5YJ3E1EA4LF662580</t>
  </si>
  <si>
    <t>5YJ3E1EB2LF616450</t>
  </si>
  <si>
    <t>5YJ3E1EB9KF451477</t>
  </si>
  <si>
    <t>5YJ3E1EB9KF392222</t>
  </si>
  <si>
    <t>5YJ3E1EC4LF586537</t>
  </si>
  <si>
    <t>5YJ3E1EB2KF497085</t>
  </si>
  <si>
    <t>5YJ3E1EC3LF647070</t>
  </si>
  <si>
    <t>5YJ3E1EB2LF669083</t>
  </si>
  <si>
    <t>5YJSA1E4XKF332555</t>
  </si>
  <si>
    <t>Midnight Silver Metallic;19â€™â€™ Silver Wheels;All Black Premium Interior with Carbon Fiber DÃ©cor;Full Self-Driving Capability;Ludicrous Mode;Glass Roof;Infotainment Upgrade;</t>
  </si>
  <si>
    <t>5YJ3E1EC7LF736222</t>
  </si>
  <si>
    <t>5YJ3E1EB7JF129158</t>
  </si>
  <si>
    <t>5YJXCBE44MF320846</t>
  </si>
  <si>
    <t>5YJYGDEE5MF100094</t>
  </si>
  <si>
    <t>5YJYGDEE7MF142962</t>
  </si>
  <si>
    <t>5YJSA1E20JF266417</t>
  </si>
  <si>
    <t>5YJXCDE20MF324483</t>
  </si>
  <si>
    <t>5YJYGDEE2MF201271</t>
  </si>
  <si>
    <t>Red Multi-Coat Paint;19â€™â€™ Gemini Wheels;Black and White Premium Interior;Full Self-Driving Capability;Five Seat Interior;Acceleration Boost;</t>
  </si>
  <si>
    <t>5YJ3E1EB4MF988101</t>
  </si>
  <si>
    <t>5YJ3E1EB7KF421457</t>
  </si>
  <si>
    <t>5YJ3E1EAXLF614047</t>
  </si>
  <si>
    <t>5YJ3E1EA7KF310107</t>
  </si>
  <si>
    <t>5YJSA1E21LF370823</t>
  </si>
  <si>
    <t>5YJSA1E23GF161119</t>
  </si>
  <si>
    <t>Midnight Silver Metallic Paint;19" Silver Slipstream Wheels;Tan Next Generation Seats;Autopilot with convenience features;Smart Air Suspension;Sunroof;Ultra High Fidelity Sound;HEPA Air Filtration System;Subzero Weather Package;Keyless Entry;Power Liftgate;GPS Enabled Homelink;Carbon Fiber DÃ©cor;Integrated Center Console;Black Headliner;</t>
  </si>
  <si>
    <t>5YJ3E1EA5LF609323</t>
  </si>
  <si>
    <t>5YJXCDE20KF158950</t>
  </si>
  <si>
    <t>Solid Black;22" Onyx Black Wheels;Black and White Premium Interior with Dark Ash Wood DÃ©cor;Full Self-Driving Capability;Five Seat Interior;Infotainment Upgrade;</t>
  </si>
  <si>
    <t>5YJXCAE41KF144880</t>
  </si>
  <si>
    <t>Midnight Silver Metallic Paint;20" Silver Wheels;All Black Premium Interior;Full Self-Driving Capability;Smart Air Suspension;Ultra High Fidelity Sound;HEPA Air Filtration System;Subzero Weather Package;Towing Package;Keyless Entry;Power Liftgate;Red Brake Calipers;Seven Seat Interior;Carbon Fiber DÃ©cor;Dark Headliner;Infotainment Upgrade;</t>
  </si>
  <si>
    <t>5YJXCAE29JF142520</t>
  </si>
  <si>
    <t>Midnight Silver Metallic Paint;22" Onyx Black Wheels;Cream Premium Interior;Full Self-Driving Capability;Smart Air Suspension;Ultra High Fidelity Sound;HEPA Air Filtration System;Subzero Weather Package;Towing Package;Keyless Entry;Power Liftgate;Seven Seat Interior;Oak DÃ©cor;Light Headliner;Infotainment Upgrade;</t>
  </si>
  <si>
    <t>5YJSA1E26KF307604</t>
  </si>
  <si>
    <t>5YJ3E1EB2LF741464</t>
  </si>
  <si>
    <t>5YJ3E1EBXLF719745</t>
  </si>
  <si>
    <t>5YJYGDEEXLF046922</t>
  </si>
  <si>
    <t>5YJ3E1EB6LF601269</t>
  </si>
  <si>
    <t>5YJ3E1EB1JF134050</t>
  </si>
  <si>
    <t>5YJ3E1EB8JF112594</t>
  </si>
  <si>
    <t>5YJ3E1EB3JF147270</t>
  </si>
  <si>
    <t>5YJ3E1EB1LF801038</t>
  </si>
  <si>
    <t>5YJSA1E25JF247054</t>
  </si>
  <si>
    <t>Silver Metallic Paint;19" Silver Slipstream Wheels;Cream Premium Interior;Full Self-Driving Capability;Smart Air Suspension;Sunroof;Ultra High Fidelity Sound;HEPA Air Filtration System;Subzero Weather Package;Keyless Entry;Power Liftgate;GPS Enabled Homelink;Figured Ash Wood DÃ©cor;Light Headliner;</t>
  </si>
  <si>
    <t>5YJXCAE2XKF163474</t>
  </si>
  <si>
    <t>Pearl White Multi-Coat;20" Sonic Carbon Wheels;All Black Premium Interior with Figured Ash Wood DÃ©cor;Full Self-Driving Capability;Seven Seat Interior;Infotainment Upgrade;</t>
  </si>
  <si>
    <t>5YJ3E1EA8LF747003</t>
  </si>
  <si>
    <t>5YJ3E1EB7MF975228</t>
  </si>
  <si>
    <t>5YJ3E1EA0MF913449</t>
  </si>
  <si>
    <t>5YJ3E1EC3MF996411</t>
  </si>
  <si>
    <t>5YJ3E1EA7KF464574</t>
  </si>
  <si>
    <t>5YJSA1E61MF455102</t>
  </si>
  <si>
    <t>5YJSA1E27KF334536</t>
  </si>
  <si>
    <t>Model S Standard Range All-Wheel Drive</t>
  </si>
  <si>
    <t>5YJXCBE45JF085871</t>
  </si>
  <si>
    <t>Pearl White Multi-Coat Paint;22" Silver Turbine Wheels;Cream Premium Interior;Autopilot;Smart Air Suspension;Ultra High Fidelity Sound;HEPA Air Filtration System;Subzero Weather Package;Towing Package;Keyless Entry;Power Liftgate;Red Brake Calipers;Six Seat Interior;Figured Ash Wood DÃ©cor;Light Headliner;</t>
  </si>
  <si>
    <t>5YJ3E1EC1NF156144</t>
  </si>
  <si>
    <t>5YJ3E1EB4LF650213</t>
  </si>
  <si>
    <t>5YJ3E1EA9KF402576</t>
  </si>
  <si>
    <t>5YJ3E1EB7KF452854</t>
  </si>
  <si>
    <t>5YJSA1E61MF452586</t>
  </si>
  <si>
    <t>5YJ3E1EB4LF746973</t>
  </si>
  <si>
    <t>5YJ3E1EB8LF791561</t>
  </si>
  <si>
    <t>5YJ3E1EBXMF802707</t>
  </si>
  <si>
    <t>5YJ3E1EA6KF394632</t>
  </si>
  <si>
    <t>5YJXCBE26HF066609</t>
  </si>
  <si>
    <t>Silver Metallic Paint;20" Silver Wheels;White Premium Interior;Full Self-Driving Capability;Smart Air Suspension;Ultra High Fidelity Sound;HEPA Air Filtration System;Subzero Weather Package;Keyless Entry;Power Liftgate;Six Seat Interior;Carbon Fiber DÃ©cor;Black Headliner;</t>
  </si>
  <si>
    <t>5YJ3E1EB5KF413518</t>
  </si>
  <si>
    <t>5YJXCDE2XLF231839</t>
  </si>
  <si>
    <t>5YJXCBE21KF199771</t>
  </si>
  <si>
    <t>Red Multi-Coat;22" Onyx Black Wheels;All Black Premium Interior with Figured Ash Wood DÃ©cor;Full Self-Driving Capability;Six Seat Interior;Infotainment Upgrade;</t>
  </si>
  <si>
    <t>5YJ3E1EB9KF387974</t>
  </si>
  <si>
    <t>5YJXCAE23KF212868</t>
  </si>
  <si>
    <t>Midnight Silver Metallic;22" Onyx Black Wheels;Cream Premium Interior with Oak Wood DÃ©cor;Full Self-Driving Capability;Seven Seat Interior;Infotainment Upgrade;</t>
  </si>
  <si>
    <t>5YJ3E1EB7KF364869</t>
  </si>
  <si>
    <t>5YJ3E1EB0KF365538</t>
  </si>
  <si>
    <t>5YJ3E1EBXKF421470</t>
  </si>
  <si>
    <t>5YJ3E1EB6LF664243</t>
  </si>
  <si>
    <t>5YJ3E1EB9KF450992</t>
  </si>
  <si>
    <t>5YJ3E1EA0LF661152</t>
  </si>
  <si>
    <t>7SAXCBE68NF330222</t>
  </si>
  <si>
    <t>Deep Blue Metallic;22'' Turbine Wheels;Cream Interior with Carbon Fiber Decor;Full Self-Driving Capability;Six Seat Interior;Infotainment Upgrade;</t>
  </si>
  <si>
    <t>5YJXCBE40LF284698</t>
  </si>
  <si>
    <t>Midnight Silver Metallic;22" Onyx Black Wheels;Black and White Premium Interior with Carbon Fiber DÃ©cor;Full Self-Driving Capability;Ludicrous Mode;Six Seat Interior;Infotainment Upgrade;</t>
  </si>
  <si>
    <t>5YJ3E1EB4LF627756</t>
  </si>
  <si>
    <t>5YJ3E1EB0NF136636</t>
  </si>
  <si>
    <t>5YJ3E1EB3LF636206</t>
  </si>
  <si>
    <t>5YJ3E1EA8JF015578</t>
  </si>
  <si>
    <t>5YJ3E1EB5JF121608</t>
  </si>
  <si>
    <t>5YJXCBE42JF103811</t>
  </si>
  <si>
    <t>Pearl White Multi-Coat Paint;22" Onyx Black Wheels;Black Premium Interior;Full Self-Driving Capability;Smart Air Suspension;Ultra High Fidelity Sound;HEPA Air Filtration System;Subzero Weather Package;Keyless Entry;Power Liftgate;Red Brake Calipers;Six Seat Interior;Carbon Fiber DÃ©cor;Dark Headliner;Infotainment Upgrade;</t>
  </si>
  <si>
    <t>5YJ3E1EA4KF509227</t>
  </si>
  <si>
    <t>5YJ3E1EB3KF365761</t>
  </si>
  <si>
    <t>5YJYGDEE8MF195542</t>
  </si>
  <si>
    <t>5YJ3E1EB8KF389909</t>
  </si>
  <si>
    <t>5YJYGDEE5MF064312</t>
  </si>
  <si>
    <t>5YJ3E1EC0LF602197</t>
  </si>
  <si>
    <t>5YJ3E1EB4KF441844</t>
  </si>
  <si>
    <t>5YJXCBE45KF204231</t>
  </si>
  <si>
    <t>5YJSA1E67MF431810</t>
  </si>
  <si>
    <t>BARTLETT, TN</t>
  </si>
  <si>
    <t>Memphis</t>
  </si>
  <si>
    <t>5YJ3E1EB4LF646324</t>
  </si>
  <si>
    <t>5YJ3E1EA5JF019068</t>
  </si>
  <si>
    <t>5YJ3E1EB6KF150486</t>
  </si>
  <si>
    <t>5YJ3E1EB9JF087124</t>
  </si>
  <si>
    <t>5YJ3E1EA3KF396158</t>
  </si>
  <si>
    <t>5YJXCBE21JF101577</t>
  </si>
  <si>
    <t>Pearl White Multi-Coat Paint;20" Silver Wheels;Cream Premium Interior;Full Self-Driving Capability;Smart Air Suspension;Ultra High Fidelity Sound;HEPA Air Filtration System;Subzero Weather Package;Towing Package;Keyless Entry;Power Liftgate;Six Seat Interior;Oak DÃ©cor;Light Headliner;Infotainment Upgrade;</t>
  </si>
  <si>
    <t>5YJ3E1EA3KF402931</t>
  </si>
  <si>
    <t>5YJ3E1EA4JF154526</t>
  </si>
  <si>
    <t>5YJ3E1EBXKF494824</t>
  </si>
  <si>
    <t>5YJ3E1EBXJF098150</t>
  </si>
  <si>
    <t>5YJSA1E28LF362122</t>
  </si>
  <si>
    <t>5YJSA1E27HF193377</t>
  </si>
  <si>
    <t>Midnight Silver Metallic Paint;19" Silver Slipstream Wheels;Black Leather Tesla Premium Seats;Full Self-Driving Capability;Glass Roof;HEPA Air Filtration System;Keyless Entry;Power Liftgate;GPS Enabled Homelink;Carbon Fiber DÃ©cor;Integrated Center Console;Black Headliner;Infotainment Upgrade;</t>
  </si>
  <si>
    <t>5YJSA1E64MF443414</t>
  </si>
  <si>
    <t>5YJ3E1EB2LF599830</t>
  </si>
  <si>
    <t>5YJ3E1EA2KF312833</t>
  </si>
  <si>
    <t>5YJ3E1EB0LF599700</t>
  </si>
  <si>
    <t>5YJXCBE47JF115534</t>
  </si>
  <si>
    <t>Obsidian Black Metallic Paint;22" Onyx Black Wheels;All Black Premium Interior;Autopilot;Smart Air Suspension;Ultra High Fidelity Sound;HEPA Air Filtration System;Subzero Weather Package;Towing Package;Keyless Entry;Power Liftgate;Red Brake Calipers;Six Seat Interior;Carbon Fiber DÃ©cor;Dark Headliner;Infotainment Upgrade;</t>
  </si>
  <si>
    <t>5YJXCAE25KF185818</t>
  </si>
  <si>
    <t>Red Multi-Coat;20" Silver Wheels;All Black Premium Interior with Figured Ash Wood DÃ©cor;Full Self-Driving Capability;Seven Seat Interior;Infotainment Upgrade;</t>
  </si>
  <si>
    <t>5YJ3E1EBXLF668232</t>
  </si>
  <si>
    <t>5YJ3E1EB9KF487248</t>
  </si>
  <si>
    <t>5YJ3E1EBXLF621802</t>
  </si>
  <si>
    <t>5YJ3E1EB1LF512161</t>
  </si>
  <si>
    <t>5YJ3E1EB8KF388405</t>
  </si>
  <si>
    <t>5YJ3E1EB8KF209005</t>
  </si>
  <si>
    <t>5YJ3E1EBXKF512965</t>
  </si>
  <si>
    <t>5YJ3E1EBXKF421453</t>
  </si>
  <si>
    <t>5YJ3E1EB4KF384657</t>
  </si>
  <si>
    <t>5YJ3E1EB4JF093879</t>
  </si>
  <si>
    <t>5YJ3E1EB1KF209217</t>
  </si>
  <si>
    <t>5YJ3E1EAXKF483734</t>
  </si>
  <si>
    <t>5YJ3E1EBXMF032623</t>
  </si>
  <si>
    <t>5YJ3E1EB3JF093730</t>
  </si>
  <si>
    <t>5YJ3E1EC6LF603631</t>
  </si>
  <si>
    <t>5YJ3E1EA7KF312083</t>
  </si>
  <si>
    <t>5YJ3E1EB6JF113968</t>
  </si>
  <si>
    <t>5YJ3E1EA8KF406361</t>
  </si>
  <si>
    <t>5YJ3E1EAXJF006235</t>
  </si>
  <si>
    <t>5YJYGDEE8MF146194</t>
  </si>
  <si>
    <t>5YJ3E1EB1KF390254</t>
  </si>
  <si>
    <t>5YJ3E1EC1LF602662</t>
  </si>
  <si>
    <t>Pearl White Paint;18â€™â€™ Aero Wheels;All Black Premium Interior;Autopilot;Front and Rear Heated Seats;</t>
  </si>
  <si>
    <t>Chicago, IL</t>
  </si>
  <si>
    <t>5YJ3E1EB9LF525403</t>
  </si>
  <si>
    <t>5YJ3E1EB2KF469996</t>
  </si>
  <si>
    <t>5YJ3E1EA0KF308389</t>
  </si>
  <si>
    <t>Red Multi-Coat Paint;18â€™â€™ Aero Wheels;All Black Partial Premium Interior;Autopilot;Front and Rear Heated Seats;</t>
  </si>
  <si>
    <t>5YJ3E1EA4KF416093</t>
  </si>
  <si>
    <t>5YJ3E1EA6JF163194</t>
  </si>
  <si>
    <t>5YJ3E1EB6MF872821</t>
  </si>
  <si>
    <t>5YJ3E1EB6KF413530</t>
  </si>
  <si>
    <t>5YJYGDEEXLF048783</t>
  </si>
  <si>
    <t>5YJ3E1EB5KF195760</t>
  </si>
  <si>
    <t>5YJ3E1EA9KF401623</t>
  </si>
  <si>
    <t>5YJYGDEE8MF085333</t>
  </si>
  <si>
    <t>5YJ3E1EB2LF635533</t>
  </si>
  <si>
    <t>5YJ3E1EAXKF302485</t>
  </si>
  <si>
    <t>5YJ3E1EB3MF928391</t>
  </si>
  <si>
    <t>5YJSA1E49KF313589</t>
  </si>
  <si>
    <t>Midnight Silver Metallic;21" Sonic Carbon Twin Turbine Wheels;All Black Interior with Carbon Fiber Decor;Full Self-Driving Capability;Ludicrous Mode;Glass Roof;Infotainment Upgrade;</t>
  </si>
  <si>
    <t>5YJ3E1EB1LF638536</t>
  </si>
  <si>
    <t>5YJ3E1EB2KF494851</t>
  </si>
  <si>
    <t>5YJYGDEE9MF079749</t>
  </si>
  <si>
    <t>5YJ3E1EB7MF099891</t>
  </si>
  <si>
    <t>5YJSA1E51NF467372</t>
  </si>
  <si>
    <t>5YJXCDE28LF299069</t>
  </si>
  <si>
    <t>5YJXCAE4XJF099341</t>
  </si>
  <si>
    <t>Silver Metallic Paint;20" Silver Wheels;White Premium Interior;Autopilot;Smart Air Suspension;Ultra High Fidelity Sound;HEPA Air Filtration System;Subzero Weather Package;Towing Package;Keyless Entry;Power Liftgate;Red Brake Calipers;Seven Seat Interior;Carbon Fiber DÃ©cor;Dark Headliner;Infotainment Upgrade;</t>
  </si>
  <si>
    <t>5YJXCDE27HF063374</t>
  </si>
  <si>
    <t>Pearl White Multi-Coat Paint;20" Sonic Carbon Wheels;Black Premium Interior;Autopilot;Smart Air Suspension;Ultra High Fidelity Sound;HEPA Air Filtration System;Subzero Weather Package;Towing Package;Keyless Entry;Power Liftgate;Five Seat Interior;Figured Ash Wood DÃ©cor;Black Headliner;</t>
  </si>
  <si>
    <t>5YJ3E1EA7KF399581</t>
  </si>
  <si>
    <t>5YJ3E1EA0KF401025</t>
  </si>
  <si>
    <t>7SAYGDEF6NF337304</t>
  </si>
  <si>
    <t>5YJ3E1EA4KF425103</t>
  </si>
  <si>
    <t>5YJ3E1EA7MF877128</t>
  </si>
  <si>
    <t>5YJXCAE48KF181778</t>
  </si>
  <si>
    <t>Midnight Silver Metallic;22" Onyx Black Wheels;Black and White Premium Interior with Dark Ash Wood DÃ©cor;Full Self-Driving Capability;Ludicrous Mode;Seven Seat Interior;Infotainment Upgrade;</t>
  </si>
  <si>
    <t>5YJYGDED2MF124683</t>
  </si>
  <si>
    <t>Deep Blue Metallic Paint;20â€™â€™ Induction Wheels;Black and White Premium Interior;Full Self-Driving Capability;Five Seat Interior;</t>
  </si>
  <si>
    <t>5YJXCDE25HF079167</t>
  </si>
  <si>
    <t>Midnight Silver Metallic Paint;20" Sonic Carbon Wheels;Black Premium Interior;Autopilot;Smart Air Suspension;Ultra High Fidelity Sound;HEPA Air Filtration System;Subzero Weather Package;Keyless Entry;Power Liftgate;Five Seat Interior;Figured Ash Wood DÃ©cor;Dark Headliner;</t>
  </si>
  <si>
    <t>7SAYGDEEXNF315989</t>
  </si>
  <si>
    <t>5YJYGDEF0MF223651</t>
  </si>
  <si>
    <t>5YJ3E1EA9JF017789</t>
  </si>
  <si>
    <t>5YJXCBE29JF088125</t>
  </si>
  <si>
    <t>Obsidian Black Metallic Paint;20" Silver Wheels;Black Premium Interior;Full Self-Driving Capability;Smart Air Suspension;Ultra High Fidelity Sound;HEPA Air Filtration System;Subzero Weather Package;Towing Package;Keyless Entry;Power Liftgate;Six Seat Interior;Figured Ash Wood DÃ©cor;Dark Headliner;</t>
  </si>
  <si>
    <t>5YJXCBE28GF022772</t>
  </si>
  <si>
    <t>Pearl White Multi-Coat Paint;22" Silver Turbine Wheels;Black Leather Seats;Full Self-Driving Capability;Smart Air Suspension;Ultra High Fidelity Sound;Keyless Entry;Power Liftgate;Six Seat Interior;Dark Ash Wood DÃ©cor;Dark Headliner;</t>
  </si>
  <si>
    <t>5YJXCBE27JF102264</t>
  </si>
  <si>
    <t>Obsidian Black Metallic Paint;20" Sonic Carbon Wheels;White Premium Interior;Full Self-Driving Capability;Smart Air Suspension;Ultra High Fidelity Sound;HEPA Air Filtration System;Subzero Weather Package;Towing Package;Keyless Entry;Power Liftgate;Six Seat Interior;Carbon Fiber DÃ©cor;Dark Headliner;Infotainment Upgrade;</t>
  </si>
  <si>
    <t>5YJXCDE2XJF088176</t>
  </si>
  <si>
    <t>Pearl White Multi-Coat Paint;20" Silver Wheels;White Premium Interior;Full Self-Driving Capability;Smart Air Suspension;Ultra High Fidelity Sound;HEPA Air Filtration System;Subzero Weather Package;Towing Package;Keyless Entry;Power Liftgate;Five Seat Interior;Dark Ash Wood DÃ©cor;Dark Headliner;</t>
  </si>
  <si>
    <t>5YJXCBE26HF066514</t>
  </si>
  <si>
    <t>Deep Blue Metallic Paint;20" Silver Wheels;White Premium Interior;Autopilot;Smart Air Suspension;Ultra High Fidelity Sound;HEPA Air Filtration System;Subzero Weather Package;Keyless Entry;Power Liftgate;Six Seat Interior with Center Console;Carbon Fiber DÃ©cor;Black Headliner;Infotainment Upgrade;</t>
  </si>
  <si>
    <t>5YJYGDEE2LF035297</t>
  </si>
  <si>
    <t>5YJ3E1EB0KF194046</t>
  </si>
  <si>
    <t>5YJSA1E66MF440238</t>
  </si>
  <si>
    <t>5YJ3E1EA5KF434845</t>
  </si>
  <si>
    <t>5YJ3E1EB7KF392834</t>
  </si>
  <si>
    <t>5YJSA1E49KF299127</t>
  </si>
  <si>
    <t>Midnight Silver Metallic Paint;21" Black Arachnid Wheels;Black and White Premium Interior;Full Self-Driving Capability;Carbon Fiber Spoiler;Smart Air Suspension;Glass Roof;Ultra High Fidelity Sound;HEPA Air Filtration System;Subzero Weather Package;Keyless Entry;Power Liftgate;Red Brake Calipers;GPS Enabled Homelink;Carbon Fiber DÃ©cor;Dark Headliner;Infotainment Upgrade;</t>
  </si>
  <si>
    <t>5YJSA1E60MF451672</t>
  </si>
  <si>
    <t>5YJSA1E24GF174641</t>
  </si>
  <si>
    <t>Pearl White Multi-Coat Paint;19" Silver Slipstream Wheels;Tan Tesla Premium Seats;Autopilot;Sunroof;HEPA Air Filtration System;Keyless Entry;Power Liftgate;GPS Enabled Homelink;Carbon Fiber DÃ©cor;Integrated Center Console;Black Headliner;Infotainment Upgrade;</t>
  </si>
  <si>
    <t>5YJ3E1EA0LF793361</t>
  </si>
  <si>
    <t>5YJYGDEE5MF092949</t>
  </si>
  <si>
    <t>5YJ3E1EB8NF102573</t>
  </si>
  <si>
    <t>5YJXCBE2XLF221879</t>
  </si>
  <si>
    <t>Pearl White Multi-Coat;20'' Two-Tone Slipstream Wheels;Black and White Premium Interior with Dark Ash Wood DÃ©cor;Full Self-Driving Capability;Six Seat Interior;Infotainment Upgrade;</t>
  </si>
  <si>
    <t>7SAXCDE59NF340728</t>
  </si>
  <si>
    <t>Solid Black;20'' Cyberstream Wheels;All Black Premium Interior with Ebony DÃ©cor;Full Self-Driving Capability;Five Seat Interior;Infotainment Upgrade;</t>
  </si>
  <si>
    <t>5YJ3E1EB7NF197689</t>
  </si>
  <si>
    <t>5YJXCBE22JF130196</t>
  </si>
  <si>
    <t>Pearl White Multi-Coat Paint;20" Silver Wheels;Black and White Premium Interior;Autopilot;Smart Air Suspension;Ultra High Fidelity Sound;HEPA Air Filtration System;Subzero Weather Package;Towing Package;Keyless Entry;Power Liftgate;Six Seat Interior;Carbon Fiber DÃ©cor;Dark Headliner;Infotainment Upgrade;</t>
  </si>
  <si>
    <t>5YJ3E1EA9KF311825</t>
  </si>
  <si>
    <t>5YJ3E1EB4KF367955</t>
  </si>
  <si>
    <t>5YJ3E1EAXKF486472</t>
  </si>
  <si>
    <t>5YJ3E1EA2KF312671</t>
  </si>
  <si>
    <t>5YJSA1E2XKF305550</t>
  </si>
  <si>
    <t>Solid Black Paint;21" Sonic Carbon Twin Turbine Wheels;All Black Premium Interior;Full Self-Driving Capability;Smart Air Suspension;Glass Roof;Ultra High Fidelity Sound;HEPA Air Filtration System;Subzero Weather Package;Keyless Entry;Power Liftgate;GPS Enabled Homelink;Figured Ash Wood DÃ©cor;Dark Headliner;Infotainment Upgrade;</t>
  </si>
  <si>
    <t>5YJYGDEE7MF293574</t>
  </si>
  <si>
    <t>Solid Black Paint;19â€™â€™ Gemini Wheels;Black and White Premium Interior;Full Self-Driving Capability;Five Seat Interior;Acceleration Boost;</t>
  </si>
  <si>
    <t>5YJ3E1EB7NF138237</t>
  </si>
  <si>
    <t>5YJ3E1EB1MF943715</t>
  </si>
  <si>
    <t>7SAYGDEE8NF420983</t>
  </si>
  <si>
    <t>5YJ3E1EB3LF791497</t>
  </si>
  <si>
    <t>5YJYGDEF8MF072932</t>
  </si>
  <si>
    <t>5YJSA1E42MF425542</t>
  </si>
  <si>
    <t>Pearl White Multi-Coat;19'' Tempest Wheels;Cream Premium Interior with Oak Wood DÃ©cor;Full Self-Driving Capability;Ludicrous Mode;Glass Roof;Infotainment Upgrade;</t>
  </si>
  <si>
    <t>5YJXCBE27LF237375</t>
  </si>
  <si>
    <t>Pearl White Multi-Coat;20" Silver Wheels;All Black Premium Interior with Figured Ash Wood DÃ©cor;Full Self-Driving Capability;Six Seat Interior;Infotainment Upgrade;</t>
  </si>
  <si>
    <t>Meritt Island, FL</t>
  </si>
  <si>
    <t>5YJ3E1EC1LF602841</t>
  </si>
  <si>
    <t>5YJYGDEE6MF120726</t>
  </si>
  <si>
    <t>5YJ3E1EB2LF712658</t>
  </si>
  <si>
    <t>5YJYGDEFXMF209479</t>
  </si>
  <si>
    <t>5YJ3E1EB4LF628812</t>
  </si>
  <si>
    <t>5YJXCDE48LF300948</t>
  </si>
  <si>
    <t>Pearl White Multi-Coat;20" Silver Wheels;Black and White Premium Interior with Carbon Fiber DÃ©cor;Full Self-Driving Capability;Ludicrous Mode;Five Seat Interior;Infotainment Upgrade;</t>
  </si>
  <si>
    <t>5YJ3E1EB6JF112979</t>
  </si>
  <si>
    <t>5YJXCDE28LF228731</t>
  </si>
  <si>
    <t>5YJ3E1EA0KF429388</t>
  </si>
  <si>
    <t>5YJ3E1EB0KF454929</t>
  </si>
  <si>
    <t>5YJ3E1EB9JF130232</t>
  </si>
  <si>
    <t>5YJ3E1EB7LF647158</t>
  </si>
  <si>
    <t>5YJ3E1EB3JF069413</t>
  </si>
  <si>
    <t>5YJ3E1EA4LF744096</t>
  </si>
  <si>
    <t>5YJ3E1EB7LF666325</t>
  </si>
  <si>
    <t>5YJ3E1EBXJF087553</t>
  </si>
  <si>
    <t>5YJ3E1EAXKF331971</t>
  </si>
  <si>
    <t>5YJ3E1EA8KF396804</t>
  </si>
  <si>
    <t>5YJ3E1EB8KF432208</t>
  </si>
  <si>
    <t>Solid Black Paint;18â€™â€™ Aero Wheels;All Black Premium Interior;Autopilot;Front and Rear Heated Seats;</t>
  </si>
  <si>
    <t>5YJSA1E24JF295144</t>
  </si>
  <si>
    <t>Red Multi-Coat Paint;21" Sonic Carbon Twin Turbine Wheels;Cream Premium Interior;Autopilot;Smart Air Suspension;Glass Roof;Ultra High Fidelity Sound;HEPA Air Filtration System;Subzero Weather Package;Keyless Entry;Power Liftgate;GPS Enabled Homelink;Oak DÃ©cor;Light Headliner;Infotainment Upgrade;</t>
  </si>
  <si>
    <t>5YJ3E1EC4LF746898</t>
  </si>
  <si>
    <t>5YJ3E1EB8LF735068</t>
  </si>
  <si>
    <t>5YJ3E1EB7KF238365</t>
  </si>
  <si>
    <t>5YJ3E1EB5KF432389</t>
  </si>
  <si>
    <t>5YJ3E1EB7KF494148</t>
  </si>
  <si>
    <t>Pearl White Paint;18â€™â€™ Aero Wheels;All Black Premium Interior;Autopilot;Acceleration Boost;Front and Rear Heated Seats;</t>
  </si>
  <si>
    <t>5YJYGDEE2MF080578</t>
  </si>
  <si>
    <t>5YJ3E1EA4LF661543</t>
  </si>
  <si>
    <t>5YJYGDEF1LF002638</t>
  </si>
  <si>
    <t>5YJSA1E55NF470470</t>
  </si>
  <si>
    <t>5YJ3E1EB0MF862835</t>
  </si>
  <si>
    <t>5YJSA1E58MF433783</t>
  </si>
  <si>
    <t>5YJ3E1EC8LF640907</t>
  </si>
  <si>
    <t>5YJ3E1EB9JF188664</t>
  </si>
  <si>
    <t>5YJ3E1EB2KF477497</t>
  </si>
  <si>
    <t>5YJ3E1EA7KF310950</t>
  </si>
  <si>
    <t>5YJXCBE46KF186774</t>
  </si>
  <si>
    <t>5YJXCDE20JF124263</t>
  </si>
  <si>
    <t>Pearl White Multi-Coat Paint;20" Silver Wheels;All Black Premium Interior;Autopilot;Smart Air Suspension;Ultra High Fidelity Sound;HEPA Air Filtration System;Subzero Weather Package;Towing Package;Keyless Entry;Power Liftgate;Five Seat Interior;Figured Ash Wood DÃ©cor;Dark Headliner;Infotainment Upgrade;</t>
  </si>
  <si>
    <t>5YJ3E1EB7KF433608</t>
  </si>
  <si>
    <t>5YJ3E1EB4LF710927</t>
  </si>
  <si>
    <t>5YJ3E1EA2LF661413</t>
  </si>
  <si>
    <t>5YJ3E1EB6KF392095</t>
  </si>
  <si>
    <t>5YJ3E1EA6KF401451</t>
  </si>
  <si>
    <t>5YJ3E1EB1KF195433</t>
  </si>
  <si>
    <t>5YJSA1E28JF297415</t>
  </si>
  <si>
    <t>Midnight Silver Metallic Paint;19" Silver Slipstream Wheels;All Black Premium Interior;Autopilot;Smart Air Suspension;Sunroof;Ultra High Fidelity Sound;HEPA Air Filtration System;Subzero Weather Package;Keyless Entry;Power Liftgate;GPS Enabled Homelink;Figured Ash Wood DÃ©cor;Dark Headliner;Infotainment Upgrade;</t>
  </si>
  <si>
    <t>7SAXCDE53NF334715</t>
  </si>
  <si>
    <t>Midnight Silver Metallic;22'' Turbine Wheels;All Black Premium Interior with Ebony DÃ©cor;Full Self-Driving Capability;Five Seat Interior;Infotainment Upgrade;</t>
  </si>
  <si>
    <t>5YJXCBE25LF304314</t>
  </si>
  <si>
    <t>Midnight Silver Metallic;20" Silver Wheels;All Black Premium Interior with Figured Ash Wood DÃ©cor;Full Self-Driving Capability;Six Seat Interior;Infotainment Upgrade;</t>
  </si>
  <si>
    <t>5YJXCBE29MF324812</t>
  </si>
  <si>
    <t>5YJ3E1EA2JF059186</t>
  </si>
  <si>
    <t>5YJ3E1EA2KF441381</t>
  </si>
  <si>
    <t>5YJ3E1EA7JF101982</t>
  </si>
  <si>
    <t>5YJ3E1EA2KF396099</t>
  </si>
  <si>
    <t>5YJ3E1EA4JF025301</t>
  </si>
  <si>
    <t>5YJ3E1EB9KF391605</t>
  </si>
  <si>
    <t>Model</t>
  </si>
  <si>
    <t>Number of Vehicles</t>
  </si>
  <si>
    <t>Mean Sold Price ($)</t>
  </si>
  <si>
    <t>Median Sold Price ($)</t>
  </si>
  <si>
    <t>Standard Deviation ($)</t>
  </si>
  <si>
    <t>Year</t>
  </si>
  <si>
    <t>Sum of Mean Sold Price ($)</t>
  </si>
  <si>
    <t>Grand Total</t>
  </si>
  <si>
    <t>Statistic</t>
  </si>
  <si>
    <t>Sold Price</t>
  </si>
  <si>
    <t>Miles</t>
  </si>
  <si>
    <t>Count</t>
  </si>
  <si>
    <t>Mean</t>
  </si>
  <si>
    <t>Median</t>
  </si>
  <si>
    <t>Standard Deviation</t>
  </si>
  <si>
    <t>Minimum</t>
  </si>
  <si>
    <t>Q1</t>
  </si>
  <si>
    <t>Q3</t>
  </si>
  <si>
    <t>Maximum</t>
  </si>
  <si>
    <t>Variable 1</t>
  </si>
  <si>
    <t>Variable 2</t>
  </si>
  <si>
    <t>Pearson Correlation</t>
  </si>
  <si>
    <t>Interpretation</t>
  </si>
  <si>
    <t>Moderate positive relationship</t>
  </si>
  <si>
    <t>Moderate negative relationship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</si>
  <si>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</si>
  <si>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</si>
  <si>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</si>
  <si>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</si>
  <si>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</si>
  <si>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</si>
  <si>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</si>
  <si>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</si>
  <si>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</si>
  <si>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</si>
  <si>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</si>
  <si>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</si>
  <si>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</si>
  <si>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</si>
  <si>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</si>
  <si>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</si>
  <si>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</si>
  <si>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</si>
  <si>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</si>
  <si>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</si>
  <si>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</si>
  <si>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</si>
  <si>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</si>
  <si>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</si>
  <si>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model_ms</t>
  </si>
  <si>
    <t>model_mx</t>
  </si>
  <si>
    <t>model_my</t>
  </si>
  <si>
    <t>YEAR2</t>
  </si>
  <si>
    <t>MILES2</t>
  </si>
  <si>
    <t>Anova: Single Factor</t>
  </si>
  <si>
    <t>SUMMARY</t>
  </si>
  <si>
    <t>Groups</t>
  </si>
  <si>
    <t>Sum</t>
  </si>
  <si>
    <t>Average</t>
  </si>
  <si>
    <t>Variance</t>
  </si>
  <si>
    <t>Source of Variation</t>
  </si>
  <si>
    <t>F crit</t>
  </si>
  <si>
    <t>Between Groups</t>
  </si>
  <si>
    <t>Within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</si>
</sst>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0" xfId="0" applyFon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Sold Price by Tesla Model($)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Model_Analysis!$C$9</c:f>
              <c:strCache>
                <c:ptCount val="1"/>
                <c:pt idx="0">
                  <c:v>Mean Sold Price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Model_Analysis!$A$10:$A$13</c:f>
              <c:strCache>
                <c:ptCount val="4"/>
                <c:pt idx="0">
                  <c:v>m3</c:v>
                </c:pt>
                <c:pt idx="1">
                  <c:v>ms</c:v>
                </c:pt>
                <c:pt idx="2">
                  <c:v>mx</c:v>
                </c:pt>
                <c:pt idx="3">
                  <c:v>my</c:v>
                </c:pt>
              </c:strCache>
            </c:strRef>
          </c:cat>
          <c:val>
            <c:numRef>
              <c:f>Model_Analysis!$C$10:$C$13</c:f>
              <c:numCache>
                <c:formatCode>General</c:formatCode>
                <c:ptCount val="4"/>
                <c:pt idx="0">
                  <c:v>53875.496688741725</c:v>
                </c:pt>
                <c:pt idx="1">
                  <c:v>97636.597938144332</c:v>
                </c:pt>
                <c:pt idx="2">
                  <c:v>94863.179916317997</c:v>
                </c:pt>
                <c:pt idx="3">
                  <c:v>73187.916666666672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5-4940-9F08-ECE20BD1F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541191"/>
        <c:axId val="1872543239"/>
      </c:barChart>
      <c:catAx>
        <c:axId val="1872541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Tesla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543239"/>
        <c:crosses val="autoZero"/>
        <c:auto val="1"/>
        <c:lblAlgn val="ctr"/>
        <c:lblOffset val="100"/>
        <c:noMultiLvlLbl val="0"/>
      </c:catAx>
      <c:valAx>
        <c:axId val="1872543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Sold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541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[tesla_used_car_sold-2022-08.xlsx]Year_Analysis!PivotTable1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Sold Price by Vehicle Year</a:t>
            </a:r>
          </a:p>
        </c:rich>
      </c:tx>
      <c:overlay val="0"/>
      <c:spPr>
        <a:solidFill>
          <a:srgbClr val="DDEBF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Year_Analysis!$E$13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Year_Analysis!$D$14:$D$21</c:f>
              <c:strCach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strCache>
            </c:strRef>
          </c:cat>
          <c:val>
            <c:numRef>
              <c:f>Year_Analysis!$E$14:$E$21</c:f>
              <c:numCache>
                <c:formatCode>0.00</c:formatCode>
                <c:ptCount val="7"/>
                <c:pt idx="0">
                  <c:v>70922.222222222219</c:v>
                </c:pt>
                <c:pt idx="1">
                  <c:v>76513.636363636368</c:v>
                </c:pt>
                <c:pt idx="2">
                  <c:v>63366.787003610109</c:v>
                </c:pt>
                <c:pt idx="3">
                  <c:v>58598.010849909588</c:v>
                </c:pt>
                <c:pt idx="4">
                  <c:v>67399.410029498526</c:v>
                </c:pt>
                <c:pt idx="5">
                  <c:v>84968.858131487883</c:v>
                </c:pt>
                <c:pt idx="6">
                  <c:v>97700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F-4B56-964D-BB100B6E11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6707720"/>
        <c:axId val="1063577096"/>
      </c:barChart>
      <c:catAx>
        <c:axId val="1326707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Vehicle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77096"/>
        <c:crosses val="autoZero"/>
        <c:auto val="1"/>
        <c:lblAlgn val="ctr"/>
        <c:lblOffset val="100"/>
        <c:noMultiLvlLbl val="0"/>
      </c:catAx>
      <c:valAx>
        <c:axId val="1063577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Sold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07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Mileage and Tesla Resale Price</a:t>
            </a:r>
          </a:p>
        </c:rich>
      </c:tx>
      <c:overlay val="0"/>
      <c:spPr>
        <a:solidFill>
          <a:srgbClr val="DDEBF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 algn="ctr">
                <a:solidFill>
                  <a:srgbClr val="000000"/>
                </a:solidFill>
                <a:prstDash val="sysDot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Dataset!$E$2:$E$1580</c:f>
              <c:numCache>
                <c:formatCode>General</c:formatCode>
                <c:ptCount val="1579"/>
                <c:pt idx="0">
                  <c:v>16901</c:v>
                </c:pt>
                <c:pt idx="1">
                  <c:v>24778</c:v>
                </c:pt>
                <c:pt idx="2">
                  <c:v>35989</c:v>
                </c:pt>
                <c:pt idx="3">
                  <c:v>60508</c:v>
                </c:pt>
                <c:pt idx="4">
                  <c:v>42565</c:v>
                </c:pt>
                <c:pt idx="5">
                  <c:v>10879</c:v>
                </c:pt>
                <c:pt idx="6">
                  <c:v>45004</c:v>
                </c:pt>
                <c:pt idx="7">
                  <c:v>31991</c:v>
                </c:pt>
                <c:pt idx="8">
                  <c:v>17252</c:v>
                </c:pt>
                <c:pt idx="9">
                  <c:v>27135</c:v>
                </c:pt>
                <c:pt idx="10">
                  <c:v>5352</c:v>
                </c:pt>
                <c:pt idx="11">
                  <c:v>30553</c:v>
                </c:pt>
                <c:pt idx="12">
                  <c:v>25014</c:v>
                </c:pt>
                <c:pt idx="13">
                  <c:v>27840</c:v>
                </c:pt>
                <c:pt idx="14">
                  <c:v>4235</c:v>
                </c:pt>
                <c:pt idx="15">
                  <c:v>38982</c:v>
                </c:pt>
                <c:pt idx="16">
                  <c:v>9349</c:v>
                </c:pt>
                <c:pt idx="17">
                  <c:v>83927</c:v>
                </c:pt>
                <c:pt idx="18">
                  <c:v>38822</c:v>
                </c:pt>
                <c:pt idx="19">
                  <c:v>31976</c:v>
                </c:pt>
                <c:pt idx="20">
                  <c:v>26516</c:v>
                </c:pt>
                <c:pt idx="21">
                  <c:v>31663</c:v>
                </c:pt>
                <c:pt idx="22">
                  <c:v>7979</c:v>
                </c:pt>
                <c:pt idx="23">
                  <c:v>17895</c:v>
                </c:pt>
                <c:pt idx="24">
                  <c:v>29576</c:v>
                </c:pt>
                <c:pt idx="25">
                  <c:v>9055</c:v>
                </c:pt>
                <c:pt idx="26">
                  <c:v>42659</c:v>
                </c:pt>
                <c:pt idx="27">
                  <c:v>18539</c:v>
                </c:pt>
                <c:pt idx="28">
                  <c:v>30493</c:v>
                </c:pt>
                <c:pt idx="29">
                  <c:v>7236</c:v>
                </c:pt>
                <c:pt idx="30">
                  <c:v>17429</c:v>
                </c:pt>
                <c:pt idx="31">
                  <c:v>27022</c:v>
                </c:pt>
                <c:pt idx="32">
                  <c:v>38492</c:v>
                </c:pt>
                <c:pt idx="33">
                  <c:v>13575</c:v>
                </c:pt>
                <c:pt idx="34">
                  <c:v>45066</c:v>
                </c:pt>
                <c:pt idx="35">
                  <c:v>25102</c:v>
                </c:pt>
                <c:pt idx="36">
                  <c:v>3013</c:v>
                </c:pt>
                <c:pt idx="37">
                  <c:v>13423</c:v>
                </c:pt>
                <c:pt idx="38">
                  <c:v>20341</c:v>
                </c:pt>
                <c:pt idx="39">
                  <c:v>41112</c:v>
                </c:pt>
                <c:pt idx="40">
                  <c:v>55922</c:v>
                </c:pt>
                <c:pt idx="41">
                  <c:v>31032</c:v>
                </c:pt>
                <c:pt idx="42">
                  <c:v>14467</c:v>
                </c:pt>
                <c:pt idx="43">
                  <c:v>15438</c:v>
                </c:pt>
                <c:pt idx="44">
                  <c:v>6502</c:v>
                </c:pt>
                <c:pt idx="45">
                  <c:v>35029</c:v>
                </c:pt>
                <c:pt idx="46">
                  <c:v>31798</c:v>
                </c:pt>
                <c:pt idx="47">
                  <c:v>4398</c:v>
                </c:pt>
                <c:pt idx="48">
                  <c:v>27529</c:v>
                </c:pt>
                <c:pt idx="49">
                  <c:v>23389</c:v>
                </c:pt>
                <c:pt idx="50">
                  <c:v>55704</c:v>
                </c:pt>
                <c:pt idx="51">
                  <c:v>8354</c:v>
                </c:pt>
                <c:pt idx="52">
                  <c:v>18387</c:v>
                </c:pt>
                <c:pt idx="53">
                  <c:v>13499</c:v>
                </c:pt>
                <c:pt idx="54">
                  <c:v>54447</c:v>
                </c:pt>
                <c:pt idx="55">
                  <c:v>16199</c:v>
                </c:pt>
                <c:pt idx="56">
                  <c:v>30082</c:v>
                </c:pt>
                <c:pt idx="57">
                  <c:v>17904</c:v>
                </c:pt>
                <c:pt idx="58">
                  <c:v>45030</c:v>
                </c:pt>
                <c:pt idx="59">
                  <c:v>26461</c:v>
                </c:pt>
                <c:pt idx="60">
                  <c:v>30457</c:v>
                </c:pt>
                <c:pt idx="61">
                  <c:v>50214</c:v>
                </c:pt>
                <c:pt idx="62">
                  <c:v>11810</c:v>
                </c:pt>
                <c:pt idx="63">
                  <c:v>19357</c:v>
                </c:pt>
                <c:pt idx="64">
                  <c:v>13238</c:v>
                </c:pt>
                <c:pt idx="65">
                  <c:v>7406</c:v>
                </c:pt>
                <c:pt idx="66">
                  <c:v>24771</c:v>
                </c:pt>
                <c:pt idx="67">
                  <c:v>7898</c:v>
                </c:pt>
                <c:pt idx="68">
                  <c:v>27167</c:v>
                </c:pt>
                <c:pt idx="69">
                  <c:v>9710</c:v>
                </c:pt>
                <c:pt idx="70">
                  <c:v>49594</c:v>
                </c:pt>
                <c:pt idx="71">
                  <c:v>42459</c:v>
                </c:pt>
                <c:pt idx="72">
                  <c:v>37701</c:v>
                </c:pt>
                <c:pt idx="73">
                  <c:v>15715</c:v>
                </c:pt>
                <c:pt idx="74">
                  <c:v>13184</c:v>
                </c:pt>
                <c:pt idx="75">
                  <c:v>19439</c:v>
                </c:pt>
                <c:pt idx="76">
                  <c:v>35481</c:v>
                </c:pt>
                <c:pt idx="77">
                  <c:v>7997</c:v>
                </c:pt>
                <c:pt idx="78">
                  <c:v>10897</c:v>
                </c:pt>
                <c:pt idx="79">
                  <c:v>44970</c:v>
                </c:pt>
                <c:pt idx="80">
                  <c:v>23950</c:v>
                </c:pt>
                <c:pt idx="81">
                  <c:v>58024</c:v>
                </c:pt>
                <c:pt idx="82">
                  <c:v>29810</c:v>
                </c:pt>
                <c:pt idx="83">
                  <c:v>24968</c:v>
                </c:pt>
                <c:pt idx="84">
                  <c:v>11736</c:v>
                </c:pt>
                <c:pt idx="85">
                  <c:v>35242</c:v>
                </c:pt>
                <c:pt idx="86">
                  <c:v>16921</c:v>
                </c:pt>
                <c:pt idx="87">
                  <c:v>32629</c:v>
                </c:pt>
                <c:pt idx="88">
                  <c:v>12518</c:v>
                </c:pt>
                <c:pt idx="89">
                  <c:v>56827</c:v>
                </c:pt>
                <c:pt idx="90">
                  <c:v>4198</c:v>
                </c:pt>
                <c:pt idx="91">
                  <c:v>34506</c:v>
                </c:pt>
                <c:pt idx="92">
                  <c:v>1</c:v>
                </c:pt>
                <c:pt idx="93">
                  <c:v>23147</c:v>
                </c:pt>
                <c:pt idx="94">
                  <c:v>6091</c:v>
                </c:pt>
                <c:pt idx="95">
                  <c:v>38849</c:v>
                </c:pt>
                <c:pt idx="96">
                  <c:v>7555</c:v>
                </c:pt>
                <c:pt idx="97">
                  <c:v>1998</c:v>
                </c:pt>
                <c:pt idx="98">
                  <c:v>1451</c:v>
                </c:pt>
                <c:pt idx="99">
                  <c:v>18663</c:v>
                </c:pt>
                <c:pt idx="100">
                  <c:v>14732</c:v>
                </c:pt>
                <c:pt idx="101">
                  <c:v>1695</c:v>
                </c:pt>
                <c:pt idx="102">
                  <c:v>11056</c:v>
                </c:pt>
                <c:pt idx="103">
                  <c:v>30433</c:v>
                </c:pt>
                <c:pt idx="104">
                  <c:v>25866</c:v>
                </c:pt>
                <c:pt idx="105">
                  <c:v>89095</c:v>
                </c:pt>
                <c:pt idx="106">
                  <c:v>1386</c:v>
                </c:pt>
                <c:pt idx="107">
                  <c:v>17476</c:v>
                </c:pt>
                <c:pt idx="108">
                  <c:v>7437</c:v>
                </c:pt>
                <c:pt idx="109">
                  <c:v>22150</c:v>
                </c:pt>
                <c:pt idx="110">
                  <c:v>28356</c:v>
                </c:pt>
                <c:pt idx="111">
                  <c:v>48195</c:v>
                </c:pt>
                <c:pt idx="112">
                  <c:v>35257</c:v>
                </c:pt>
                <c:pt idx="113">
                  <c:v>7468</c:v>
                </c:pt>
                <c:pt idx="114">
                  <c:v>26352</c:v>
                </c:pt>
                <c:pt idx="115">
                  <c:v>46410</c:v>
                </c:pt>
                <c:pt idx="116">
                  <c:v>21750</c:v>
                </c:pt>
                <c:pt idx="117">
                  <c:v>49961</c:v>
                </c:pt>
                <c:pt idx="118">
                  <c:v>50712</c:v>
                </c:pt>
                <c:pt idx="119">
                  <c:v>27414</c:v>
                </c:pt>
                <c:pt idx="120">
                  <c:v>27506</c:v>
                </c:pt>
                <c:pt idx="121">
                  <c:v>19062</c:v>
                </c:pt>
                <c:pt idx="122">
                  <c:v>13523</c:v>
                </c:pt>
                <c:pt idx="123">
                  <c:v>20347</c:v>
                </c:pt>
                <c:pt idx="124">
                  <c:v>25397</c:v>
                </c:pt>
                <c:pt idx="125">
                  <c:v>36324</c:v>
                </c:pt>
                <c:pt idx="126">
                  <c:v>40496</c:v>
                </c:pt>
                <c:pt idx="127">
                  <c:v>39947</c:v>
                </c:pt>
                <c:pt idx="128">
                  <c:v>37004</c:v>
                </c:pt>
                <c:pt idx="129">
                  <c:v>27102</c:v>
                </c:pt>
                <c:pt idx="130">
                  <c:v>11888</c:v>
                </c:pt>
                <c:pt idx="131">
                  <c:v>22525</c:v>
                </c:pt>
                <c:pt idx="132">
                  <c:v>20142</c:v>
                </c:pt>
                <c:pt idx="133">
                  <c:v>10289</c:v>
                </c:pt>
                <c:pt idx="134">
                  <c:v>11024</c:v>
                </c:pt>
                <c:pt idx="135">
                  <c:v>14467</c:v>
                </c:pt>
                <c:pt idx="136">
                  <c:v>27905</c:v>
                </c:pt>
                <c:pt idx="137">
                  <c:v>927</c:v>
                </c:pt>
                <c:pt idx="138">
                  <c:v>63259</c:v>
                </c:pt>
                <c:pt idx="139">
                  <c:v>47842</c:v>
                </c:pt>
                <c:pt idx="140">
                  <c:v>11891</c:v>
                </c:pt>
                <c:pt idx="141">
                  <c:v>30695</c:v>
                </c:pt>
                <c:pt idx="142">
                  <c:v>85453</c:v>
                </c:pt>
                <c:pt idx="143">
                  <c:v>5893</c:v>
                </c:pt>
                <c:pt idx="144">
                  <c:v>29567</c:v>
                </c:pt>
                <c:pt idx="145">
                  <c:v>16669</c:v>
                </c:pt>
                <c:pt idx="146">
                  <c:v>15887</c:v>
                </c:pt>
                <c:pt idx="147">
                  <c:v>18597</c:v>
                </c:pt>
                <c:pt idx="148">
                  <c:v>28018</c:v>
                </c:pt>
                <c:pt idx="149">
                  <c:v>18581</c:v>
                </c:pt>
                <c:pt idx="150">
                  <c:v>24744</c:v>
                </c:pt>
                <c:pt idx="151">
                  <c:v>15630</c:v>
                </c:pt>
                <c:pt idx="152">
                  <c:v>16936</c:v>
                </c:pt>
                <c:pt idx="153">
                  <c:v>19530</c:v>
                </c:pt>
                <c:pt idx="154">
                  <c:v>29733</c:v>
                </c:pt>
                <c:pt idx="155">
                  <c:v>45485</c:v>
                </c:pt>
                <c:pt idx="156">
                  <c:v>17499</c:v>
                </c:pt>
                <c:pt idx="157">
                  <c:v>48007</c:v>
                </c:pt>
                <c:pt idx="158">
                  <c:v>26298</c:v>
                </c:pt>
                <c:pt idx="159">
                  <c:v>31154</c:v>
                </c:pt>
                <c:pt idx="160">
                  <c:v>36546</c:v>
                </c:pt>
                <c:pt idx="161">
                  <c:v>31336</c:v>
                </c:pt>
                <c:pt idx="162">
                  <c:v>10937</c:v>
                </c:pt>
                <c:pt idx="163">
                  <c:v>29473</c:v>
                </c:pt>
                <c:pt idx="164">
                  <c:v>21850</c:v>
                </c:pt>
                <c:pt idx="165">
                  <c:v>35954</c:v>
                </c:pt>
                <c:pt idx="166">
                  <c:v>45106</c:v>
                </c:pt>
                <c:pt idx="167">
                  <c:v>33507</c:v>
                </c:pt>
                <c:pt idx="168">
                  <c:v>45403</c:v>
                </c:pt>
                <c:pt idx="169">
                  <c:v>17052</c:v>
                </c:pt>
                <c:pt idx="170">
                  <c:v>3821</c:v>
                </c:pt>
                <c:pt idx="171">
                  <c:v>19061</c:v>
                </c:pt>
                <c:pt idx="172">
                  <c:v>30498</c:v>
                </c:pt>
                <c:pt idx="173">
                  <c:v>23793</c:v>
                </c:pt>
                <c:pt idx="174">
                  <c:v>23626</c:v>
                </c:pt>
                <c:pt idx="175">
                  <c:v>42694</c:v>
                </c:pt>
                <c:pt idx="176">
                  <c:v>1077</c:v>
                </c:pt>
                <c:pt idx="177">
                  <c:v>23629</c:v>
                </c:pt>
                <c:pt idx="178">
                  <c:v>22221</c:v>
                </c:pt>
                <c:pt idx="179">
                  <c:v>14416</c:v>
                </c:pt>
                <c:pt idx="180">
                  <c:v>13528</c:v>
                </c:pt>
                <c:pt idx="181">
                  <c:v>20846</c:v>
                </c:pt>
                <c:pt idx="182">
                  <c:v>15658</c:v>
                </c:pt>
                <c:pt idx="183">
                  <c:v>27149</c:v>
                </c:pt>
                <c:pt idx="184">
                  <c:v>25345</c:v>
                </c:pt>
                <c:pt idx="185">
                  <c:v>13599</c:v>
                </c:pt>
                <c:pt idx="186">
                  <c:v>13966</c:v>
                </c:pt>
                <c:pt idx="187">
                  <c:v>42853</c:v>
                </c:pt>
                <c:pt idx="188">
                  <c:v>9489</c:v>
                </c:pt>
                <c:pt idx="189">
                  <c:v>6798</c:v>
                </c:pt>
                <c:pt idx="190">
                  <c:v>22793</c:v>
                </c:pt>
                <c:pt idx="191">
                  <c:v>36681</c:v>
                </c:pt>
                <c:pt idx="192">
                  <c:v>9998</c:v>
                </c:pt>
                <c:pt idx="193">
                  <c:v>16720</c:v>
                </c:pt>
                <c:pt idx="194">
                  <c:v>23405</c:v>
                </c:pt>
                <c:pt idx="195">
                  <c:v>17798</c:v>
                </c:pt>
                <c:pt idx="196">
                  <c:v>24239</c:v>
                </c:pt>
                <c:pt idx="197">
                  <c:v>34496</c:v>
                </c:pt>
                <c:pt idx="198">
                  <c:v>46704</c:v>
                </c:pt>
                <c:pt idx="199">
                  <c:v>19038</c:v>
                </c:pt>
                <c:pt idx="200">
                  <c:v>36137</c:v>
                </c:pt>
                <c:pt idx="201">
                  <c:v>10689</c:v>
                </c:pt>
                <c:pt idx="202">
                  <c:v>24228</c:v>
                </c:pt>
                <c:pt idx="203">
                  <c:v>5418</c:v>
                </c:pt>
                <c:pt idx="204">
                  <c:v>26152</c:v>
                </c:pt>
                <c:pt idx="205">
                  <c:v>43997</c:v>
                </c:pt>
                <c:pt idx="206">
                  <c:v>28236</c:v>
                </c:pt>
                <c:pt idx="207">
                  <c:v>5118</c:v>
                </c:pt>
                <c:pt idx="208">
                  <c:v>65594</c:v>
                </c:pt>
                <c:pt idx="209">
                  <c:v>18369</c:v>
                </c:pt>
                <c:pt idx="210">
                  <c:v>14115</c:v>
                </c:pt>
                <c:pt idx="211">
                  <c:v>21457</c:v>
                </c:pt>
                <c:pt idx="212">
                  <c:v>71933</c:v>
                </c:pt>
                <c:pt idx="213">
                  <c:v>10739</c:v>
                </c:pt>
                <c:pt idx="214">
                  <c:v>23737</c:v>
                </c:pt>
                <c:pt idx="215">
                  <c:v>38555</c:v>
                </c:pt>
                <c:pt idx="216">
                  <c:v>29241</c:v>
                </c:pt>
                <c:pt idx="217">
                  <c:v>26377</c:v>
                </c:pt>
                <c:pt idx="218">
                  <c:v>4970</c:v>
                </c:pt>
                <c:pt idx="219">
                  <c:v>33731</c:v>
                </c:pt>
                <c:pt idx="220">
                  <c:v>44428</c:v>
                </c:pt>
                <c:pt idx="221">
                  <c:v>34373</c:v>
                </c:pt>
                <c:pt idx="222">
                  <c:v>10376</c:v>
                </c:pt>
                <c:pt idx="223">
                  <c:v>26517</c:v>
                </c:pt>
                <c:pt idx="224">
                  <c:v>23220</c:v>
                </c:pt>
                <c:pt idx="225">
                  <c:v>9191</c:v>
                </c:pt>
                <c:pt idx="226">
                  <c:v>19538</c:v>
                </c:pt>
                <c:pt idx="227">
                  <c:v>32937</c:v>
                </c:pt>
                <c:pt idx="228">
                  <c:v>16193</c:v>
                </c:pt>
                <c:pt idx="229">
                  <c:v>3947</c:v>
                </c:pt>
                <c:pt idx="230">
                  <c:v>5443</c:v>
                </c:pt>
                <c:pt idx="231">
                  <c:v>33049</c:v>
                </c:pt>
                <c:pt idx="232">
                  <c:v>17828</c:v>
                </c:pt>
                <c:pt idx="233">
                  <c:v>16171</c:v>
                </c:pt>
                <c:pt idx="234">
                  <c:v>63929</c:v>
                </c:pt>
                <c:pt idx="235">
                  <c:v>52797</c:v>
                </c:pt>
                <c:pt idx="236">
                  <c:v>2587</c:v>
                </c:pt>
                <c:pt idx="237">
                  <c:v>17991</c:v>
                </c:pt>
                <c:pt idx="238">
                  <c:v>10523</c:v>
                </c:pt>
                <c:pt idx="239">
                  <c:v>7060</c:v>
                </c:pt>
                <c:pt idx="240">
                  <c:v>32658</c:v>
                </c:pt>
                <c:pt idx="241">
                  <c:v>45958</c:v>
                </c:pt>
                <c:pt idx="242">
                  <c:v>24752</c:v>
                </c:pt>
                <c:pt idx="243">
                  <c:v>32773</c:v>
                </c:pt>
                <c:pt idx="244">
                  <c:v>26851</c:v>
                </c:pt>
                <c:pt idx="245">
                  <c:v>40398</c:v>
                </c:pt>
                <c:pt idx="246">
                  <c:v>27986</c:v>
                </c:pt>
                <c:pt idx="247">
                  <c:v>15613</c:v>
                </c:pt>
                <c:pt idx="248">
                  <c:v>32421</c:v>
                </c:pt>
                <c:pt idx="249">
                  <c:v>59307</c:v>
                </c:pt>
                <c:pt idx="250">
                  <c:v>35135</c:v>
                </c:pt>
                <c:pt idx="251">
                  <c:v>2820</c:v>
                </c:pt>
                <c:pt idx="252">
                  <c:v>19272</c:v>
                </c:pt>
                <c:pt idx="253">
                  <c:v>12865</c:v>
                </c:pt>
                <c:pt idx="254">
                  <c:v>8204</c:v>
                </c:pt>
                <c:pt idx="255">
                  <c:v>25029</c:v>
                </c:pt>
                <c:pt idx="256">
                  <c:v>27780</c:v>
                </c:pt>
                <c:pt idx="257">
                  <c:v>12703</c:v>
                </c:pt>
                <c:pt idx="258">
                  <c:v>484</c:v>
                </c:pt>
                <c:pt idx="259">
                  <c:v>17041</c:v>
                </c:pt>
                <c:pt idx="260">
                  <c:v>255</c:v>
                </c:pt>
                <c:pt idx="261">
                  <c:v>4224</c:v>
                </c:pt>
                <c:pt idx="262">
                  <c:v>29573</c:v>
                </c:pt>
                <c:pt idx="263">
                  <c:v>15410</c:v>
                </c:pt>
                <c:pt idx="264">
                  <c:v>21224</c:v>
                </c:pt>
                <c:pt idx="265">
                  <c:v>8162</c:v>
                </c:pt>
                <c:pt idx="266">
                  <c:v>31679</c:v>
                </c:pt>
                <c:pt idx="267">
                  <c:v>23294</c:v>
                </c:pt>
                <c:pt idx="268">
                  <c:v>18729</c:v>
                </c:pt>
                <c:pt idx="269">
                  <c:v>71558</c:v>
                </c:pt>
                <c:pt idx="270">
                  <c:v>46059</c:v>
                </c:pt>
                <c:pt idx="271">
                  <c:v>18751</c:v>
                </c:pt>
                <c:pt idx="272">
                  <c:v>53347</c:v>
                </c:pt>
                <c:pt idx="273">
                  <c:v>32082</c:v>
                </c:pt>
                <c:pt idx="274">
                  <c:v>30518</c:v>
                </c:pt>
                <c:pt idx="275">
                  <c:v>30225</c:v>
                </c:pt>
                <c:pt idx="276">
                  <c:v>22578</c:v>
                </c:pt>
                <c:pt idx="277">
                  <c:v>18137</c:v>
                </c:pt>
                <c:pt idx="278">
                  <c:v>15479</c:v>
                </c:pt>
                <c:pt idx="279">
                  <c:v>38721</c:v>
                </c:pt>
                <c:pt idx="280">
                  <c:v>41572</c:v>
                </c:pt>
                <c:pt idx="281">
                  <c:v>33872</c:v>
                </c:pt>
                <c:pt idx="282">
                  <c:v>46884</c:v>
                </c:pt>
                <c:pt idx="283">
                  <c:v>22316</c:v>
                </c:pt>
                <c:pt idx="284">
                  <c:v>17045</c:v>
                </c:pt>
                <c:pt idx="285">
                  <c:v>19053</c:v>
                </c:pt>
                <c:pt idx="286">
                  <c:v>17220</c:v>
                </c:pt>
                <c:pt idx="287">
                  <c:v>13626</c:v>
                </c:pt>
                <c:pt idx="288">
                  <c:v>14813</c:v>
                </c:pt>
                <c:pt idx="289">
                  <c:v>12675</c:v>
                </c:pt>
                <c:pt idx="290">
                  <c:v>43117</c:v>
                </c:pt>
                <c:pt idx="291">
                  <c:v>72459</c:v>
                </c:pt>
                <c:pt idx="292">
                  <c:v>38053</c:v>
                </c:pt>
                <c:pt idx="293">
                  <c:v>31047</c:v>
                </c:pt>
                <c:pt idx="294">
                  <c:v>4910</c:v>
                </c:pt>
                <c:pt idx="295">
                  <c:v>50733</c:v>
                </c:pt>
                <c:pt idx="296">
                  <c:v>2719</c:v>
                </c:pt>
                <c:pt idx="297">
                  <c:v>21691</c:v>
                </c:pt>
                <c:pt idx="298">
                  <c:v>23579</c:v>
                </c:pt>
                <c:pt idx="299">
                  <c:v>15737</c:v>
                </c:pt>
                <c:pt idx="300">
                  <c:v>43533</c:v>
                </c:pt>
                <c:pt idx="301">
                  <c:v>25501</c:v>
                </c:pt>
                <c:pt idx="302">
                  <c:v>28971</c:v>
                </c:pt>
                <c:pt idx="303">
                  <c:v>4138</c:v>
                </c:pt>
                <c:pt idx="304">
                  <c:v>11934</c:v>
                </c:pt>
                <c:pt idx="305">
                  <c:v>19063</c:v>
                </c:pt>
                <c:pt idx="306">
                  <c:v>44556</c:v>
                </c:pt>
                <c:pt idx="307">
                  <c:v>6621</c:v>
                </c:pt>
                <c:pt idx="308">
                  <c:v>3917</c:v>
                </c:pt>
                <c:pt idx="309">
                  <c:v>43825</c:v>
                </c:pt>
                <c:pt idx="310">
                  <c:v>19205</c:v>
                </c:pt>
                <c:pt idx="311">
                  <c:v>16097</c:v>
                </c:pt>
                <c:pt idx="312">
                  <c:v>4433</c:v>
                </c:pt>
                <c:pt idx="313">
                  <c:v>3576</c:v>
                </c:pt>
                <c:pt idx="314">
                  <c:v>20325</c:v>
                </c:pt>
                <c:pt idx="315">
                  <c:v>34202</c:v>
                </c:pt>
                <c:pt idx="316">
                  <c:v>10196</c:v>
                </c:pt>
                <c:pt idx="317">
                  <c:v>18108</c:v>
                </c:pt>
                <c:pt idx="318">
                  <c:v>11674</c:v>
                </c:pt>
                <c:pt idx="319">
                  <c:v>23726</c:v>
                </c:pt>
                <c:pt idx="320">
                  <c:v>14703</c:v>
                </c:pt>
                <c:pt idx="321">
                  <c:v>7982</c:v>
                </c:pt>
                <c:pt idx="322">
                  <c:v>25059</c:v>
                </c:pt>
                <c:pt idx="323">
                  <c:v>15363</c:v>
                </c:pt>
                <c:pt idx="324">
                  <c:v>37607</c:v>
                </c:pt>
                <c:pt idx="325">
                  <c:v>6473</c:v>
                </c:pt>
                <c:pt idx="326">
                  <c:v>51093</c:v>
                </c:pt>
                <c:pt idx="327">
                  <c:v>45522</c:v>
                </c:pt>
                <c:pt idx="328">
                  <c:v>7340</c:v>
                </c:pt>
                <c:pt idx="329">
                  <c:v>24283</c:v>
                </c:pt>
                <c:pt idx="330">
                  <c:v>26824</c:v>
                </c:pt>
                <c:pt idx="331">
                  <c:v>26321</c:v>
                </c:pt>
                <c:pt idx="332">
                  <c:v>25253</c:v>
                </c:pt>
                <c:pt idx="333">
                  <c:v>27885</c:v>
                </c:pt>
                <c:pt idx="334">
                  <c:v>27025</c:v>
                </c:pt>
                <c:pt idx="335">
                  <c:v>25377</c:v>
                </c:pt>
                <c:pt idx="336">
                  <c:v>20136</c:v>
                </c:pt>
                <c:pt idx="337">
                  <c:v>25533</c:v>
                </c:pt>
                <c:pt idx="338">
                  <c:v>27807</c:v>
                </c:pt>
                <c:pt idx="339">
                  <c:v>27525</c:v>
                </c:pt>
                <c:pt idx="340">
                  <c:v>14299</c:v>
                </c:pt>
                <c:pt idx="341">
                  <c:v>12129</c:v>
                </c:pt>
                <c:pt idx="342">
                  <c:v>6148</c:v>
                </c:pt>
                <c:pt idx="343">
                  <c:v>32768</c:v>
                </c:pt>
                <c:pt idx="344">
                  <c:v>28432</c:v>
                </c:pt>
                <c:pt idx="345">
                  <c:v>31776</c:v>
                </c:pt>
                <c:pt idx="346">
                  <c:v>10309</c:v>
                </c:pt>
                <c:pt idx="347">
                  <c:v>35330</c:v>
                </c:pt>
                <c:pt idx="348">
                  <c:v>4809</c:v>
                </c:pt>
                <c:pt idx="349">
                  <c:v>54290</c:v>
                </c:pt>
                <c:pt idx="350">
                  <c:v>41188</c:v>
                </c:pt>
                <c:pt idx="351">
                  <c:v>12015</c:v>
                </c:pt>
                <c:pt idx="352">
                  <c:v>28673</c:v>
                </c:pt>
                <c:pt idx="353">
                  <c:v>14520</c:v>
                </c:pt>
                <c:pt idx="354">
                  <c:v>35372</c:v>
                </c:pt>
                <c:pt idx="355">
                  <c:v>23317</c:v>
                </c:pt>
                <c:pt idx="356">
                  <c:v>31099</c:v>
                </c:pt>
                <c:pt idx="357">
                  <c:v>17852</c:v>
                </c:pt>
                <c:pt idx="358">
                  <c:v>54937</c:v>
                </c:pt>
                <c:pt idx="359">
                  <c:v>19552</c:v>
                </c:pt>
                <c:pt idx="360">
                  <c:v>49845</c:v>
                </c:pt>
                <c:pt idx="361">
                  <c:v>13012</c:v>
                </c:pt>
                <c:pt idx="362">
                  <c:v>32138</c:v>
                </c:pt>
                <c:pt idx="363">
                  <c:v>39553</c:v>
                </c:pt>
                <c:pt idx="364">
                  <c:v>27988</c:v>
                </c:pt>
                <c:pt idx="365">
                  <c:v>36042</c:v>
                </c:pt>
                <c:pt idx="366">
                  <c:v>29617</c:v>
                </c:pt>
                <c:pt idx="367">
                  <c:v>31499</c:v>
                </c:pt>
                <c:pt idx="368">
                  <c:v>33444</c:v>
                </c:pt>
                <c:pt idx="369">
                  <c:v>31307</c:v>
                </c:pt>
                <c:pt idx="370">
                  <c:v>6704</c:v>
                </c:pt>
                <c:pt idx="371">
                  <c:v>27949</c:v>
                </c:pt>
                <c:pt idx="372">
                  <c:v>37041</c:v>
                </c:pt>
                <c:pt idx="373">
                  <c:v>35214</c:v>
                </c:pt>
                <c:pt idx="374">
                  <c:v>32936</c:v>
                </c:pt>
                <c:pt idx="375">
                  <c:v>29632</c:v>
                </c:pt>
                <c:pt idx="376">
                  <c:v>45388</c:v>
                </c:pt>
                <c:pt idx="377">
                  <c:v>35787</c:v>
                </c:pt>
                <c:pt idx="378">
                  <c:v>3657</c:v>
                </c:pt>
                <c:pt idx="379">
                  <c:v>15931</c:v>
                </c:pt>
                <c:pt idx="380">
                  <c:v>6323</c:v>
                </c:pt>
                <c:pt idx="381">
                  <c:v>7375</c:v>
                </c:pt>
                <c:pt idx="382">
                  <c:v>9035</c:v>
                </c:pt>
                <c:pt idx="383">
                  <c:v>81699</c:v>
                </c:pt>
                <c:pt idx="384">
                  <c:v>5629</c:v>
                </c:pt>
                <c:pt idx="385">
                  <c:v>47125</c:v>
                </c:pt>
                <c:pt idx="386">
                  <c:v>21130</c:v>
                </c:pt>
                <c:pt idx="387">
                  <c:v>7267</c:v>
                </c:pt>
                <c:pt idx="388">
                  <c:v>16115</c:v>
                </c:pt>
                <c:pt idx="389">
                  <c:v>7650</c:v>
                </c:pt>
                <c:pt idx="390">
                  <c:v>45069</c:v>
                </c:pt>
                <c:pt idx="391">
                  <c:v>72481</c:v>
                </c:pt>
                <c:pt idx="392">
                  <c:v>17470</c:v>
                </c:pt>
                <c:pt idx="393">
                  <c:v>39671</c:v>
                </c:pt>
                <c:pt idx="394">
                  <c:v>33395</c:v>
                </c:pt>
                <c:pt idx="395">
                  <c:v>49468</c:v>
                </c:pt>
                <c:pt idx="396">
                  <c:v>45826</c:v>
                </c:pt>
                <c:pt idx="397">
                  <c:v>42742</c:v>
                </c:pt>
                <c:pt idx="398">
                  <c:v>3473</c:v>
                </c:pt>
                <c:pt idx="399">
                  <c:v>18053</c:v>
                </c:pt>
                <c:pt idx="400">
                  <c:v>29630</c:v>
                </c:pt>
                <c:pt idx="401">
                  <c:v>25626</c:v>
                </c:pt>
                <c:pt idx="402">
                  <c:v>28720</c:v>
                </c:pt>
                <c:pt idx="403">
                  <c:v>6371</c:v>
                </c:pt>
                <c:pt idx="404">
                  <c:v>61048</c:v>
                </c:pt>
                <c:pt idx="405">
                  <c:v>5949</c:v>
                </c:pt>
                <c:pt idx="406">
                  <c:v>29072</c:v>
                </c:pt>
                <c:pt idx="407">
                  <c:v>8633</c:v>
                </c:pt>
                <c:pt idx="408">
                  <c:v>31901</c:v>
                </c:pt>
                <c:pt idx="409">
                  <c:v>23280</c:v>
                </c:pt>
                <c:pt idx="410">
                  <c:v>24797</c:v>
                </c:pt>
                <c:pt idx="411">
                  <c:v>21976</c:v>
                </c:pt>
                <c:pt idx="412">
                  <c:v>11179</c:v>
                </c:pt>
                <c:pt idx="413">
                  <c:v>18133</c:v>
                </c:pt>
                <c:pt idx="414">
                  <c:v>29296</c:v>
                </c:pt>
                <c:pt idx="415">
                  <c:v>17618</c:v>
                </c:pt>
                <c:pt idx="416">
                  <c:v>12671</c:v>
                </c:pt>
                <c:pt idx="417">
                  <c:v>28245</c:v>
                </c:pt>
                <c:pt idx="418">
                  <c:v>31787</c:v>
                </c:pt>
                <c:pt idx="419">
                  <c:v>50200</c:v>
                </c:pt>
                <c:pt idx="420">
                  <c:v>56328</c:v>
                </c:pt>
                <c:pt idx="421">
                  <c:v>19148</c:v>
                </c:pt>
                <c:pt idx="422">
                  <c:v>28248</c:v>
                </c:pt>
                <c:pt idx="423">
                  <c:v>16421</c:v>
                </c:pt>
                <c:pt idx="424">
                  <c:v>12924</c:v>
                </c:pt>
                <c:pt idx="425">
                  <c:v>10648</c:v>
                </c:pt>
                <c:pt idx="426">
                  <c:v>17691</c:v>
                </c:pt>
                <c:pt idx="427">
                  <c:v>13196</c:v>
                </c:pt>
                <c:pt idx="428">
                  <c:v>36512</c:v>
                </c:pt>
                <c:pt idx="429">
                  <c:v>15444</c:v>
                </c:pt>
                <c:pt idx="430">
                  <c:v>37738</c:v>
                </c:pt>
                <c:pt idx="431">
                  <c:v>12931</c:v>
                </c:pt>
                <c:pt idx="432">
                  <c:v>40072</c:v>
                </c:pt>
                <c:pt idx="433">
                  <c:v>55815</c:v>
                </c:pt>
                <c:pt idx="434">
                  <c:v>7286</c:v>
                </c:pt>
                <c:pt idx="435">
                  <c:v>61817</c:v>
                </c:pt>
                <c:pt idx="436">
                  <c:v>25663</c:v>
                </c:pt>
                <c:pt idx="437">
                  <c:v>18861</c:v>
                </c:pt>
                <c:pt idx="438">
                  <c:v>17548</c:v>
                </c:pt>
                <c:pt idx="439">
                  <c:v>48831</c:v>
                </c:pt>
                <c:pt idx="440">
                  <c:v>12938</c:v>
                </c:pt>
                <c:pt idx="441">
                  <c:v>5398</c:v>
                </c:pt>
                <c:pt idx="442">
                  <c:v>3211</c:v>
                </c:pt>
                <c:pt idx="443">
                  <c:v>44475</c:v>
                </c:pt>
                <c:pt idx="444">
                  <c:v>34475</c:v>
                </c:pt>
                <c:pt idx="445">
                  <c:v>29286</c:v>
                </c:pt>
                <c:pt idx="446">
                  <c:v>47035</c:v>
                </c:pt>
                <c:pt idx="447">
                  <c:v>36729</c:v>
                </c:pt>
                <c:pt idx="448">
                  <c:v>18553</c:v>
                </c:pt>
                <c:pt idx="449">
                  <c:v>20353</c:v>
                </c:pt>
                <c:pt idx="450">
                  <c:v>13895</c:v>
                </c:pt>
                <c:pt idx="451">
                  <c:v>16891</c:v>
                </c:pt>
                <c:pt idx="452">
                  <c:v>35835</c:v>
                </c:pt>
                <c:pt idx="453">
                  <c:v>3076</c:v>
                </c:pt>
                <c:pt idx="454">
                  <c:v>30320</c:v>
                </c:pt>
                <c:pt idx="455">
                  <c:v>4403</c:v>
                </c:pt>
                <c:pt idx="456">
                  <c:v>49176</c:v>
                </c:pt>
                <c:pt idx="457">
                  <c:v>72167</c:v>
                </c:pt>
                <c:pt idx="458">
                  <c:v>44668</c:v>
                </c:pt>
                <c:pt idx="459">
                  <c:v>12767</c:v>
                </c:pt>
                <c:pt idx="460">
                  <c:v>29027</c:v>
                </c:pt>
                <c:pt idx="461">
                  <c:v>17950</c:v>
                </c:pt>
                <c:pt idx="462">
                  <c:v>18369</c:v>
                </c:pt>
                <c:pt idx="463">
                  <c:v>49965</c:v>
                </c:pt>
                <c:pt idx="464">
                  <c:v>31957</c:v>
                </c:pt>
                <c:pt idx="465">
                  <c:v>10528</c:v>
                </c:pt>
                <c:pt idx="466">
                  <c:v>6628</c:v>
                </c:pt>
                <c:pt idx="467">
                  <c:v>12971</c:v>
                </c:pt>
                <c:pt idx="468">
                  <c:v>8506</c:v>
                </c:pt>
                <c:pt idx="469">
                  <c:v>41141</c:v>
                </c:pt>
                <c:pt idx="470">
                  <c:v>5483</c:v>
                </c:pt>
                <c:pt idx="471">
                  <c:v>38971</c:v>
                </c:pt>
                <c:pt idx="472">
                  <c:v>33598</c:v>
                </c:pt>
                <c:pt idx="473">
                  <c:v>24805</c:v>
                </c:pt>
                <c:pt idx="474">
                  <c:v>28878</c:v>
                </c:pt>
                <c:pt idx="475">
                  <c:v>18956</c:v>
                </c:pt>
                <c:pt idx="476">
                  <c:v>53693</c:v>
                </c:pt>
                <c:pt idx="477">
                  <c:v>65452</c:v>
                </c:pt>
                <c:pt idx="478">
                  <c:v>45143</c:v>
                </c:pt>
                <c:pt idx="479">
                  <c:v>24153</c:v>
                </c:pt>
                <c:pt idx="480">
                  <c:v>10391</c:v>
                </c:pt>
                <c:pt idx="481">
                  <c:v>2846</c:v>
                </c:pt>
                <c:pt idx="482">
                  <c:v>15964</c:v>
                </c:pt>
                <c:pt idx="483">
                  <c:v>15177</c:v>
                </c:pt>
                <c:pt idx="484">
                  <c:v>37505</c:v>
                </c:pt>
                <c:pt idx="485">
                  <c:v>44928</c:v>
                </c:pt>
                <c:pt idx="486">
                  <c:v>43812</c:v>
                </c:pt>
                <c:pt idx="487">
                  <c:v>30755</c:v>
                </c:pt>
                <c:pt idx="488">
                  <c:v>14858</c:v>
                </c:pt>
                <c:pt idx="489">
                  <c:v>18922</c:v>
                </c:pt>
                <c:pt idx="490">
                  <c:v>34944</c:v>
                </c:pt>
                <c:pt idx="491">
                  <c:v>33068</c:v>
                </c:pt>
                <c:pt idx="492">
                  <c:v>56842</c:v>
                </c:pt>
                <c:pt idx="493">
                  <c:v>2414</c:v>
                </c:pt>
                <c:pt idx="494">
                  <c:v>29825</c:v>
                </c:pt>
                <c:pt idx="495">
                  <c:v>16224</c:v>
                </c:pt>
                <c:pt idx="496">
                  <c:v>9255</c:v>
                </c:pt>
                <c:pt idx="497">
                  <c:v>33605</c:v>
                </c:pt>
                <c:pt idx="498">
                  <c:v>15972</c:v>
                </c:pt>
                <c:pt idx="499">
                  <c:v>15403</c:v>
                </c:pt>
                <c:pt idx="500">
                  <c:v>27461</c:v>
                </c:pt>
                <c:pt idx="501">
                  <c:v>38492</c:v>
                </c:pt>
                <c:pt idx="502">
                  <c:v>58360</c:v>
                </c:pt>
                <c:pt idx="503">
                  <c:v>11721</c:v>
                </c:pt>
                <c:pt idx="504">
                  <c:v>10082</c:v>
                </c:pt>
                <c:pt idx="505">
                  <c:v>28550</c:v>
                </c:pt>
                <c:pt idx="506">
                  <c:v>10144</c:v>
                </c:pt>
                <c:pt idx="507">
                  <c:v>23562</c:v>
                </c:pt>
                <c:pt idx="508">
                  <c:v>21485</c:v>
                </c:pt>
                <c:pt idx="509">
                  <c:v>43300</c:v>
                </c:pt>
                <c:pt idx="510">
                  <c:v>17073</c:v>
                </c:pt>
                <c:pt idx="511">
                  <c:v>31652</c:v>
                </c:pt>
                <c:pt idx="512">
                  <c:v>25551</c:v>
                </c:pt>
                <c:pt idx="513">
                  <c:v>5583</c:v>
                </c:pt>
                <c:pt idx="514">
                  <c:v>8910</c:v>
                </c:pt>
                <c:pt idx="515">
                  <c:v>30397</c:v>
                </c:pt>
                <c:pt idx="516">
                  <c:v>20676</c:v>
                </c:pt>
                <c:pt idx="517">
                  <c:v>39415</c:v>
                </c:pt>
                <c:pt idx="518">
                  <c:v>44652</c:v>
                </c:pt>
                <c:pt idx="519">
                  <c:v>66792</c:v>
                </c:pt>
                <c:pt idx="520">
                  <c:v>25159</c:v>
                </c:pt>
                <c:pt idx="521">
                  <c:v>65643</c:v>
                </c:pt>
                <c:pt idx="522">
                  <c:v>36382</c:v>
                </c:pt>
                <c:pt idx="523">
                  <c:v>24111</c:v>
                </c:pt>
                <c:pt idx="524">
                  <c:v>13214</c:v>
                </c:pt>
                <c:pt idx="525">
                  <c:v>36190</c:v>
                </c:pt>
                <c:pt idx="526">
                  <c:v>31638</c:v>
                </c:pt>
                <c:pt idx="527">
                  <c:v>16352</c:v>
                </c:pt>
                <c:pt idx="528">
                  <c:v>25052</c:v>
                </c:pt>
                <c:pt idx="529">
                  <c:v>34734</c:v>
                </c:pt>
                <c:pt idx="530">
                  <c:v>28328</c:v>
                </c:pt>
                <c:pt idx="531">
                  <c:v>26278</c:v>
                </c:pt>
                <c:pt idx="532">
                  <c:v>21127</c:v>
                </c:pt>
                <c:pt idx="533">
                  <c:v>18758</c:v>
                </c:pt>
                <c:pt idx="534">
                  <c:v>31056</c:v>
                </c:pt>
                <c:pt idx="535">
                  <c:v>11300</c:v>
                </c:pt>
                <c:pt idx="536">
                  <c:v>25375</c:v>
                </c:pt>
                <c:pt idx="537">
                  <c:v>20895</c:v>
                </c:pt>
                <c:pt idx="538">
                  <c:v>41735</c:v>
                </c:pt>
                <c:pt idx="539">
                  <c:v>44444</c:v>
                </c:pt>
                <c:pt idx="540">
                  <c:v>33221</c:v>
                </c:pt>
                <c:pt idx="541">
                  <c:v>43324</c:v>
                </c:pt>
                <c:pt idx="542">
                  <c:v>51168</c:v>
                </c:pt>
                <c:pt idx="543">
                  <c:v>27518</c:v>
                </c:pt>
                <c:pt idx="544">
                  <c:v>53326</c:v>
                </c:pt>
                <c:pt idx="545">
                  <c:v>26814</c:v>
                </c:pt>
                <c:pt idx="546">
                  <c:v>35524</c:v>
                </c:pt>
                <c:pt idx="547">
                  <c:v>35591</c:v>
                </c:pt>
                <c:pt idx="548">
                  <c:v>46989</c:v>
                </c:pt>
                <c:pt idx="549">
                  <c:v>11780</c:v>
                </c:pt>
                <c:pt idx="550">
                  <c:v>49842</c:v>
                </c:pt>
                <c:pt idx="551">
                  <c:v>19317</c:v>
                </c:pt>
                <c:pt idx="552">
                  <c:v>41396</c:v>
                </c:pt>
                <c:pt idx="553">
                  <c:v>27265</c:v>
                </c:pt>
                <c:pt idx="554">
                  <c:v>5459</c:v>
                </c:pt>
                <c:pt idx="555">
                  <c:v>58202</c:v>
                </c:pt>
                <c:pt idx="556">
                  <c:v>11084</c:v>
                </c:pt>
                <c:pt idx="557">
                  <c:v>51535</c:v>
                </c:pt>
                <c:pt idx="558">
                  <c:v>41591</c:v>
                </c:pt>
                <c:pt idx="559">
                  <c:v>21593</c:v>
                </c:pt>
                <c:pt idx="560">
                  <c:v>18851</c:v>
                </c:pt>
                <c:pt idx="561">
                  <c:v>26320</c:v>
                </c:pt>
                <c:pt idx="562">
                  <c:v>27131</c:v>
                </c:pt>
                <c:pt idx="563">
                  <c:v>32763</c:v>
                </c:pt>
                <c:pt idx="564">
                  <c:v>25108</c:v>
                </c:pt>
                <c:pt idx="565">
                  <c:v>43905</c:v>
                </c:pt>
                <c:pt idx="566">
                  <c:v>50417</c:v>
                </c:pt>
                <c:pt idx="567">
                  <c:v>34388</c:v>
                </c:pt>
                <c:pt idx="568">
                  <c:v>13037</c:v>
                </c:pt>
                <c:pt idx="569">
                  <c:v>19435</c:v>
                </c:pt>
                <c:pt idx="570">
                  <c:v>10521</c:v>
                </c:pt>
                <c:pt idx="571">
                  <c:v>38750</c:v>
                </c:pt>
                <c:pt idx="572">
                  <c:v>13558</c:v>
                </c:pt>
                <c:pt idx="573">
                  <c:v>46895</c:v>
                </c:pt>
                <c:pt idx="574">
                  <c:v>9542</c:v>
                </c:pt>
                <c:pt idx="575">
                  <c:v>21966</c:v>
                </c:pt>
                <c:pt idx="576">
                  <c:v>18059</c:v>
                </c:pt>
                <c:pt idx="577">
                  <c:v>51214</c:v>
                </c:pt>
                <c:pt idx="578">
                  <c:v>15037</c:v>
                </c:pt>
                <c:pt idx="579">
                  <c:v>7058</c:v>
                </c:pt>
                <c:pt idx="580">
                  <c:v>14812</c:v>
                </c:pt>
                <c:pt idx="581">
                  <c:v>36977</c:v>
                </c:pt>
                <c:pt idx="582">
                  <c:v>52092</c:v>
                </c:pt>
                <c:pt idx="583">
                  <c:v>29959</c:v>
                </c:pt>
                <c:pt idx="584">
                  <c:v>26069</c:v>
                </c:pt>
                <c:pt idx="585">
                  <c:v>19496</c:v>
                </c:pt>
                <c:pt idx="586">
                  <c:v>18275</c:v>
                </c:pt>
                <c:pt idx="587">
                  <c:v>23055</c:v>
                </c:pt>
                <c:pt idx="588">
                  <c:v>11818</c:v>
                </c:pt>
                <c:pt idx="589">
                  <c:v>14644</c:v>
                </c:pt>
                <c:pt idx="590">
                  <c:v>25943</c:v>
                </c:pt>
                <c:pt idx="591">
                  <c:v>9839</c:v>
                </c:pt>
                <c:pt idx="592">
                  <c:v>11287</c:v>
                </c:pt>
                <c:pt idx="593">
                  <c:v>28888</c:v>
                </c:pt>
                <c:pt idx="594">
                  <c:v>18101</c:v>
                </c:pt>
                <c:pt idx="595">
                  <c:v>25887</c:v>
                </c:pt>
                <c:pt idx="596">
                  <c:v>7833</c:v>
                </c:pt>
                <c:pt idx="597">
                  <c:v>26320</c:v>
                </c:pt>
                <c:pt idx="598">
                  <c:v>26628</c:v>
                </c:pt>
                <c:pt idx="599">
                  <c:v>69028</c:v>
                </c:pt>
                <c:pt idx="600">
                  <c:v>23393</c:v>
                </c:pt>
                <c:pt idx="601">
                  <c:v>33931</c:v>
                </c:pt>
                <c:pt idx="602">
                  <c:v>37447</c:v>
                </c:pt>
                <c:pt idx="603">
                  <c:v>83295</c:v>
                </c:pt>
                <c:pt idx="604">
                  <c:v>44190</c:v>
                </c:pt>
                <c:pt idx="605">
                  <c:v>46161</c:v>
                </c:pt>
                <c:pt idx="606">
                  <c:v>45201</c:v>
                </c:pt>
                <c:pt idx="607">
                  <c:v>40492</c:v>
                </c:pt>
                <c:pt idx="608">
                  <c:v>21502</c:v>
                </c:pt>
                <c:pt idx="609">
                  <c:v>1518</c:v>
                </c:pt>
                <c:pt idx="610">
                  <c:v>7995</c:v>
                </c:pt>
                <c:pt idx="611">
                  <c:v>36644</c:v>
                </c:pt>
                <c:pt idx="612">
                  <c:v>25137</c:v>
                </c:pt>
                <c:pt idx="613">
                  <c:v>22871</c:v>
                </c:pt>
                <c:pt idx="614">
                  <c:v>27636</c:v>
                </c:pt>
                <c:pt idx="615">
                  <c:v>34611</c:v>
                </c:pt>
                <c:pt idx="616">
                  <c:v>19909</c:v>
                </c:pt>
                <c:pt idx="617">
                  <c:v>22165</c:v>
                </c:pt>
                <c:pt idx="618">
                  <c:v>37058</c:v>
                </c:pt>
                <c:pt idx="619">
                  <c:v>25396</c:v>
                </c:pt>
                <c:pt idx="620">
                  <c:v>28002</c:v>
                </c:pt>
                <c:pt idx="621">
                  <c:v>7742</c:v>
                </c:pt>
                <c:pt idx="622">
                  <c:v>38016</c:v>
                </c:pt>
                <c:pt idx="623">
                  <c:v>30228</c:v>
                </c:pt>
                <c:pt idx="624">
                  <c:v>27638</c:v>
                </c:pt>
                <c:pt idx="625">
                  <c:v>17117</c:v>
                </c:pt>
                <c:pt idx="626">
                  <c:v>28086</c:v>
                </c:pt>
                <c:pt idx="627">
                  <c:v>16957</c:v>
                </c:pt>
                <c:pt idx="628">
                  <c:v>53085</c:v>
                </c:pt>
                <c:pt idx="629">
                  <c:v>21792</c:v>
                </c:pt>
                <c:pt idx="630">
                  <c:v>21200</c:v>
                </c:pt>
                <c:pt idx="631">
                  <c:v>29489</c:v>
                </c:pt>
                <c:pt idx="632">
                  <c:v>65757</c:v>
                </c:pt>
                <c:pt idx="633">
                  <c:v>25146</c:v>
                </c:pt>
                <c:pt idx="634">
                  <c:v>33159</c:v>
                </c:pt>
                <c:pt idx="635">
                  <c:v>64961</c:v>
                </c:pt>
                <c:pt idx="636">
                  <c:v>17380</c:v>
                </c:pt>
                <c:pt idx="637">
                  <c:v>19901</c:v>
                </c:pt>
                <c:pt idx="638">
                  <c:v>26654</c:v>
                </c:pt>
                <c:pt idx="639">
                  <c:v>61760</c:v>
                </c:pt>
                <c:pt idx="640">
                  <c:v>3519</c:v>
                </c:pt>
                <c:pt idx="641">
                  <c:v>24152</c:v>
                </c:pt>
                <c:pt idx="642">
                  <c:v>19692</c:v>
                </c:pt>
                <c:pt idx="643">
                  <c:v>67060</c:v>
                </c:pt>
                <c:pt idx="644">
                  <c:v>1313</c:v>
                </c:pt>
                <c:pt idx="645">
                  <c:v>36908</c:v>
                </c:pt>
                <c:pt idx="646">
                  <c:v>18424</c:v>
                </c:pt>
                <c:pt idx="647">
                  <c:v>42618</c:v>
                </c:pt>
                <c:pt idx="648">
                  <c:v>40306</c:v>
                </c:pt>
                <c:pt idx="649">
                  <c:v>42514</c:v>
                </c:pt>
                <c:pt idx="650">
                  <c:v>4802</c:v>
                </c:pt>
                <c:pt idx="651">
                  <c:v>12548</c:v>
                </c:pt>
                <c:pt idx="652">
                  <c:v>16324</c:v>
                </c:pt>
                <c:pt idx="653">
                  <c:v>29915</c:v>
                </c:pt>
                <c:pt idx="654">
                  <c:v>31860</c:v>
                </c:pt>
                <c:pt idx="655">
                  <c:v>45053</c:v>
                </c:pt>
                <c:pt idx="656">
                  <c:v>24416</c:v>
                </c:pt>
                <c:pt idx="657">
                  <c:v>11484</c:v>
                </c:pt>
                <c:pt idx="658">
                  <c:v>28341</c:v>
                </c:pt>
                <c:pt idx="659">
                  <c:v>86985</c:v>
                </c:pt>
                <c:pt idx="660">
                  <c:v>77032</c:v>
                </c:pt>
                <c:pt idx="661">
                  <c:v>19211</c:v>
                </c:pt>
                <c:pt idx="662">
                  <c:v>15737</c:v>
                </c:pt>
                <c:pt idx="663">
                  <c:v>35481</c:v>
                </c:pt>
                <c:pt idx="664">
                  <c:v>7993</c:v>
                </c:pt>
                <c:pt idx="665">
                  <c:v>9789</c:v>
                </c:pt>
                <c:pt idx="666">
                  <c:v>29757</c:v>
                </c:pt>
                <c:pt idx="667">
                  <c:v>11796</c:v>
                </c:pt>
                <c:pt idx="668">
                  <c:v>53125</c:v>
                </c:pt>
                <c:pt idx="669">
                  <c:v>2439</c:v>
                </c:pt>
                <c:pt idx="670">
                  <c:v>24723</c:v>
                </c:pt>
                <c:pt idx="671">
                  <c:v>82425</c:v>
                </c:pt>
                <c:pt idx="672">
                  <c:v>45471</c:v>
                </c:pt>
                <c:pt idx="673">
                  <c:v>20504</c:v>
                </c:pt>
                <c:pt idx="674">
                  <c:v>30899</c:v>
                </c:pt>
                <c:pt idx="675">
                  <c:v>36504</c:v>
                </c:pt>
                <c:pt idx="676">
                  <c:v>30008</c:v>
                </c:pt>
                <c:pt idx="677">
                  <c:v>5009</c:v>
                </c:pt>
                <c:pt idx="678">
                  <c:v>2608</c:v>
                </c:pt>
                <c:pt idx="679">
                  <c:v>23768</c:v>
                </c:pt>
                <c:pt idx="680">
                  <c:v>31932</c:v>
                </c:pt>
                <c:pt idx="681">
                  <c:v>23856</c:v>
                </c:pt>
                <c:pt idx="682">
                  <c:v>69905</c:v>
                </c:pt>
                <c:pt idx="683">
                  <c:v>12551</c:v>
                </c:pt>
                <c:pt idx="684">
                  <c:v>35405</c:v>
                </c:pt>
                <c:pt idx="685">
                  <c:v>22513</c:v>
                </c:pt>
                <c:pt idx="686">
                  <c:v>20065</c:v>
                </c:pt>
                <c:pt idx="687">
                  <c:v>50064</c:v>
                </c:pt>
                <c:pt idx="688">
                  <c:v>31045</c:v>
                </c:pt>
                <c:pt idx="689">
                  <c:v>30623</c:v>
                </c:pt>
                <c:pt idx="690">
                  <c:v>17985</c:v>
                </c:pt>
                <c:pt idx="691">
                  <c:v>58128</c:v>
                </c:pt>
                <c:pt idx="692">
                  <c:v>53318</c:v>
                </c:pt>
                <c:pt idx="693">
                  <c:v>30573</c:v>
                </c:pt>
                <c:pt idx="694">
                  <c:v>18942</c:v>
                </c:pt>
                <c:pt idx="695">
                  <c:v>12326</c:v>
                </c:pt>
                <c:pt idx="696">
                  <c:v>37364</c:v>
                </c:pt>
                <c:pt idx="697">
                  <c:v>32614</c:v>
                </c:pt>
                <c:pt idx="698">
                  <c:v>9777</c:v>
                </c:pt>
                <c:pt idx="699">
                  <c:v>13440</c:v>
                </c:pt>
                <c:pt idx="700">
                  <c:v>20812</c:v>
                </c:pt>
                <c:pt idx="701">
                  <c:v>12816</c:v>
                </c:pt>
                <c:pt idx="702">
                  <c:v>36029</c:v>
                </c:pt>
                <c:pt idx="703">
                  <c:v>10827</c:v>
                </c:pt>
                <c:pt idx="704">
                  <c:v>1334</c:v>
                </c:pt>
                <c:pt idx="705">
                  <c:v>22528</c:v>
                </c:pt>
                <c:pt idx="706">
                  <c:v>18975</c:v>
                </c:pt>
                <c:pt idx="707">
                  <c:v>29518</c:v>
                </c:pt>
                <c:pt idx="708">
                  <c:v>12190</c:v>
                </c:pt>
                <c:pt idx="709">
                  <c:v>21178</c:v>
                </c:pt>
                <c:pt idx="710">
                  <c:v>21875</c:v>
                </c:pt>
                <c:pt idx="711">
                  <c:v>11286</c:v>
                </c:pt>
                <c:pt idx="712">
                  <c:v>48470</c:v>
                </c:pt>
                <c:pt idx="713">
                  <c:v>10852</c:v>
                </c:pt>
                <c:pt idx="714">
                  <c:v>40418</c:v>
                </c:pt>
                <c:pt idx="715">
                  <c:v>62894</c:v>
                </c:pt>
                <c:pt idx="716">
                  <c:v>15021</c:v>
                </c:pt>
                <c:pt idx="717">
                  <c:v>30701</c:v>
                </c:pt>
                <c:pt idx="718">
                  <c:v>16413</c:v>
                </c:pt>
                <c:pt idx="719">
                  <c:v>20284</c:v>
                </c:pt>
                <c:pt idx="720">
                  <c:v>42760</c:v>
                </c:pt>
                <c:pt idx="721">
                  <c:v>64715</c:v>
                </c:pt>
                <c:pt idx="722">
                  <c:v>28956</c:v>
                </c:pt>
                <c:pt idx="723">
                  <c:v>13410</c:v>
                </c:pt>
                <c:pt idx="724">
                  <c:v>41672</c:v>
                </c:pt>
                <c:pt idx="725">
                  <c:v>22298</c:v>
                </c:pt>
                <c:pt idx="726">
                  <c:v>46260</c:v>
                </c:pt>
                <c:pt idx="727">
                  <c:v>31625</c:v>
                </c:pt>
                <c:pt idx="728">
                  <c:v>16677</c:v>
                </c:pt>
                <c:pt idx="729">
                  <c:v>38142</c:v>
                </c:pt>
                <c:pt idx="730">
                  <c:v>4439</c:v>
                </c:pt>
                <c:pt idx="731">
                  <c:v>34130</c:v>
                </c:pt>
                <c:pt idx="732">
                  <c:v>22379</c:v>
                </c:pt>
                <c:pt idx="733">
                  <c:v>5049</c:v>
                </c:pt>
                <c:pt idx="734">
                  <c:v>21177</c:v>
                </c:pt>
                <c:pt idx="735">
                  <c:v>20008</c:v>
                </c:pt>
                <c:pt idx="736">
                  <c:v>16356</c:v>
                </c:pt>
                <c:pt idx="737">
                  <c:v>24766</c:v>
                </c:pt>
                <c:pt idx="738">
                  <c:v>5295</c:v>
                </c:pt>
                <c:pt idx="739">
                  <c:v>16441</c:v>
                </c:pt>
                <c:pt idx="740">
                  <c:v>31750</c:v>
                </c:pt>
                <c:pt idx="741">
                  <c:v>30481</c:v>
                </c:pt>
                <c:pt idx="742">
                  <c:v>14184</c:v>
                </c:pt>
                <c:pt idx="743">
                  <c:v>47167</c:v>
                </c:pt>
                <c:pt idx="744">
                  <c:v>51750</c:v>
                </c:pt>
                <c:pt idx="745">
                  <c:v>72971</c:v>
                </c:pt>
                <c:pt idx="746">
                  <c:v>5959</c:v>
                </c:pt>
                <c:pt idx="747">
                  <c:v>9129</c:v>
                </c:pt>
                <c:pt idx="748">
                  <c:v>32827</c:v>
                </c:pt>
                <c:pt idx="749">
                  <c:v>18623</c:v>
                </c:pt>
                <c:pt idx="750">
                  <c:v>27189</c:v>
                </c:pt>
                <c:pt idx="751">
                  <c:v>34373</c:v>
                </c:pt>
                <c:pt idx="752">
                  <c:v>11235</c:v>
                </c:pt>
                <c:pt idx="753">
                  <c:v>32945</c:v>
                </c:pt>
                <c:pt idx="754">
                  <c:v>30954</c:v>
                </c:pt>
                <c:pt idx="755">
                  <c:v>15348</c:v>
                </c:pt>
                <c:pt idx="756">
                  <c:v>27179</c:v>
                </c:pt>
                <c:pt idx="757">
                  <c:v>38730</c:v>
                </c:pt>
                <c:pt idx="758">
                  <c:v>28216</c:v>
                </c:pt>
                <c:pt idx="759">
                  <c:v>49253</c:v>
                </c:pt>
                <c:pt idx="760">
                  <c:v>44214</c:v>
                </c:pt>
                <c:pt idx="761">
                  <c:v>39669</c:v>
                </c:pt>
                <c:pt idx="762">
                  <c:v>7957</c:v>
                </c:pt>
                <c:pt idx="763">
                  <c:v>16212</c:v>
                </c:pt>
                <c:pt idx="764">
                  <c:v>31893</c:v>
                </c:pt>
                <c:pt idx="765">
                  <c:v>21093</c:v>
                </c:pt>
                <c:pt idx="766">
                  <c:v>18646</c:v>
                </c:pt>
                <c:pt idx="767">
                  <c:v>30856</c:v>
                </c:pt>
                <c:pt idx="768">
                  <c:v>40451</c:v>
                </c:pt>
                <c:pt idx="769">
                  <c:v>18430</c:v>
                </c:pt>
                <c:pt idx="770">
                  <c:v>28834</c:v>
                </c:pt>
                <c:pt idx="771">
                  <c:v>6466</c:v>
                </c:pt>
                <c:pt idx="772">
                  <c:v>31757</c:v>
                </c:pt>
                <c:pt idx="773">
                  <c:v>39899</c:v>
                </c:pt>
                <c:pt idx="774">
                  <c:v>76048</c:v>
                </c:pt>
                <c:pt idx="775">
                  <c:v>12370</c:v>
                </c:pt>
                <c:pt idx="776">
                  <c:v>10693</c:v>
                </c:pt>
                <c:pt idx="777">
                  <c:v>56456</c:v>
                </c:pt>
                <c:pt idx="778">
                  <c:v>23308</c:v>
                </c:pt>
                <c:pt idx="779">
                  <c:v>54463</c:v>
                </c:pt>
                <c:pt idx="780">
                  <c:v>23503</c:v>
                </c:pt>
                <c:pt idx="781">
                  <c:v>28472</c:v>
                </c:pt>
                <c:pt idx="782">
                  <c:v>26179</c:v>
                </c:pt>
                <c:pt idx="783">
                  <c:v>21947</c:v>
                </c:pt>
                <c:pt idx="784">
                  <c:v>3631</c:v>
                </c:pt>
                <c:pt idx="785">
                  <c:v>14475</c:v>
                </c:pt>
                <c:pt idx="786">
                  <c:v>21504</c:v>
                </c:pt>
                <c:pt idx="787">
                  <c:v>2624</c:v>
                </c:pt>
                <c:pt idx="788">
                  <c:v>22586</c:v>
                </c:pt>
                <c:pt idx="789">
                  <c:v>11017</c:v>
                </c:pt>
                <c:pt idx="790">
                  <c:v>33653</c:v>
                </c:pt>
                <c:pt idx="791">
                  <c:v>24923</c:v>
                </c:pt>
                <c:pt idx="792">
                  <c:v>33931</c:v>
                </c:pt>
                <c:pt idx="793">
                  <c:v>31693</c:v>
                </c:pt>
                <c:pt idx="794">
                  <c:v>54005</c:v>
                </c:pt>
                <c:pt idx="795">
                  <c:v>23867</c:v>
                </c:pt>
                <c:pt idx="796">
                  <c:v>46395</c:v>
                </c:pt>
                <c:pt idx="797">
                  <c:v>23084</c:v>
                </c:pt>
                <c:pt idx="798">
                  <c:v>12824</c:v>
                </c:pt>
                <c:pt idx="799">
                  <c:v>68538</c:v>
                </c:pt>
                <c:pt idx="800">
                  <c:v>58739</c:v>
                </c:pt>
                <c:pt idx="801">
                  <c:v>29531</c:v>
                </c:pt>
                <c:pt idx="802">
                  <c:v>81446</c:v>
                </c:pt>
                <c:pt idx="803">
                  <c:v>36489</c:v>
                </c:pt>
                <c:pt idx="804">
                  <c:v>60545</c:v>
                </c:pt>
                <c:pt idx="805">
                  <c:v>20302</c:v>
                </c:pt>
                <c:pt idx="806">
                  <c:v>46023</c:v>
                </c:pt>
                <c:pt idx="807">
                  <c:v>72651</c:v>
                </c:pt>
                <c:pt idx="808">
                  <c:v>13412</c:v>
                </c:pt>
                <c:pt idx="809">
                  <c:v>36929</c:v>
                </c:pt>
                <c:pt idx="810">
                  <c:v>17676</c:v>
                </c:pt>
                <c:pt idx="811">
                  <c:v>23744</c:v>
                </c:pt>
                <c:pt idx="812">
                  <c:v>21053</c:v>
                </c:pt>
                <c:pt idx="813">
                  <c:v>14447</c:v>
                </c:pt>
                <c:pt idx="814">
                  <c:v>12280</c:v>
                </c:pt>
                <c:pt idx="815">
                  <c:v>41812</c:v>
                </c:pt>
                <c:pt idx="816">
                  <c:v>2090</c:v>
                </c:pt>
                <c:pt idx="817">
                  <c:v>18480</c:v>
                </c:pt>
                <c:pt idx="818">
                  <c:v>61010</c:v>
                </c:pt>
                <c:pt idx="819">
                  <c:v>24908</c:v>
                </c:pt>
                <c:pt idx="820">
                  <c:v>38628</c:v>
                </c:pt>
                <c:pt idx="821">
                  <c:v>26099</c:v>
                </c:pt>
                <c:pt idx="822">
                  <c:v>34339</c:v>
                </c:pt>
                <c:pt idx="823">
                  <c:v>20281</c:v>
                </c:pt>
                <c:pt idx="824">
                  <c:v>19628</c:v>
                </c:pt>
                <c:pt idx="825">
                  <c:v>27540</c:v>
                </c:pt>
                <c:pt idx="826">
                  <c:v>12793</c:v>
                </c:pt>
                <c:pt idx="827">
                  <c:v>34447</c:v>
                </c:pt>
                <c:pt idx="828">
                  <c:v>36263</c:v>
                </c:pt>
                <c:pt idx="829">
                  <c:v>60963</c:v>
                </c:pt>
                <c:pt idx="830">
                  <c:v>29111</c:v>
                </c:pt>
                <c:pt idx="831">
                  <c:v>9633</c:v>
                </c:pt>
                <c:pt idx="832">
                  <c:v>26947</c:v>
                </c:pt>
                <c:pt idx="833">
                  <c:v>26336</c:v>
                </c:pt>
                <c:pt idx="834">
                  <c:v>19195</c:v>
                </c:pt>
                <c:pt idx="835">
                  <c:v>16777</c:v>
                </c:pt>
                <c:pt idx="836">
                  <c:v>35662</c:v>
                </c:pt>
                <c:pt idx="837">
                  <c:v>47344</c:v>
                </c:pt>
                <c:pt idx="838">
                  <c:v>23792</c:v>
                </c:pt>
                <c:pt idx="839">
                  <c:v>28695</c:v>
                </c:pt>
                <c:pt idx="840">
                  <c:v>14016</c:v>
                </c:pt>
                <c:pt idx="841">
                  <c:v>30532</c:v>
                </c:pt>
                <c:pt idx="842">
                  <c:v>26358</c:v>
                </c:pt>
                <c:pt idx="843">
                  <c:v>3801</c:v>
                </c:pt>
                <c:pt idx="844">
                  <c:v>20298</c:v>
                </c:pt>
                <c:pt idx="845">
                  <c:v>23745</c:v>
                </c:pt>
                <c:pt idx="846">
                  <c:v>30737</c:v>
                </c:pt>
                <c:pt idx="847">
                  <c:v>40689</c:v>
                </c:pt>
                <c:pt idx="848">
                  <c:v>45181</c:v>
                </c:pt>
                <c:pt idx="849">
                  <c:v>5402</c:v>
                </c:pt>
                <c:pt idx="850">
                  <c:v>8455</c:v>
                </c:pt>
                <c:pt idx="851">
                  <c:v>18795</c:v>
                </c:pt>
                <c:pt idx="852">
                  <c:v>30696</c:v>
                </c:pt>
                <c:pt idx="853">
                  <c:v>43085</c:v>
                </c:pt>
                <c:pt idx="854">
                  <c:v>21105</c:v>
                </c:pt>
                <c:pt idx="855">
                  <c:v>26539</c:v>
                </c:pt>
                <c:pt idx="856">
                  <c:v>13761</c:v>
                </c:pt>
                <c:pt idx="857">
                  <c:v>44656</c:v>
                </c:pt>
                <c:pt idx="858">
                  <c:v>43513</c:v>
                </c:pt>
                <c:pt idx="859">
                  <c:v>18025</c:v>
                </c:pt>
                <c:pt idx="860">
                  <c:v>4746</c:v>
                </c:pt>
                <c:pt idx="861">
                  <c:v>15818</c:v>
                </c:pt>
                <c:pt idx="862">
                  <c:v>33575</c:v>
                </c:pt>
                <c:pt idx="863">
                  <c:v>92241</c:v>
                </c:pt>
                <c:pt idx="864">
                  <c:v>31543</c:v>
                </c:pt>
                <c:pt idx="865">
                  <c:v>35689</c:v>
                </c:pt>
                <c:pt idx="866">
                  <c:v>26585</c:v>
                </c:pt>
                <c:pt idx="867">
                  <c:v>10154</c:v>
                </c:pt>
                <c:pt idx="868">
                  <c:v>13657</c:v>
                </c:pt>
                <c:pt idx="869">
                  <c:v>38162</c:v>
                </c:pt>
                <c:pt idx="870">
                  <c:v>42725</c:v>
                </c:pt>
                <c:pt idx="871">
                  <c:v>35286</c:v>
                </c:pt>
                <c:pt idx="872">
                  <c:v>37823</c:v>
                </c:pt>
                <c:pt idx="873">
                  <c:v>9398</c:v>
                </c:pt>
                <c:pt idx="874">
                  <c:v>24186</c:v>
                </c:pt>
                <c:pt idx="875">
                  <c:v>14516</c:v>
                </c:pt>
                <c:pt idx="876">
                  <c:v>24528</c:v>
                </c:pt>
                <c:pt idx="877">
                  <c:v>21184</c:v>
                </c:pt>
                <c:pt idx="878">
                  <c:v>32998</c:v>
                </c:pt>
                <c:pt idx="879">
                  <c:v>14818</c:v>
                </c:pt>
                <c:pt idx="880">
                  <c:v>20376</c:v>
                </c:pt>
                <c:pt idx="881">
                  <c:v>58091</c:v>
                </c:pt>
                <c:pt idx="882">
                  <c:v>53025</c:v>
                </c:pt>
                <c:pt idx="883">
                  <c:v>24467</c:v>
                </c:pt>
                <c:pt idx="884">
                  <c:v>20467</c:v>
                </c:pt>
                <c:pt idx="885">
                  <c:v>31892</c:v>
                </c:pt>
                <c:pt idx="886">
                  <c:v>24580</c:v>
                </c:pt>
                <c:pt idx="887">
                  <c:v>20216</c:v>
                </c:pt>
                <c:pt idx="888">
                  <c:v>11000</c:v>
                </c:pt>
                <c:pt idx="889">
                  <c:v>16179</c:v>
                </c:pt>
                <c:pt idx="890">
                  <c:v>27666</c:v>
                </c:pt>
                <c:pt idx="891">
                  <c:v>14351</c:v>
                </c:pt>
                <c:pt idx="892">
                  <c:v>35698</c:v>
                </c:pt>
                <c:pt idx="893">
                  <c:v>64299</c:v>
                </c:pt>
                <c:pt idx="894">
                  <c:v>16813</c:v>
                </c:pt>
                <c:pt idx="895">
                  <c:v>40381</c:v>
                </c:pt>
                <c:pt idx="896">
                  <c:v>23546</c:v>
                </c:pt>
                <c:pt idx="897">
                  <c:v>35986</c:v>
                </c:pt>
                <c:pt idx="898">
                  <c:v>13976</c:v>
                </c:pt>
                <c:pt idx="899">
                  <c:v>20652</c:v>
                </c:pt>
                <c:pt idx="900">
                  <c:v>77658</c:v>
                </c:pt>
                <c:pt idx="901">
                  <c:v>38648</c:v>
                </c:pt>
                <c:pt idx="902">
                  <c:v>23972</c:v>
                </c:pt>
                <c:pt idx="903">
                  <c:v>36247</c:v>
                </c:pt>
                <c:pt idx="904">
                  <c:v>32999</c:v>
                </c:pt>
                <c:pt idx="905">
                  <c:v>24038</c:v>
                </c:pt>
                <c:pt idx="906">
                  <c:v>61216</c:v>
                </c:pt>
                <c:pt idx="907">
                  <c:v>18103</c:v>
                </c:pt>
                <c:pt idx="908">
                  <c:v>40277</c:v>
                </c:pt>
                <c:pt idx="909">
                  <c:v>67374</c:v>
                </c:pt>
                <c:pt idx="910">
                  <c:v>15311</c:v>
                </c:pt>
                <c:pt idx="911">
                  <c:v>21276</c:v>
                </c:pt>
                <c:pt idx="912">
                  <c:v>33291</c:v>
                </c:pt>
                <c:pt idx="913">
                  <c:v>12368</c:v>
                </c:pt>
                <c:pt idx="914">
                  <c:v>16453</c:v>
                </c:pt>
                <c:pt idx="915">
                  <c:v>41540</c:v>
                </c:pt>
                <c:pt idx="916">
                  <c:v>12035</c:v>
                </c:pt>
                <c:pt idx="917">
                  <c:v>10486</c:v>
                </c:pt>
                <c:pt idx="918">
                  <c:v>30176</c:v>
                </c:pt>
                <c:pt idx="919">
                  <c:v>6148</c:v>
                </c:pt>
                <c:pt idx="920">
                  <c:v>72170</c:v>
                </c:pt>
                <c:pt idx="921">
                  <c:v>28524</c:v>
                </c:pt>
                <c:pt idx="922">
                  <c:v>21412</c:v>
                </c:pt>
                <c:pt idx="923">
                  <c:v>15748</c:v>
                </c:pt>
                <c:pt idx="924">
                  <c:v>12078</c:v>
                </c:pt>
                <c:pt idx="925">
                  <c:v>10431</c:v>
                </c:pt>
                <c:pt idx="926">
                  <c:v>18730</c:v>
                </c:pt>
                <c:pt idx="927">
                  <c:v>27617</c:v>
                </c:pt>
                <c:pt idx="928">
                  <c:v>30745</c:v>
                </c:pt>
                <c:pt idx="929">
                  <c:v>31942</c:v>
                </c:pt>
                <c:pt idx="930">
                  <c:v>7220</c:v>
                </c:pt>
                <c:pt idx="931">
                  <c:v>37108</c:v>
                </c:pt>
                <c:pt idx="932">
                  <c:v>625</c:v>
                </c:pt>
                <c:pt idx="933">
                  <c:v>23252</c:v>
                </c:pt>
                <c:pt idx="934">
                  <c:v>57852</c:v>
                </c:pt>
                <c:pt idx="935">
                  <c:v>41566</c:v>
                </c:pt>
                <c:pt idx="936">
                  <c:v>41311</c:v>
                </c:pt>
                <c:pt idx="937">
                  <c:v>72163</c:v>
                </c:pt>
                <c:pt idx="938">
                  <c:v>45225</c:v>
                </c:pt>
                <c:pt idx="939">
                  <c:v>48440</c:v>
                </c:pt>
                <c:pt idx="940">
                  <c:v>27106</c:v>
                </c:pt>
                <c:pt idx="941">
                  <c:v>22107</c:v>
                </c:pt>
                <c:pt idx="942">
                  <c:v>29923</c:v>
                </c:pt>
                <c:pt idx="943">
                  <c:v>4992</c:v>
                </c:pt>
                <c:pt idx="944">
                  <c:v>19277</c:v>
                </c:pt>
                <c:pt idx="945">
                  <c:v>5782</c:v>
                </c:pt>
                <c:pt idx="946">
                  <c:v>15870</c:v>
                </c:pt>
                <c:pt idx="947">
                  <c:v>24161</c:v>
                </c:pt>
                <c:pt idx="948">
                  <c:v>22728</c:v>
                </c:pt>
                <c:pt idx="949">
                  <c:v>5592</c:v>
                </c:pt>
                <c:pt idx="950">
                  <c:v>3257</c:v>
                </c:pt>
                <c:pt idx="951">
                  <c:v>21733</c:v>
                </c:pt>
                <c:pt idx="952">
                  <c:v>22774</c:v>
                </c:pt>
                <c:pt idx="953">
                  <c:v>20068</c:v>
                </c:pt>
                <c:pt idx="954">
                  <c:v>22947</c:v>
                </c:pt>
                <c:pt idx="955">
                  <c:v>4737</c:v>
                </c:pt>
                <c:pt idx="956">
                  <c:v>25559</c:v>
                </c:pt>
                <c:pt idx="957">
                  <c:v>14348</c:v>
                </c:pt>
                <c:pt idx="958">
                  <c:v>29848</c:v>
                </c:pt>
                <c:pt idx="959">
                  <c:v>72770</c:v>
                </c:pt>
                <c:pt idx="960">
                  <c:v>21837</c:v>
                </c:pt>
                <c:pt idx="961">
                  <c:v>27834</c:v>
                </c:pt>
                <c:pt idx="962">
                  <c:v>30275</c:v>
                </c:pt>
                <c:pt idx="963">
                  <c:v>30886</c:v>
                </c:pt>
                <c:pt idx="964">
                  <c:v>19276</c:v>
                </c:pt>
                <c:pt idx="965">
                  <c:v>21757</c:v>
                </c:pt>
                <c:pt idx="966">
                  <c:v>28750</c:v>
                </c:pt>
                <c:pt idx="967">
                  <c:v>18527</c:v>
                </c:pt>
                <c:pt idx="968">
                  <c:v>8548</c:v>
                </c:pt>
                <c:pt idx="969">
                  <c:v>36788</c:v>
                </c:pt>
                <c:pt idx="970">
                  <c:v>20657</c:v>
                </c:pt>
                <c:pt idx="971">
                  <c:v>24188</c:v>
                </c:pt>
                <c:pt idx="972">
                  <c:v>25339</c:v>
                </c:pt>
                <c:pt idx="973">
                  <c:v>17676</c:v>
                </c:pt>
                <c:pt idx="974">
                  <c:v>19559</c:v>
                </c:pt>
                <c:pt idx="975">
                  <c:v>12570</c:v>
                </c:pt>
                <c:pt idx="976">
                  <c:v>8930</c:v>
                </c:pt>
                <c:pt idx="977">
                  <c:v>20086</c:v>
                </c:pt>
                <c:pt idx="978">
                  <c:v>24039</c:v>
                </c:pt>
                <c:pt idx="979">
                  <c:v>20031</c:v>
                </c:pt>
                <c:pt idx="980">
                  <c:v>25954</c:v>
                </c:pt>
                <c:pt idx="981">
                  <c:v>35400</c:v>
                </c:pt>
                <c:pt idx="982">
                  <c:v>26572</c:v>
                </c:pt>
                <c:pt idx="983">
                  <c:v>31909</c:v>
                </c:pt>
                <c:pt idx="984">
                  <c:v>33792</c:v>
                </c:pt>
                <c:pt idx="985">
                  <c:v>24063</c:v>
                </c:pt>
                <c:pt idx="986">
                  <c:v>8449</c:v>
                </c:pt>
                <c:pt idx="987">
                  <c:v>29713</c:v>
                </c:pt>
                <c:pt idx="988">
                  <c:v>42708</c:v>
                </c:pt>
                <c:pt idx="989">
                  <c:v>37198</c:v>
                </c:pt>
                <c:pt idx="990">
                  <c:v>23531</c:v>
                </c:pt>
                <c:pt idx="991">
                  <c:v>49836</c:v>
                </c:pt>
                <c:pt idx="992">
                  <c:v>29892</c:v>
                </c:pt>
                <c:pt idx="993">
                  <c:v>16894</c:v>
                </c:pt>
                <c:pt idx="994">
                  <c:v>26889</c:v>
                </c:pt>
                <c:pt idx="995">
                  <c:v>20862</c:v>
                </c:pt>
                <c:pt idx="996">
                  <c:v>28951</c:v>
                </c:pt>
                <c:pt idx="997">
                  <c:v>46766</c:v>
                </c:pt>
                <c:pt idx="998">
                  <c:v>24088</c:v>
                </c:pt>
                <c:pt idx="999">
                  <c:v>21459</c:v>
                </c:pt>
                <c:pt idx="1000">
                  <c:v>14970</c:v>
                </c:pt>
                <c:pt idx="1001">
                  <c:v>19130</c:v>
                </c:pt>
                <c:pt idx="1002">
                  <c:v>44376</c:v>
                </c:pt>
                <c:pt idx="1003">
                  <c:v>23158</c:v>
                </c:pt>
                <c:pt idx="1004">
                  <c:v>23089</c:v>
                </c:pt>
                <c:pt idx="1005">
                  <c:v>39431</c:v>
                </c:pt>
                <c:pt idx="1006">
                  <c:v>21727</c:v>
                </c:pt>
                <c:pt idx="1007">
                  <c:v>43879</c:v>
                </c:pt>
                <c:pt idx="1008">
                  <c:v>28490</c:v>
                </c:pt>
                <c:pt idx="1009">
                  <c:v>17258</c:v>
                </c:pt>
                <c:pt idx="1010">
                  <c:v>20481</c:v>
                </c:pt>
                <c:pt idx="1011">
                  <c:v>42958</c:v>
                </c:pt>
                <c:pt idx="1012">
                  <c:v>39726</c:v>
                </c:pt>
                <c:pt idx="1013">
                  <c:v>39183</c:v>
                </c:pt>
                <c:pt idx="1014">
                  <c:v>8828</c:v>
                </c:pt>
                <c:pt idx="1015">
                  <c:v>53093</c:v>
                </c:pt>
                <c:pt idx="1016">
                  <c:v>3692</c:v>
                </c:pt>
                <c:pt idx="1017">
                  <c:v>30219</c:v>
                </c:pt>
                <c:pt idx="1018">
                  <c:v>17099</c:v>
                </c:pt>
                <c:pt idx="1019">
                  <c:v>16399</c:v>
                </c:pt>
                <c:pt idx="1020">
                  <c:v>31096</c:v>
                </c:pt>
                <c:pt idx="1021">
                  <c:v>18019</c:v>
                </c:pt>
                <c:pt idx="1022">
                  <c:v>19449</c:v>
                </c:pt>
                <c:pt idx="1023">
                  <c:v>23722</c:v>
                </c:pt>
                <c:pt idx="1024">
                  <c:v>25123</c:v>
                </c:pt>
                <c:pt idx="1025">
                  <c:v>5799</c:v>
                </c:pt>
                <c:pt idx="1026">
                  <c:v>9891</c:v>
                </c:pt>
                <c:pt idx="1027">
                  <c:v>19810</c:v>
                </c:pt>
                <c:pt idx="1028">
                  <c:v>10364</c:v>
                </c:pt>
                <c:pt idx="1029">
                  <c:v>47386</c:v>
                </c:pt>
                <c:pt idx="1030">
                  <c:v>18855</c:v>
                </c:pt>
                <c:pt idx="1031">
                  <c:v>30866</c:v>
                </c:pt>
                <c:pt idx="1032">
                  <c:v>18594</c:v>
                </c:pt>
                <c:pt idx="1033">
                  <c:v>57641</c:v>
                </c:pt>
                <c:pt idx="1034">
                  <c:v>15769</c:v>
                </c:pt>
                <c:pt idx="1035">
                  <c:v>26784</c:v>
                </c:pt>
                <c:pt idx="1036">
                  <c:v>26195</c:v>
                </c:pt>
                <c:pt idx="1037">
                  <c:v>21027</c:v>
                </c:pt>
                <c:pt idx="1038">
                  <c:v>22212</c:v>
                </c:pt>
                <c:pt idx="1039">
                  <c:v>32726</c:v>
                </c:pt>
                <c:pt idx="1040">
                  <c:v>6311</c:v>
                </c:pt>
                <c:pt idx="1041">
                  <c:v>11644</c:v>
                </c:pt>
                <c:pt idx="1042">
                  <c:v>30488</c:v>
                </c:pt>
                <c:pt idx="1043">
                  <c:v>48067</c:v>
                </c:pt>
                <c:pt idx="1044">
                  <c:v>37559</c:v>
                </c:pt>
                <c:pt idx="1045">
                  <c:v>5230</c:v>
                </c:pt>
                <c:pt idx="1046">
                  <c:v>5064</c:v>
                </c:pt>
                <c:pt idx="1047">
                  <c:v>26155</c:v>
                </c:pt>
                <c:pt idx="1048">
                  <c:v>36721</c:v>
                </c:pt>
                <c:pt idx="1049">
                  <c:v>23359</c:v>
                </c:pt>
                <c:pt idx="1050">
                  <c:v>4781</c:v>
                </c:pt>
                <c:pt idx="1051">
                  <c:v>29661</c:v>
                </c:pt>
                <c:pt idx="1052">
                  <c:v>25266</c:v>
                </c:pt>
                <c:pt idx="1053">
                  <c:v>32248</c:v>
                </c:pt>
                <c:pt idx="1054">
                  <c:v>39176</c:v>
                </c:pt>
                <c:pt idx="1055">
                  <c:v>5383</c:v>
                </c:pt>
                <c:pt idx="1056">
                  <c:v>32286</c:v>
                </c:pt>
                <c:pt idx="1057">
                  <c:v>39248</c:v>
                </c:pt>
                <c:pt idx="1058">
                  <c:v>23450</c:v>
                </c:pt>
                <c:pt idx="1059">
                  <c:v>53692</c:v>
                </c:pt>
                <c:pt idx="1060">
                  <c:v>19305</c:v>
                </c:pt>
                <c:pt idx="1061">
                  <c:v>41546</c:v>
                </c:pt>
                <c:pt idx="1062">
                  <c:v>54483</c:v>
                </c:pt>
                <c:pt idx="1063">
                  <c:v>42936</c:v>
                </c:pt>
                <c:pt idx="1064">
                  <c:v>35357</c:v>
                </c:pt>
                <c:pt idx="1065">
                  <c:v>21696</c:v>
                </c:pt>
                <c:pt idx="1066">
                  <c:v>3259</c:v>
                </c:pt>
                <c:pt idx="1067">
                  <c:v>25568</c:v>
                </c:pt>
                <c:pt idx="1068">
                  <c:v>28485</c:v>
                </c:pt>
                <c:pt idx="1069">
                  <c:v>14597</c:v>
                </c:pt>
                <c:pt idx="1070">
                  <c:v>18941</c:v>
                </c:pt>
                <c:pt idx="1071">
                  <c:v>28430</c:v>
                </c:pt>
                <c:pt idx="1072">
                  <c:v>7933</c:v>
                </c:pt>
                <c:pt idx="1073">
                  <c:v>28623</c:v>
                </c:pt>
                <c:pt idx="1074">
                  <c:v>27091</c:v>
                </c:pt>
                <c:pt idx="1075">
                  <c:v>65583</c:v>
                </c:pt>
                <c:pt idx="1076">
                  <c:v>57481</c:v>
                </c:pt>
                <c:pt idx="1077">
                  <c:v>24963</c:v>
                </c:pt>
                <c:pt idx="1078">
                  <c:v>34805</c:v>
                </c:pt>
                <c:pt idx="1079">
                  <c:v>21187</c:v>
                </c:pt>
                <c:pt idx="1080">
                  <c:v>13733</c:v>
                </c:pt>
                <c:pt idx="1081">
                  <c:v>39034</c:v>
                </c:pt>
                <c:pt idx="1082">
                  <c:v>51931</c:v>
                </c:pt>
                <c:pt idx="1083">
                  <c:v>17869</c:v>
                </c:pt>
                <c:pt idx="1084">
                  <c:v>33850</c:v>
                </c:pt>
                <c:pt idx="1085">
                  <c:v>34868</c:v>
                </c:pt>
                <c:pt idx="1086">
                  <c:v>29485</c:v>
                </c:pt>
                <c:pt idx="1087">
                  <c:v>12388</c:v>
                </c:pt>
                <c:pt idx="1088">
                  <c:v>30489</c:v>
                </c:pt>
                <c:pt idx="1089">
                  <c:v>10132</c:v>
                </c:pt>
                <c:pt idx="1090">
                  <c:v>61434</c:v>
                </c:pt>
                <c:pt idx="1091">
                  <c:v>684</c:v>
                </c:pt>
                <c:pt idx="1092">
                  <c:v>60791</c:v>
                </c:pt>
                <c:pt idx="1093">
                  <c:v>41226</c:v>
                </c:pt>
                <c:pt idx="1094">
                  <c:v>34714</c:v>
                </c:pt>
                <c:pt idx="1095">
                  <c:v>35418</c:v>
                </c:pt>
                <c:pt idx="1096">
                  <c:v>20857</c:v>
                </c:pt>
                <c:pt idx="1097">
                  <c:v>36081</c:v>
                </c:pt>
                <c:pt idx="1098">
                  <c:v>5011</c:v>
                </c:pt>
                <c:pt idx="1099">
                  <c:v>26147</c:v>
                </c:pt>
                <c:pt idx="1100">
                  <c:v>25855</c:v>
                </c:pt>
                <c:pt idx="1101">
                  <c:v>15647</c:v>
                </c:pt>
                <c:pt idx="1102">
                  <c:v>30277</c:v>
                </c:pt>
                <c:pt idx="1103">
                  <c:v>14476</c:v>
                </c:pt>
                <c:pt idx="1104">
                  <c:v>13227</c:v>
                </c:pt>
                <c:pt idx="1105">
                  <c:v>25345</c:v>
                </c:pt>
                <c:pt idx="1106">
                  <c:v>35324</c:v>
                </c:pt>
                <c:pt idx="1107">
                  <c:v>12217</c:v>
                </c:pt>
                <c:pt idx="1108">
                  <c:v>23535</c:v>
                </c:pt>
                <c:pt idx="1109">
                  <c:v>62435</c:v>
                </c:pt>
                <c:pt idx="1110">
                  <c:v>32561</c:v>
                </c:pt>
                <c:pt idx="1111">
                  <c:v>45804</c:v>
                </c:pt>
                <c:pt idx="1112">
                  <c:v>7565</c:v>
                </c:pt>
                <c:pt idx="1113">
                  <c:v>33577</c:v>
                </c:pt>
                <c:pt idx="1114">
                  <c:v>16632</c:v>
                </c:pt>
                <c:pt idx="1115">
                  <c:v>8390</c:v>
                </c:pt>
                <c:pt idx="1116">
                  <c:v>24142</c:v>
                </c:pt>
                <c:pt idx="1117">
                  <c:v>14481</c:v>
                </c:pt>
                <c:pt idx="1118">
                  <c:v>5464</c:v>
                </c:pt>
                <c:pt idx="1119">
                  <c:v>21114</c:v>
                </c:pt>
                <c:pt idx="1120">
                  <c:v>22608</c:v>
                </c:pt>
                <c:pt idx="1121">
                  <c:v>45834</c:v>
                </c:pt>
                <c:pt idx="1122">
                  <c:v>18558</c:v>
                </c:pt>
                <c:pt idx="1123">
                  <c:v>31519</c:v>
                </c:pt>
                <c:pt idx="1124">
                  <c:v>56937</c:v>
                </c:pt>
                <c:pt idx="1125">
                  <c:v>35513</c:v>
                </c:pt>
                <c:pt idx="1126">
                  <c:v>13053</c:v>
                </c:pt>
                <c:pt idx="1127">
                  <c:v>56739</c:v>
                </c:pt>
                <c:pt idx="1128">
                  <c:v>23518</c:v>
                </c:pt>
                <c:pt idx="1129">
                  <c:v>21360</c:v>
                </c:pt>
                <c:pt idx="1130">
                  <c:v>20580</c:v>
                </c:pt>
                <c:pt idx="1131">
                  <c:v>15832</c:v>
                </c:pt>
                <c:pt idx="1132">
                  <c:v>3256</c:v>
                </c:pt>
                <c:pt idx="1133">
                  <c:v>12366</c:v>
                </c:pt>
                <c:pt idx="1134">
                  <c:v>15063</c:v>
                </c:pt>
                <c:pt idx="1135">
                  <c:v>29125</c:v>
                </c:pt>
                <c:pt idx="1136">
                  <c:v>24712</c:v>
                </c:pt>
                <c:pt idx="1137">
                  <c:v>11188</c:v>
                </c:pt>
                <c:pt idx="1138">
                  <c:v>8426</c:v>
                </c:pt>
                <c:pt idx="1139">
                  <c:v>5701</c:v>
                </c:pt>
                <c:pt idx="1140">
                  <c:v>16981</c:v>
                </c:pt>
                <c:pt idx="1141">
                  <c:v>21875</c:v>
                </c:pt>
                <c:pt idx="1142">
                  <c:v>19913</c:v>
                </c:pt>
                <c:pt idx="1143">
                  <c:v>4370</c:v>
                </c:pt>
                <c:pt idx="1144">
                  <c:v>39794</c:v>
                </c:pt>
                <c:pt idx="1145">
                  <c:v>11505</c:v>
                </c:pt>
                <c:pt idx="1146">
                  <c:v>33661</c:v>
                </c:pt>
                <c:pt idx="1147">
                  <c:v>7141</c:v>
                </c:pt>
                <c:pt idx="1148">
                  <c:v>6687</c:v>
                </c:pt>
                <c:pt idx="1149">
                  <c:v>26943</c:v>
                </c:pt>
                <c:pt idx="1150">
                  <c:v>30317</c:v>
                </c:pt>
                <c:pt idx="1151">
                  <c:v>6939</c:v>
                </c:pt>
                <c:pt idx="1152">
                  <c:v>36014</c:v>
                </c:pt>
                <c:pt idx="1153">
                  <c:v>12600</c:v>
                </c:pt>
                <c:pt idx="1154">
                  <c:v>20083</c:v>
                </c:pt>
                <c:pt idx="1155">
                  <c:v>15924</c:v>
                </c:pt>
                <c:pt idx="1156">
                  <c:v>16426</c:v>
                </c:pt>
                <c:pt idx="1157">
                  <c:v>1958</c:v>
                </c:pt>
                <c:pt idx="1158">
                  <c:v>31250</c:v>
                </c:pt>
                <c:pt idx="1159">
                  <c:v>25975</c:v>
                </c:pt>
                <c:pt idx="1160">
                  <c:v>79702</c:v>
                </c:pt>
                <c:pt idx="1161">
                  <c:v>27939</c:v>
                </c:pt>
                <c:pt idx="1162">
                  <c:v>6627</c:v>
                </c:pt>
                <c:pt idx="1163">
                  <c:v>39304</c:v>
                </c:pt>
                <c:pt idx="1164">
                  <c:v>35920</c:v>
                </c:pt>
                <c:pt idx="1165">
                  <c:v>21546</c:v>
                </c:pt>
                <c:pt idx="1166">
                  <c:v>31623</c:v>
                </c:pt>
                <c:pt idx="1167">
                  <c:v>54815</c:v>
                </c:pt>
                <c:pt idx="1168">
                  <c:v>25367</c:v>
                </c:pt>
                <c:pt idx="1169">
                  <c:v>29298</c:v>
                </c:pt>
                <c:pt idx="1170">
                  <c:v>26551</c:v>
                </c:pt>
                <c:pt idx="1171">
                  <c:v>16494</c:v>
                </c:pt>
                <c:pt idx="1172">
                  <c:v>11885</c:v>
                </c:pt>
                <c:pt idx="1173">
                  <c:v>40123</c:v>
                </c:pt>
                <c:pt idx="1174">
                  <c:v>8230</c:v>
                </c:pt>
                <c:pt idx="1175">
                  <c:v>22584</c:v>
                </c:pt>
                <c:pt idx="1176">
                  <c:v>34374</c:v>
                </c:pt>
                <c:pt idx="1177">
                  <c:v>19252</c:v>
                </c:pt>
                <c:pt idx="1178">
                  <c:v>23430</c:v>
                </c:pt>
                <c:pt idx="1179">
                  <c:v>69351</c:v>
                </c:pt>
                <c:pt idx="1180">
                  <c:v>12801</c:v>
                </c:pt>
                <c:pt idx="1181">
                  <c:v>19243</c:v>
                </c:pt>
                <c:pt idx="1182">
                  <c:v>9583</c:v>
                </c:pt>
                <c:pt idx="1183">
                  <c:v>22703</c:v>
                </c:pt>
                <c:pt idx="1184">
                  <c:v>28483</c:v>
                </c:pt>
                <c:pt idx="1185">
                  <c:v>31115</c:v>
                </c:pt>
                <c:pt idx="1186">
                  <c:v>30711</c:v>
                </c:pt>
                <c:pt idx="1187">
                  <c:v>50694</c:v>
                </c:pt>
                <c:pt idx="1188">
                  <c:v>16410</c:v>
                </c:pt>
                <c:pt idx="1189">
                  <c:v>46321</c:v>
                </c:pt>
                <c:pt idx="1190">
                  <c:v>29794</c:v>
                </c:pt>
                <c:pt idx="1191">
                  <c:v>9306</c:v>
                </c:pt>
                <c:pt idx="1192">
                  <c:v>40403</c:v>
                </c:pt>
                <c:pt idx="1193">
                  <c:v>32115</c:v>
                </c:pt>
                <c:pt idx="1194">
                  <c:v>12082</c:v>
                </c:pt>
                <c:pt idx="1195">
                  <c:v>17600</c:v>
                </c:pt>
                <c:pt idx="1196">
                  <c:v>61</c:v>
                </c:pt>
                <c:pt idx="1197">
                  <c:v>10633</c:v>
                </c:pt>
                <c:pt idx="1198">
                  <c:v>54348</c:v>
                </c:pt>
                <c:pt idx="1199">
                  <c:v>8121</c:v>
                </c:pt>
                <c:pt idx="1200">
                  <c:v>39667</c:v>
                </c:pt>
                <c:pt idx="1201">
                  <c:v>52214</c:v>
                </c:pt>
                <c:pt idx="1202">
                  <c:v>22286</c:v>
                </c:pt>
                <c:pt idx="1203">
                  <c:v>38283</c:v>
                </c:pt>
                <c:pt idx="1204">
                  <c:v>36069</c:v>
                </c:pt>
                <c:pt idx="1205">
                  <c:v>13723</c:v>
                </c:pt>
                <c:pt idx="1206">
                  <c:v>22102</c:v>
                </c:pt>
                <c:pt idx="1207">
                  <c:v>27757</c:v>
                </c:pt>
                <c:pt idx="1208">
                  <c:v>26333</c:v>
                </c:pt>
                <c:pt idx="1209">
                  <c:v>23205</c:v>
                </c:pt>
                <c:pt idx="1210">
                  <c:v>22869</c:v>
                </c:pt>
                <c:pt idx="1211">
                  <c:v>32090</c:v>
                </c:pt>
                <c:pt idx="1212">
                  <c:v>31397</c:v>
                </c:pt>
                <c:pt idx="1213">
                  <c:v>33048</c:v>
                </c:pt>
                <c:pt idx="1214">
                  <c:v>29816</c:v>
                </c:pt>
                <c:pt idx="1215">
                  <c:v>22233</c:v>
                </c:pt>
                <c:pt idx="1216">
                  <c:v>23937</c:v>
                </c:pt>
                <c:pt idx="1217">
                  <c:v>19485</c:v>
                </c:pt>
                <c:pt idx="1218">
                  <c:v>15448</c:v>
                </c:pt>
                <c:pt idx="1219">
                  <c:v>29770</c:v>
                </c:pt>
                <c:pt idx="1220">
                  <c:v>56747</c:v>
                </c:pt>
                <c:pt idx="1221">
                  <c:v>22387</c:v>
                </c:pt>
                <c:pt idx="1222">
                  <c:v>14013</c:v>
                </c:pt>
                <c:pt idx="1223">
                  <c:v>43770</c:v>
                </c:pt>
                <c:pt idx="1224">
                  <c:v>35562</c:v>
                </c:pt>
                <c:pt idx="1225">
                  <c:v>26531</c:v>
                </c:pt>
                <c:pt idx="1226">
                  <c:v>27210</c:v>
                </c:pt>
                <c:pt idx="1227">
                  <c:v>32935</c:v>
                </c:pt>
                <c:pt idx="1228">
                  <c:v>25410</c:v>
                </c:pt>
                <c:pt idx="1229">
                  <c:v>35788</c:v>
                </c:pt>
                <c:pt idx="1230">
                  <c:v>23102</c:v>
                </c:pt>
                <c:pt idx="1231">
                  <c:v>10486</c:v>
                </c:pt>
                <c:pt idx="1232">
                  <c:v>17428</c:v>
                </c:pt>
                <c:pt idx="1233">
                  <c:v>23424</c:v>
                </c:pt>
                <c:pt idx="1234">
                  <c:v>17588</c:v>
                </c:pt>
                <c:pt idx="1235">
                  <c:v>21900</c:v>
                </c:pt>
                <c:pt idx="1236">
                  <c:v>18458</c:v>
                </c:pt>
                <c:pt idx="1237">
                  <c:v>28834</c:v>
                </c:pt>
                <c:pt idx="1238">
                  <c:v>7224</c:v>
                </c:pt>
                <c:pt idx="1239">
                  <c:v>53086</c:v>
                </c:pt>
                <c:pt idx="1240">
                  <c:v>34501</c:v>
                </c:pt>
                <c:pt idx="1241">
                  <c:v>30184</c:v>
                </c:pt>
                <c:pt idx="1242">
                  <c:v>69973</c:v>
                </c:pt>
                <c:pt idx="1243">
                  <c:v>15498</c:v>
                </c:pt>
                <c:pt idx="1244">
                  <c:v>9695</c:v>
                </c:pt>
                <c:pt idx="1245">
                  <c:v>17628</c:v>
                </c:pt>
                <c:pt idx="1246">
                  <c:v>55688</c:v>
                </c:pt>
                <c:pt idx="1247">
                  <c:v>24905</c:v>
                </c:pt>
                <c:pt idx="1248">
                  <c:v>21761</c:v>
                </c:pt>
                <c:pt idx="1249">
                  <c:v>53311</c:v>
                </c:pt>
                <c:pt idx="1250">
                  <c:v>33594</c:v>
                </c:pt>
                <c:pt idx="1251">
                  <c:v>7265</c:v>
                </c:pt>
                <c:pt idx="1252">
                  <c:v>34979</c:v>
                </c:pt>
                <c:pt idx="1253">
                  <c:v>23183</c:v>
                </c:pt>
                <c:pt idx="1254">
                  <c:v>45424</c:v>
                </c:pt>
                <c:pt idx="1255">
                  <c:v>21682</c:v>
                </c:pt>
                <c:pt idx="1256">
                  <c:v>20008</c:v>
                </c:pt>
                <c:pt idx="1257">
                  <c:v>24109</c:v>
                </c:pt>
                <c:pt idx="1258">
                  <c:v>7524</c:v>
                </c:pt>
                <c:pt idx="1259">
                  <c:v>27486</c:v>
                </c:pt>
                <c:pt idx="1260">
                  <c:v>28975</c:v>
                </c:pt>
                <c:pt idx="1261">
                  <c:v>23741</c:v>
                </c:pt>
                <c:pt idx="1262">
                  <c:v>41529</c:v>
                </c:pt>
                <c:pt idx="1263">
                  <c:v>25906</c:v>
                </c:pt>
                <c:pt idx="1264">
                  <c:v>15827</c:v>
                </c:pt>
                <c:pt idx="1265">
                  <c:v>33063</c:v>
                </c:pt>
                <c:pt idx="1266">
                  <c:v>18656</c:v>
                </c:pt>
                <c:pt idx="1267">
                  <c:v>26743</c:v>
                </c:pt>
                <c:pt idx="1268">
                  <c:v>22744</c:v>
                </c:pt>
                <c:pt idx="1269">
                  <c:v>39022</c:v>
                </c:pt>
                <c:pt idx="1270">
                  <c:v>26454</c:v>
                </c:pt>
                <c:pt idx="1271">
                  <c:v>23633</c:v>
                </c:pt>
                <c:pt idx="1272">
                  <c:v>42740</c:v>
                </c:pt>
                <c:pt idx="1273">
                  <c:v>43349</c:v>
                </c:pt>
                <c:pt idx="1274">
                  <c:v>45240</c:v>
                </c:pt>
                <c:pt idx="1275">
                  <c:v>46366</c:v>
                </c:pt>
                <c:pt idx="1276">
                  <c:v>24926</c:v>
                </c:pt>
                <c:pt idx="1277">
                  <c:v>41070</c:v>
                </c:pt>
                <c:pt idx="1278">
                  <c:v>51087</c:v>
                </c:pt>
                <c:pt idx="1279">
                  <c:v>34332</c:v>
                </c:pt>
                <c:pt idx="1280">
                  <c:v>11118</c:v>
                </c:pt>
                <c:pt idx="1281">
                  <c:v>28393</c:v>
                </c:pt>
                <c:pt idx="1282">
                  <c:v>17702</c:v>
                </c:pt>
                <c:pt idx="1283">
                  <c:v>15595</c:v>
                </c:pt>
                <c:pt idx="1284">
                  <c:v>18123</c:v>
                </c:pt>
                <c:pt idx="1285">
                  <c:v>10977</c:v>
                </c:pt>
                <c:pt idx="1286">
                  <c:v>9735</c:v>
                </c:pt>
                <c:pt idx="1287">
                  <c:v>27562</c:v>
                </c:pt>
                <c:pt idx="1288">
                  <c:v>42032</c:v>
                </c:pt>
                <c:pt idx="1289">
                  <c:v>57884</c:v>
                </c:pt>
                <c:pt idx="1290">
                  <c:v>34085</c:v>
                </c:pt>
                <c:pt idx="1291">
                  <c:v>23166</c:v>
                </c:pt>
                <c:pt idx="1292">
                  <c:v>32267</c:v>
                </c:pt>
                <c:pt idx="1293">
                  <c:v>32836</c:v>
                </c:pt>
                <c:pt idx="1294">
                  <c:v>43719</c:v>
                </c:pt>
                <c:pt idx="1295">
                  <c:v>27531</c:v>
                </c:pt>
                <c:pt idx="1296">
                  <c:v>35170</c:v>
                </c:pt>
                <c:pt idx="1297">
                  <c:v>22558</c:v>
                </c:pt>
                <c:pt idx="1298">
                  <c:v>24187</c:v>
                </c:pt>
                <c:pt idx="1299">
                  <c:v>9408</c:v>
                </c:pt>
                <c:pt idx="1300">
                  <c:v>13278</c:v>
                </c:pt>
                <c:pt idx="1301">
                  <c:v>2513</c:v>
                </c:pt>
                <c:pt idx="1302">
                  <c:v>36635</c:v>
                </c:pt>
                <c:pt idx="1303">
                  <c:v>27165</c:v>
                </c:pt>
                <c:pt idx="1304">
                  <c:v>14298</c:v>
                </c:pt>
                <c:pt idx="1305">
                  <c:v>17726</c:v>
                </c:pt>
                <c:pt idx="1306">
                  <c:v>9129</c:v>
                </c:pt>
                <c:pt idx="1307">
                  <c:v>23009</c:v>
                </c:pt>
                <c:pt idx="1308">
                  <c:v>24113</c:v>
                </c:pt>
                <c:pt idx="1309">
                  <c:v>7851</c:v>
                </c:pt>
                <c:pt idx="1310">
                  <c:v>10941</c:v>
                </c:pt>
                <c:pt idx="1311">
                  <c:v>4912</c:v>
                </c:pt>
                <c:pt idx="1312">
                  <c:v>13350</c:v>
                </c:pt>
                <c:pt idx="1313">
                  <c:v>34650</c:v>
                </c:pt>
                <c:pt idx="1314">
                  <c:v>28564</c:v>
                </c:pt>
                <c:pt idx="1315">
                  <c:v>43038</c:v>
                </c:pt>
                <c:pt idx="1316">
                  <c:v>31444</c:v>
                </c:pt>
                <c:pt idx="1317">
                  <c:v>27046</c:v>
                </c:pt>
                <c:pt idx="1318">
                  <c:v>21408</c:v>
                </c:pt>
                <c:pt idx="1319">
                  <c:v>8295</c:v>
                </c:pt>
                <c:pt idx="1320">
                  <c:v>32844</c:v>
                </c:pt>
                <c:pt idx="1321">
                  <c:v>13587</c:v>
                </c:pt>
                <c:pt idx="1322">
                  <c:v>58131</c:v>
                </c:pt>
                <c:pt idx="1323">
                  <c:v>7536</c:v>
                </c:pt>
                <c:pt idx="1324">
                  <c:v>22481</c:v>
                </c:pt>
                <c:pt idx="1325">
                  <c:v>3139</c:v>
                </c:pt>
                <c:pt idx="1326">
                  <c:v>34273</c:v>
                </c:pt>
                <c:pt idx="1327">
                  <c:v>39335</c:v>
                </c:pt>
                <c:pt idx="1328">
                  <c:v>33438</c:v>
                </c:pt>
                <c:pt idx="1329">
                  <c:v>14309</c:v>
                </c:pt>
                <c:pt idx="1330">
                  <c:v>25816</c:v>
                </c:pt>
                <c:pt idx="1331">
                  <c:v>14615</c:v>
                </c:pt>
                <c:pt idx="1332">
                  <c:v>24598</c:v>
                </c:pt>
                <c:pt idx="1333">
                  <c:v>21122</c:v>
                </c:pt>
                <c:pt idx="1334">
                  <c:v>17320</c:v>
                </c:pt>
                <c:pt idx="1335">
                  <c:v>8091</c:v>
                </c:pt>
                <c:pt idx="1336">
                  <c:v>37695</c:v>
                </c:pt>
                <c:pt idx="1337">
                  <c:v>22905</c:v>
                </c:pt>
                <c:pt idx="1338">
                  <c:v>9731</c:v>
                </c:pt>
                <c:pt idx="1339">
                  <c:v>44955</c:v>
                </c:pt>
                <c:pt idx="1340">
                  <c:v>13682</c:v>
                </c:pt>
                <c:pt idx="1341">
                  <c:v>25729</c:v>
                </c:pt>
                <c:pt idx="1342">
                  <c:v>5664</c:v>
                </c:pt>
                <c:pt idx="1343">
                  <c:v>18729</c:v>
                </c:pt>
                <c:pt idx="1344">
                  <c:v>13088</c:v>
                </c:pt>
                <c:pt idx="1345">
                  <c:v>36095</c:v>
                </c:pt>
                <c:pt idx="1346">
                  <c:v>20274</c:v>
                </c:pt>
                <c:pt idx="1347">
                  <c:v>4930</c:v>
                </c:pt>
                <c:pt idx="1348">
                  <c:v>23884</c:v>
                </c:pt>
                <c:pt idx="1349">
                  <c:v>31233</c:v>
                </c:pt>
                <c:pt idx="1350">
                  <c:v>11794</c:v>
                </c:pt>
                <c:pt idx="1351">
                  <c:v>5992</c:v>
                </c:pt>
                <c:pt idx="1352">
                  <c:v>13687</c:v>
                </c:pt>
                <c:pt idx="1353">
                  <c:v>24295</c:v>
                </c:pt>
                <c:pt idx="1354">
                  <c:v>24875</c:v>
                </c:pt>
                <c:pt idx="1355">
                  <c:v>35409</c:v>
                </c:pt>
                <c:pt idx="1356">
                  <c:v>17707</c:v>
                </c:pt>
                <c:pt idx="1357">
                  <c:v>32768</c:v>
                </c:pt>
                <c:pt idx="1358">
                  <c:v>21372</c:v>
                </c:pt>
                <c:pt idx="1359">
                  <c:v>20541</c:v>
                </c:pt>
                <c:pt idx="1360">
                  <c:v>18495</c:v>
                </c:pt>
                <c:pt idx="1361">
                  <c:v>29380</c:v>
                </c:pt>
                <c:pt idx="1362">
                  <c:v>21827</c:v>
                </c:pt>
                <c:pt idx="1363">
                  <c:v>15638</c:v>
                </c:pt>
                <c:pt idx="1364">
                  <c:v>24397</c:v>
                </c:pt>
                <c:pt idx="1365">
                  <c:v>18177</c:v>
                </c:pt>
                <c:pt idx="1366">
                  <c:v>28336</c:v>
                </c:pt>
                <c:pt idx="1367">
                  <c:v>15097</c:v>
                </c:pt>
                <c:pt idx="1368">
                  <c:v>35775</c:v>
                </c:pt>
                <c:pt idx="1369">
                  <c:v>25519</c:v>
                </c:pt>
                <c:pt idx="1370">
                  <c:v>73991</c:v>
                </c:pt>
                <c:pt idx="1371">
                  <c:v>15570</c:v>
                </c:pt>
                <c:pt idx="1372">
                  <c:v>39801</c:v>
                </c:pt>
                <c:pt idx="1373">
                  <c:v>18021</c:v>
                </c:pt>
                <c:pt idx="1374">
                  <c:v>15456</c:v>
                </c:pt>
                <c:pt idx="1375">
                  <c:v>20023</c:v>
                </c:pt>
                <c:pt idx="1376">
                  <c:v>10888</c:v>
                </c:pt>
                <c:pt idx="1377">
                  <c:v>14165</c:v>
                </c:pt>
                <c:pt idx="1378">
                  <c:v>9258</c:v>
                </c:pt>
                <c:pt idx="1379">
                  <c:v>3762</c:v>
                </c:pt>
                <c:pt idx="1380">
                  <c:v>58272</c:v>
                </c:pt>
                <c:pt idx="1381">
                  <c:v>8560</c:v>
                </c:pt>
                <c:pt idx="1382">
                  <c:v>19343</c:v>
                </c:pt>
                <c:pt idx="1383">
                  <c:v>36186</c:v>
                </c:pt>
                <c:pt idx="1384">
                  <c:v>40623</c:v>
                </c:pt>
                <c:pt idx="1385">
                  <c:v>4039</c:v>
                </c:pt>
                <c:pt idx="1386">
                  <c:v>36982</c:v>
                </c:pt>
                <c:pt idx="1387">
                  <c:v>24885</c:v>
                </c:pt>
                <c:pt idx="1388">
                  <c:v>10585</c:v>
                </c:pt>
                <c:pt idx="1389">
                  <c:v>18037</c:v>
                </c:pt>
                <c:pt idx="1390">
                  <c:v>82906</c:v>
                </c:pt>
                <c:pt idx="1391">
                  <c:v>27647</c:v>
                </c:pt>
                <c:pt idx="1392">
                  <c:v>23858</c:v>
                </c:pt>
                <c:pt idx="1393">
                  <c:v>13069</c:v>
                </c:pt>
                <c:pt idx="1394">
                  <c:v>37704</c:v>
                </c:pt>
                <c:pt idx="1395">
                  <c:v>33066</c:v>
                </c:pt>
                <c:pt idx="1396">
                  <c:v>37772</c:v>
                </c:pt>
                <c:pt idx="1397">
                  <c:v>15140</c:v>
                </c:pt>
                <c:pt idx="1398">
                  <c:v>8842</c:v>
                </c:pt>
                <c:pt idx="1399">
                  <c:v>14260</c:v>
                </c:pt>
                <c:pt idx="1400">
                  <c:v>14068</c:v>
                </c:pt>
                <c:pt idx="1401">
                  <c:v>21488</c:v>
                </c:pt>
                <c:pt idx="1402">
                  <c:v>8560</c:v>
                </c:pt>
                <c:pt idx="1403">
                  <c:v>21903</c:v>
                </c:pt>
                <c:pt idx="1404">
                  <c:v>42707</c:v>
                </c:pt>
                <c:pt idx="1405">
                  <c:v>19660</c:v>
                </c:pt>
                <c:pt idx="1406">
                  <c:v>14792</c:v>
                </c:pt>
                <c:pt idx="1407">
                  <c:v>45901</c:v>
                </c:pt>
                <c:pt idx="1408">
                  <c:v>43458</c:v>
                </c:pt>
                <c:pt idx="1409">
                  <c:v>18338</c:v>
                </c:pt>
                <c:pt idx="1410">
                  <c:v>23191</c:v>
                </c:pt>
                <c:pt idx="1411">
                  <c:v>34925</c:v>
                </c:pt>
                <c:pt idx="1412">
                  <c:v>22656</c:v>
                </c:pt>
                <c:pt idx="1413">
                  <c:v>62480</c:v>
                </c:pt>
                <c:pt idx="1414">
                  <c:v>14842</c:v>
                </c:pt>
                <c:pt idx="1415">
                  <c:v>13930</c:v>
                </c:pt>
                <c:pt idx="1416">
                  <c:v>95803</c:v>
                </c:pt>
                <c:pt idx="1417">
                  <c:v>44617</c:v>
                </c:pt>
                <c:pt idx="1418">
                  <c:v>3890</c:v>
                </c:pt>
                <c:pt idx="1419">
                  <c:v>16075</c:v>
                </c:pt>
                <c:pt idx="1420">
                  <c:v>30443</c:v>
                </c:pt>
                <c:pt idx="1421">
                  <c:v>67882</c:v>
                </c:pt>
                <c:pt idx="1422">
                  <c:v>31006</c:v>
                </c:pt>
                <c:pt idx="1423">
                  <c:v>22132</c:v>
                </c:pt>
                <c:pt idx="1424">
                  <c:v>35278</c:v>
                </c:pt>
                <c:pt idx="1425">
                  <c:v>13799</c:v>
                </c:pt>
                <c:pt idx="1426">
                  <c:v>33142</c:v>
                </c:pt>
                <c:pt idx="1427">
                  <c:v>33610</c:v>
                </c:pt>
                <c:pt idx="1428">
                  <c:v>64965</c:v>
                </c:pt>
                <c:pt idx="1429">
                  <c:v>17937</c:v>
                </c:pt>
                <c:pt idx="1430">
                  <c:v>38112</c:v>
                </c:pt>
                <c:pt idx="1431">
                  <c:v>948</c:v>
                </c:pt>
                <c:pt idx="1432">
                  <c:v>10362</c:v>
                </c:pt>
                <c:pt idx="1433">
                  <c:v>38769</c:v>
                </c:pt>
                <c:pt idx="1434">
                  <c:v>25388</c:v>
                </c:pt>
                <c:pt idx="1435">
                  <c:v>45152</c:v>
                </c:pt>
                <c:pt idx="1436">
                  <c:v>12813</c:v>
                </c:pt>
                <c:pt idx="1437">
                  <c:v>18856</c:v>
                </c:pt>
                <c:pt idx="1438">
                  <c:v>9492</c:v>
                </c:pt>
                <c:pt idx="1439">
                  <c:v>17224</c:v>
                </c:pt>
                <c:pt idx="1440">
                  <c:v>18532</c:v>
                </c:pt>
                <c:pt idx="1441">
                  <c:v>23181</c:v>
                </c:pt>
                <c:pt idx="1442">
                  <c:v>16399</c:v>
                </c:pt>
                <c:pt idx="1443">
                  <c:v>43565</c:v>
                </c:pt>
                <c:pt idx="1444">
                  <c:v>30021</c:v>
                </c:pt>
                <c:pt idx="1445">
                  <c:v>17655</c:v>
                </c:pt>
                <c:pt idx="1446">
                  <c:v>63091</c:v>
                </c:pt>
                <c:pt idx="1447">
                  <c:v>35710</c:v>
                </c:pt>
                <c:pt idx="1448">
                  <c:v>13071</c:v>
                </c:pt>
                <c:pt idx="1449">
                  <c:v>17415</c:v>
                </c:pt>
                <c:pt idx="1450">
                  <c:v>44253</c:v>
                </c:pt>
                <c:pt idx="1451">
                  <c:v>16488</c:v>
                </c:pt>
                <c:pt idx="1452">
                  <c:v>17351</c:v>
                </c:pt>
                <c:pt idx="1453">
                  <c:v>46003</c:v>
                </c:pt>
                <c:pt idx="1454">
                  <c:v>30077</c:v>
                </c:pt>
                <c:pt idx="1455">
                  <c:v>50787</c:v>
                </c:pt>
                <c:pt idx="1456">
                  <c:v>17623</c:v>
                </c:pt>
                <c:pt idx="1457">
                  <c:v>29742</c:v>
                </c:pt>
                <c:pt idx="1458">
                  <c:v>32631</c:v>
                </c:pt>
                <c:pt idx="1459">
                  <c:v>24309</c:v>
                </c:pt>
                <c:pt idx="1460">
                  <c:v>38892</c:v>
                </c:pt>
                <c:pt idx="1461">
                  <c:v>28504</c:v>
                </c:pt>
                <c:pt idx="1462">
                  <c:v>35489</c:v>
                </c:pt>
                <c:pt idx="1463">
                  <c:v>65532</c:v>
                </c:pt>
                <c:pt idx="1464">
                  <c:v>24676</c:v>
                </c:pt>
                <c:pt idx="1465">
                  <c:v>23903</c:v>
                </c:pt>
                <c:pt idx="1466">
                  <c:v>11410</c:v>
                </c:pt>
                <c:pt idx="1467">
                  <c:v>30302</c:v>
                </c:pt>
                <c:pt idx="1468">
                  <c:v>24584</c:v>
                </c:pt>
                <c:pt idx="1469">
                  <c:v>15089</c:v>
                </c:pt>
                <c:pt idx="1470">
                  <c:v>48608</c:v>
                </c:pt>
                <c:pt idx="1471">
                  <c:v>36254</c:v>
                </c:pt>
                <c:pt idx="1472">
                  <c:v>15860</c:v>
                </c:pt>
                <c:pt idx="1473">
                  <c:v>16721</c:v>
                </c:pt>
                <c:pt idx="1474">
                  <c:v>20525</c:v>
                </c:pt>
                <c:pt idx="1475">
                  <c:v>16048</c:v>
                </c:pt>
                <c:pt idx="1476">
                  <c:v>11819</c:v>
                </c:pt>
                <c:pt idx="1477">
                  <c:v>13578</c:v>
                </c:pt>
                <c:pt idx="1478">
                  <c:v>5660</c:v>
                </c:pt>
                <c:pt idx="1479">
                  <c:v>18296</c:v>
                </c:pt>
                <c:pt idx="1480">
                  <c:v>49990</c:v>
                </c:pt>
                <c:pt idx="1481">
                  <c:v>56620</c:v>
                </c:pt>
                <c:pt idx="1482">
                  <c:v>44965</c:v>
                </c:pt>
                <c:pt idx="1483">
                  <c:v>13108</c:v>
                </c:pt>
                <c:pt idx="1484">
                  <c:v>14456</c:v>
                </c:pt>
                <c:pt idx="1485">
                  <c:v>28798</c:v>
                </c:pt>
                <c:pt idx="1486">
                  <c:v>21162</c:v>
                </c:pt>
                <c:pt idx="1487">
                  <c:v>33978</c:v>
                </c:pt>
                <c:pt idx="1488">
                  <c:v>7108</c:v>
                </c:pt>
                <c:pt idx="1489">
                  <c:v>39633</c:v>
                </c:pt>
                <c:pt idx="1490">
                  <c:v>3187</c:v>
                </c:pt>
                <c:pt idx="1491">
                  <c:v>15567</c:v>
                </c:pt>
                <c:pt idx="1492">
                  <c:v>14891</c:v>
                </c:pt>
                <c:pt idx="1493">
                  <c:v>38320</c:v>
                </c:pt>
                <c:pt idx="1494">
                  <c:v>75958</c:v>
                </c:pt>
                <c:pt idx="1495">
                  <c:v>42090</c:v>
                </c:pt>
                <c:pt idx="1496">
                  <c:v>65741</c:v>
                </c:pt>
                <c:pt idx="1497">
                  <c:v>43098</c:v>
                </c:pt>
                <c:pt idx="1498">
                  <c:v>20628</c:v>
                </c:pt>
                <c:pt idx="1499">
                  <c:v>24847</c:v>
                </c:pt>
                <c:pt idx="1500">
                  <c:v>7895</c:v>
                </c:pt>
                <c:pt idx="1501">
                  <c:v>14560</c:v>
                </c:pt>
                <c:pt idx="1502">
                  <c:v>22777</c:v>
                </c:pt>
                <c:pt idx="1503">
                  <c:v>30605</c:v>
                </c:pt>
                <c:pt idx="1504">
                  <c:v>3198</c:v>
                </c:pt>
                <c:pt idx="1505">
                  <c:v>14774</c:v>
                </c:pt>
                <c:pt idx="1506">
                  <c:v>6826</c:v>
                </c:pt>
                <c:pt idx="1507">
                  <c:v>28017</c:v>
                </c:pt>
                <c:pt idx="1508">
                  <c:v>5313</c:v>
                </c:pt>
                <c:pt idx="1509">
                  <c:v>14535</c:v>
                </c:pt>
                <c:pt idx="1510">
                  <c:v>590</c:v>
                </c:pt>
                <c:pt idx="1511">
                  <c:v>4174</c:v>
                </c:pt>
                <c:pt idx="1512">
                  <c:v>23223</c:v>
                </c:pt>
                <c:pt idx="1513">
                  <c:v>27052</c:v>
                </c:pt>
                <c:pt idx="1514">
                  <c:v>29345</c:v>
                </c:pt>
                <c:pt idx="1515">
                  <c:v>30236</c:v>
                </c:pt>
                <c:pt idx="1516">
                  <c:v>24389</c:v>
                </c:pt>
                <c:pt idx="1517">
                  <c:v>40370</c:v>
                </c:pt>
                <c:pt idx="1518">
                  <c:v>6130</c:v>
                </c:pt>
                <c:pt idx="1519">
                  <c:v>4758</c:v>
                </c:pt>
                <c:pt idx="1520">
                  <c:v>29347</c:v>
                </c:pt>
                <c:pt idx="1521">
                  <c:v>2018</c:v>
                </c:pt>
                <c:pt idx="1522">
                  <c:v>11800</c:v>
                </c:pt>
                <c:pt idx="1523">
                  <c:v>7947</c:v>
                </c:pt>
                <c:pt idx="1524">
                  <c:v>20631</c:v>
                </c:pt>
                <c:pt idx="1525">
                  <c:v>45770</c:v>
                </c:pt>
                <c:pt idx="1526">
                  <c:v>34584</c:v>
                </c:pt>
                <c:pt idx="1527">
                  <c:v>15161</c:v>
                </c:pt>
                <c:pt idx="1528">
                  <c:v>12528</c:v>
                </c:pt>
                <c:pt idx="1529">
                  <c:v>15379</c:v>
                </c:pt>
                <c:pt idx="1530">
                  <c:v>13061</c:v>
                </c:pt>
                <c:pt idx="1531">
                  <c:v>5274</c:v>
                </c:pt>
                <c:pt idx="1532">
                  <c:v>13856</c:v>
                </c:pt>
                <c:pt idx="1533">
                  <c:v>16763</c:v>
                </c:pt>
                <c:pt idx="1534">
                  <c:v>19029</c:v>
                </c:pt>
                <c:pt idx="1535">
                  <c:v>14528</c:v>
                </c:pt>
                <c:pt idx="1536">
                  <c:v>41695</c:v>
                </c:pt>
                <c:pt idx="1537">
                  <c:v>39146</c:v>
                </c:pt>
                <c:pt idx="1538">
                  <c:v>51465</c:v>
                </c:pt>
                <c:pt idx="1539">
                  <c:v>19047</c:v>
                </c:pt>
                <c:pt idx="1540">
                  <c:v>7031</c:v>
                </c:pt>
                <c:pt idx="1541">
                  <c:v>45855</c:v>
                </c:pt>
                <c:pt idx="1542">
                  <c:v>25124</c:v>
                </c:pt>
                <c:pt idx="1543">
                  <c:v>17173</c:v>
                </c:pt>
                <c:pt idx="1544">
                  <c:v>20014</c:v>
                </c:pt>
                <c:pt idx="1545">
                  <c:v>17768</c:v>
                </c:pt>
                <c:pt idx="1546">
                  <c:v>6215</c:v>
                </c:pt>
                <c:pt idx="1547">
                  <c:v>21832</c:v>
                </c:pt>
                <c:pt idx="1548">
                  <c:v>32347</c:v>
                </c:pt>
                <c:pt idx="1549">
                  <c:v>26960</c:v>
                </c:pt>
                <c:pt idx="1550">
                  <c:v>37095</c:v>
                </c:pt>
                <c:pt idx="1551">
                  <c:v>18373</c:v>
                </c:pt>
                <c:pt idx="1552">
                  <c:v>11989</c:v>
                </c:pt>
                <c:pt idx="1553">
                  <c:v>17833</c:v>
                </c:pt>
                <c:pt idx="1554">
                  <c:v>1099</c:v>
                </c:pt>
                <c:pt idx="1555">
                  <c:v>8592</c:v>
                </c:pt>
                <c:pt idx="1556">
                  <c:v>12967</c:v>
                </c:pt>
                <c:pt idx="1557">
                  <c:v>6607</c:v>
                </c:pt>
                <c:pt idx="1558">
                  <c:v>44481</c:v>
                </c:pt>
                <c:pt idx="1559">
                  <c:v>20105</c:v>
                </c:pt>
                <c:pt idx="1560">
                  <c:v>55142</c:v>
                </c:pt>
                <c:pt idx="1561">
                  <c:v>28818</c:v>
                </c:pt>
                <c:pt idx="1562">
                  <c:v>51070</c:v>
                </c:pt>
                <c:pt idx="1563">
                  <c:v>17084</c:v>
                </c:pt>
                <c:pt idx="1564">
                  <c:v>18111</c:v>
                </c:pt>
                <c:pt idx="1565">
                  <c:v>18496</c:v>
                </c:pt>
                <c:pt idx="1566">
                  <c:v>22759</c:v>
                </c:pt>
                <c:pt idx="1567">
                  <c:v>37068</c:v>
                </c:pt>
                <c:pt idx="1568">
                  <c:v>35496</c:v>
                </c:pt>
                <c:pt idx="1569">
                  <c:v>37129</c:v>
                </c:pt>
                <c:pt idx="1570">
                  <c:v>1254</c:v>
                </c:pt>
                <c:pt idx="1571">
                  <c:v>26773</c:v>
                </c:pt>
                <c:pt idx="1572">
                  <c:v>22118</c:v>
                </c:pt>
                <c:pt idx="1573">
                  <c:v>32634</c:v>
                </c:pt>
                <c:pt idx="1574">
                  <c:v>11981</c:v>
                </c:pt>
                <c:pt idx="1575">
                  <c:v>17231</c:v>
                </c:pt>
                <c:pt idx="1576">
                  <c:v>28416</c:v>
                </c:pt>
                <c:pt idx="1577">
                  <c:v>74865</c:v>
                </c:pt>
                <c:pt idx="1578">
                  <c:v>2849</c:v>
                </c:pt>
              </c:numCache>
            </c:numRef>
          </c:xVal>
          <c:yVal>
            <c:numRef>
              <c:f>Dataset!$G$2:$G$1580</c:f>
              <c:numCache>
                <c:formatCode>General</c:formatCode>
                <c:ptCount val="1579"/>
                <c:pt idx="0">
                  <c:v>77600</c:v>
                </c:pt>
                <c:pt idx="1">
                  <c:v>111200</c:v>
                </c:pt>
                <c:pt idx="2">
                  <c:v>77100</c:v>
                </c:pt>
                <c:pt idx="3">
                  <c:v>91000</c:v>
                </c:pt>
                <c:pt idx="4">
                  <c:v>88400</c:v>
                </c:pt>
                <c:pt idx="5">
                  <c:v>58800</c:v>
                </c:pt>
                <c:pt idx="6">
                  <c:v>86300</c:v>
                </c:pt>
                <c:pt idx="7">
                  <c:v>44300</c:v>
                </c:pt>
                <c:pt idx="8">
                  <c:v>59400</c:v>
                </c:pt>
                <c:pt idx="9">
                  <c:v>86700</c:v>
                </c:pt>
                <c:pt idx="10">
                  <c:v>53600</c:v>
                </c:pt>
                <c:pt idx="11">
                  <c:v>81200</c:v>
                </c:pt>
                <c:pt idx="12">
                  <c:v>48900</c:v>
                </c:pt>
                <c:pt idx="13">
                  <c:v>55500</c:v>
                </c:pt>
                <c:pt idx="14">
                  <c:v>48700</c:v>
                </c:pt>
                <c:pt idx="15">
                  <c:v>46500</c:v>
                </c:pt>
                <c:pt idx="16">
                  <c:v>97400</c:v>
                </c:pt>
                <c:pt idx="17">
                  <c:v>56300</c:v>
                </c:pt>
                <c:pt idx="18">
                  <c:v>90400</c:v>
                </c:pt>
                <c:pt idx="19">
                  <c:v>94700</c:v>
                </c:pt>
                <c:pt idx="20">
                  <c:v>74700</c:v>
                </c:pt>
                <c:pt idx="21">
                  <c:v>59300</c:v>
                </c:pt>
                <c:pt idx="22">
                  <c:v>68600</c:v>
                </c:pt>
                <c:pt idx="23">
                  <c:v>52600</c:v>
                </c:pt>
                <c:pt idx="24">
                  <c:v>45600</c:v>
                </c:pt>
                <c:pt idx="25">
                  <c:v>118900</c:v>
                </c:pt>
                <c:pt idx="26">
                  <c:v>83100</c:v>
                </c:pt>
                <c:pt idx="27">
                  <c:v>98000</c:v>
                </c:pt>
                <c:pt idx="28">
                  <c:v>73900</c:v>
                </c:pt>
                <c:pt idx="29">
                  <c:v>70300</c:v>
                </c:pt>
                <c:pt idx="30">
                  <c:v>60700</c:v>
                </c:pt>
                <c:pt idx="31">
                  <c:v>45600</c:v>
                </c:pt>
                <c:pt idx="32">
                  <c:v>75400</c:v>
                </c:pt>
                <c:pt idx="33">
                  <c:v>74200</c:v>
                </c:pt>
                <c:pt idx="34">
                  <c:v>55200</c:v>
                </c:pt>
                <c:pt idx="35">
                  <c:v>59000</c:v>
                </c:pt>
                <c:pt idx="36">
                  <c:v>138000</c:v>
                </c:pt>
                <c:pt idx="37">
                  <c:v>60000</c:v>
                </c:pt>
                <c:pt idx="38">
                  <c:v>92000</c:v>
                </c:pt>
                <c:pt idx="39">
                  <c:v>46100</c:v>
                </c:pt>
                <c:pt idx="40">
                  <c:v>91000</c:v>
                </c:pt>
                <c:pt idx="41">
                  <c:v>83400</c:v>
                </c:pt>
                <c:pt idx="42">
                  <c:v>45600</c:v>
                </c:pt>
                <c:pt idx="43">
                  <c:v>45300</c:v>
                </c:pt>
                <c:pt idx="44">
                  <c:v>78700</c:v>
                </c:pt>
                <c:pt idx="45">
                  <c:v>45100</c:v>
                </c:pt>
                <c:pt idx="46">
                  <c:v>87700</c:v>
                </c:pt>
                <c:pt idx="47">
                  <c:v>77500</c:v>
                </c:pt>
                <c:pt idx="48">
                  <c:v>47000</c:v>
                </c:pt>
                <c:pt idx="49">
                  <c:v>69400</c:v>
                </c:pt>
                <c:pt idx="50">
                  <c:v>46900</c:v>
                </c:pt>
                <c:pt idx="51">
                  <c:v>109700</c:v>
                </c:pt>
                <c:pt idx="52">
                  <c:v>63700</c:v>
                </c:pt>
                <c:pt idx="53">
                  <c:v>88800</c:v>
                </c:pt>
                <c:pt idx="54">
                  <c:v>55200</c:v>
                </c:pt>
                <c:pt idx="55">
                  <c:v>68400</c:v>
                </c:pt>
                <c:pt idx="56">
                  <c:v>71900</c:v>
                </c:pt>
                <c:pt idx="57">
                  <c:v>44200</c:v>
                </c:pt>
                <c:pt idx="58">
                  <c:v>44600</c:v>
                </c:pt>
                <c:pt idx="59">
                  <c:v>57600</c:v>
                </c:pt>
                <c:pt idx="60">
                  <c:v>57800</c:v>
                </c:pt>
                <c:pt idx="61">
                  <c:v>91000</c:v>
                </c:pt>
                <c:pt idx="62">
                  <c:v>111600</c:v>
                </c:pt>
                <c:pt idx="63">
                  <c:v>68800</c:v>
                </c:pt>
                <c:pt idx="64">
                  <c:v>58800</c:v>
                </c:pt>
                <c:pt idx="65">
                  <c:v>80100</c:v>
                </c:pt>
                <c:pt idx="66">
                  <c:v>53500</c:v>
                </c:pt>
                <c:pt idx="67">
                  <c:v>78900</c:v>
                </c:pt>
                <c:pt idx="68">
                  <c:v>47900</c:v>
                </c:pt>
                <c:pt idx="69">
                  <c:v>100600</c:v>
                </c:pt>
                <c:pt idx="70">
                  <c:v>47200</c:v>
                </c:pt>
                <c:pt idx="71">
                  <c:v>86600</c:v>
                </c:pt>
                <c:pt idx="72">
                  <c:v>74800</c:v>
                </c:pt>
                <c:pt idx="73">
                  <c:v>74200</c:v>
                </c:pt>
                <c:pt idx="74">
                  <c:v>57900</c:v>
                </c:pt>
                <c:pt idx="75">
                  <c:v>74100</c:v>
                </c:pt>
                <c:pt idx="76">
                  <c:v>57600</c:v>
                </c:pt>
                <c:pt idx="77">
                  <c:v>65600</c:v>
                </c:pt>
                <c:pt idx="78">
                  <c:v>69700</c:v>
                </c:pt>
                <c:pt idx="79">
                  <c:v>57400</c:v>
                </c:pt>
                <c:pt idx="80">
                  <c:v>60700</c:v>
                </c:pt>
                <c:pt idx="81">
                  <c:v>48100</c:v>
                </c:pt>
                <c:pt idx="82">
                  <c:v>50700</c:v>
                </c:pt>
                <c:pt idx="83">
                  <c:v>90800</c:v>
                </c:pt>
                <c:pt idx="84">
                  <c:v>50600</c:v>
                </c:pt>
                <c:pt idx="85">
                  <c:v>95700</c:v>
                </c:pt>
                <c:pt idx="86">
                  <c:v>76900</c:v>
                </c:pt>
                <c:pt idx="87">
                  <c:v>93800</c:v>
                </c:pt>
                <c:pt idx="88">
                  <c:v>90100</c:v>
                </c:pt>
                <c:pt idx="89">
                  <c:v>77300</c:v>
                </c:pt>
                <c:pt idx="90">
                  <c:v>93800</c:v>
                </c:pt>
                <c:pt idx="91">
                  <c:v>82200</c:v>
                </c:pt>
                <c:pt idx="92">
                  <c:v>72200</c:v>
                </c:pt>
                <c:pt idx="93">
                  <c:v>93900</c:v>
                </c:pt>
                <c:pt idx="94">
                  <c:v>80200</c:v>
                </c:pt>
                <c:pt idx="95">
                  <c:v>48800</c:v>
                </c:pt>
                <c:pt idx="96">
                  <c:v>119700</c:v>
                </c:pt>
                <c:pt idx="97">
                  <c:v>159100</c:v>
                </c:pt>
                <c:pt idx="98">
                  <c:v>74300</c:v>
                </c:pt>
                <c:pt idx="99">
                  <c:v>69900</c:v>
                </c:pt>
                <c:pt idx="100">
                  <c:v>75800</c:v>
                </c:pt>
                <c:pt idx="101">
                  <c:v>80800</c:v>
                </c:pt>
                <c:pt idx="102">
                  <c:v>81300</c:v>
                </c:pt>
                <c:pt idx="103">
                  <c:v>58700</c:v>
                </c:pt>
                <c:pt idx="104">
                  <c:v>71900</c:v>
                </c:pt>
                <c:pt idx="105">
                  <c:v>72900</c:v>
                </c:pt>
                <c:pt idx="106">
                  <c:v>84300</c:v>
                </c:pt>
                <c:pt idx="107">
                  <c:v>73000</c:v>
                </c:pt>
                <c:pt idx="108">
                  <c:v>104400</c:v>
                </c:pt>
                <c:pt idx="109">
                  <c:v>87700</c:v>
                </c:pt>
                <c:pt idx="110">
                  <c:v>60100</c:v>
                </c:pt>
                <c:pt idx="111">
                  <c:v>47900</c:v>
                </c:pt>
                <c:pt idx="112">
                  <c:v>69800</c:v>
                </c:pt>
                <c:pt idx="113">
                  <c:v>68400</c:v>
                </c:pt>
                <c:pt idx="114">
                  <c:v>71700</c:v>
                </c:pt>
                <c:pt idx="115">
                  <c:v>55400</c:v>
                </c:pt>
                <c:pt idx="116">
                  <c:v>53500</c:v>
                </c:pt>
                <c:pt idx="117">
                  <c:v>89800</c:v>
                </c:pt>
                <c:pt idx="118">
                  <c:v>49600</c:v>
                </c:pt>
                <c:pt idx="119">
                  <c:v>47800</c:v>
                </c:pt>
                <c:pt idx="120">
                  <c:v>62000</c:v>
                </c:pt>
                <c:pt idx="121">
                  <c:v>77100</c:v>
                </c:pt>
                <c:pt idx="122">
                  <c:v>58100</c:v>
                </c:pt>
                <c:pt idx="123">
                  <c:v>57900</c:v>
                </c:pt>
                <c:pt idx="124">
                  <c:v>56100</c:v>
                </c:pt>
                <c:pt idx="125">
                  <c:v>56000</c:v>
                </c:pt>
                <c:pt idx="126">
                  <c:v>52900</c:v>
                </c:pt>
                <c:pt idx="127">
                  <c:v>55100</c:v>
                </c:pt>
                <c:pt idx="128">
                  <c:v>57100</c:v>
                </c:pt>
                <c:pt idx="129">
                  <c:v>48100</c:v>
                </c:pt>
                <c:pt idx="130">
                  <c:v>53100</c:v>
                </c:pt>
                <c:pt idx="131">
                  <c:v>58000</c:v>
                </c:pt>
                <c:pt idx="132">
                  <c:v>58000</c:v>
                </c:pt>
                <c:pt idx="133">
                  <c:v>71300</c:v>
                </c:pt>
                <c:pt idx="134">
                  <c:v>54700</c:v>
                </c:pt>
                <c:pt idx="135">
                  <c:v>60500</c:v>
                </c:pt>
                <c:pt idx="136">
                  <c:v>90900</c:v>
                </c:pt>
                <c:pt idx="137">
                  <c:v>143100</c:v>
                </c:pt>
                <c:pt idx="138">
                  <c:v>73900</c:v>
                </c:pt>
                <c:pt idx="139">
                  <c:v>90800</c:v>
                </c:pt>
                <c:pt idx="140">
                  <c:v>52000</c:v>
                </c:pt>
                <c:pt idx="141">
                  <c:v>94100</c:v>
                </c:pt>
                <c:pt idx="142">
                  <c:v>46400</c:v>
                </c:pt>
                <c:pt idx="143">
                  <c:v>119200</c:v>
                </c:pt>
                <c:pt idx="144">
                  <c:v>62500</c:v>
                </c:pt>
                <c:pt idx="145">
                  <c:v>67500</c:v>
                </c:pt>
                <c:pt idx="146">
                  <c:v>60800</c:v>
                </c:pt>
                <c:pt idx="147">
                  <c:v>116500</c:v>
                </c:pt>
                <c:pt idx="148">
                  <c:v>92000</c:v>
                </c:pt>
                <c:pt idx="149">
                  <c:v>113200</c:v>
                </c:pt>
                <c:pt idx="150">
                  <c:v>66900</c:v>
                </c:pt>
                <c:pt idx="151">
                  <c:v>103000</c:v>
                </c:pt>
                <c:pt idx="152">
                  <c:v>69600</c:v>
                </c:pt>
                <c:pt idx="153">
                  <c:v>95000</c:v>
                </c:pt>
                <c:pt idx="154">
                  <c:v>68400</c:v>
                </c:pt>
                <c:pt idx="155">
                  <c:v>76800</c:v>
                </c:pt>
                <c:pt idx="156">
                  <c:v>70700</c:v>
                </c:pt>
                <c:pt idx="157">
                  <c:v>74700</c:v>
                </c:pt>
                <c:pt idx="158">
                  <c:v>88300</c:v>
                </c:pt>
                <c:pt idx="159">
                  <c:v>62600</c:v>
                </c:pt>
                <c:pt idx="160">
                  <c:v>44300</c:v>
                </c:pt>
                <c:pt idx="161">
                  <c:v>58500</c:v>
                </c:pt>
                <c:pt idx="162">
                  <c:v>74700</c:v>
                </c:pt>
                <c:pt idx="163">
                  <c:v>66100</c:v>
                </c:pt>
                <c:pt idx="164">
                  <c:v>59800</c:v>
                </c:pt>
                <c:pt idx="165">
                  <c:v>45100</c:v>
                </c:pt>
                <c:pt idx="166">
                  <c:v>74700</c:v>
                </c:pt>
                <c:pt idx="167">
                  <c:v>48600</c:v>
                </c:pt>
                <c:pt idx="168">
                  <c:v>66400</c:v>
                </c:pt>
                <c:pt idx="169">
                  <c:v>48900</c:v>
                </c:pt>
                <c:pt idx="170">
                  <c:v>78200</c:v>
                </c:pt>
                <c:pt idx="171">
                  <c:v>62000</c:v>
                </c:pt>
                <c:pt idx="172">
                  <c:v>79300</c:v>
                </c:pt>
                <c:pt idx="173">
                  <c:v>51300</c:v>
                </c:pt>
                <c:pt idx="174">
                  <c:v>51700</c:v>
                </c:pt>
                <c:pt idx="175">
                  <c:v>58300</c:v>
                </c:pt>
                <c:pt idx="176">
                  <c:v>129000</c:v>
                </c:pt>
                <c:pt idx="177">
                  <c:v>56100</c:v>
                </c:pt>
                <c:pt idx="178">
                  <c:v>57900</c:v>
                </c:pt>
                <c:pt idx="179">
                  <c:v>106000</c:v>
                </c:pt>
                <c:pt idx="180">
                  <c:v>121400</c:v>
                </c:pt>
                <c:pt idx="181">
                  <c:v>68500</c:v>
                </c:pt>
                <c:pt idx="182">
                  <c:v>60300</c:v>
                </c:pt>
                <c:pt idx="183">
                  <c:v>85300</c:v>
                </c:pt>
                <c:pt idx="184">
                  <c:v>80600</c:v>
                </c:pt>
                <c:pt idx="185">
                  <c:v>49400</c:v>
                </c:pt>
                <c:pt idx="186">
                  <c:v>48700</c:v>
                </c:pt>
                <c:pt idx="187">
                  <c:v>60800</c:v>
                </c:pt>
                <c:pt idx="188">
                  <c:v>56100</c:v>
                </c:pt>
                <c:pt idx="189">
                  <c:v>117100</c:v>
                </c:pt>
                <c:pt idx="190">
                  <c:v>79700</c:v>
                </c:pt>
                <c:pt idx="191">
                  <c:v>70200</c:v>
                </c:pt>
                <c:pt idx="192">
                  <c:v>113600</c:v>
                </c:pt>
                <c:pt idx="193">
                  <c:v>62500</c:v>
                </c:pt>
                <c:pt idx="194">
                  <c:v>119000</c:v>
                </c:pt>
                <c:pt idx="195">
                  <c:v>64600</c:v>
                </c:pt>
                <c:pt idx="196">
                  <c:v>60300</c:v>
                </c:pt>
                <c:pt idx="197">
                  <c:v>57400</c:v>
                </c:pt>
                <c:pt idx="198">
                  <c:v>46900</c:v>
                </c:pt>
                <c:pt idx="199">
                  <c:v>80600</c:v>
                </c:pt>
                <c:pt idx="200">
                  <c:v>69500</c:v>
                </c:pt>
                <c:pt idx="201">
                  <c:v>70600</c:v>
                </c:pt>
                <c:pt idx="202">
                  <c:v>63600</c:v>
                </c:pt>
                <c:pt idx="203">
                  <c:v>120500</c:v>
                </c:pt>
                <c:pt idx="204">
                  <c:v>102800</c:v>
                </c:pt>
                <c:pt idx="205">
                  <c:v>57300</c:v>
                </c:pt>
                <c:pt idx="206">
                  <c:v>48300</c:v>
                </c:pt>
                <c:pt idx="207">
                  <c:v>119300</c:v>
                </c:pt>
                <c:pt idx="208">
                  <c:v>62300</c:v>
                </c:pt>
                <c:pt idx="209">
                  <c:v>101400</c:v>
                </c:pt>
                <c:pt idx="210">
                  <c:v>64000</c:v>
                </c:pt>
                <c:pt idx="211">
                  <c:v>71500</c:v>
                </c:pt>
                <c:pt idx="212">
                  <c:v>75800</c:v>
                </c:pt>
                <c:pt idx="213">
                  <c:v>49800</c:v>
                </c:pt>
                <c:pt idx="214">
                  <c:v>58600</c:v>
                </c:pt>
                <c:pt idx="215">
                  <c:v>46600</c:v>
                </c:pt>
                <c:pt idx="216">
                  <c:v>48000</c:v>
                </c:pt>
                <c:pt idx="217">
                  <c:v>49400</c:v>
                </c:pt>
                <c:pt idx="218">
                  <c:v>79500</c:v>
                </c:pt>
                <c:pt idx="219">
                  <c:v>95800</c:v>
                </c:pt>
                <c:pt idx="220">
                  <c:v>53700</c:v>
                </c:pt>
                <c:pt idx="221">
                  <c:v>44400</c:v>
                </c:pt>
                <c:pt idx="222">
                  <c:v>115200</c:v>
                </c:pt>
                <c:pt idx="223">
                  <c:v>72800</c:v>
                </c:pt>
                <c:pt idx="224">
                  <c:v>81800</c:v>
                </c:pt>
                <c:pt idx="225">
                  <c:v>116200</c:v>
                </c:pt>
                <c:pt idx="226">
                  <c:v>48100</c:v>
                </c:pt>
                <c:pt idx="227">
                  <c:v>58200</c:v>
                </c:pt>
                <c:pt idx="228">
                  <c:v>104700</c:v>
                </c:pt>
                <c:pt idx="229">
                  <c:v>113300</c:v>
                </c:pt>
                <c:pt idx="230">
                  <c:v>121100</c:v>
                </c:pt>
                <c:pt idx="231">
                  <c:v>47000</c:v>
                </c:pt>
                <c:pt idx="232">
                  <c:v>61200</c:v>
                </c:pt>
                <c:pt idx="233">
                  <c:v>65200</c:v>
                </c:pt>
                <c:pt idx="234">
                  <c:v>72700</c:v>
                </c:pt>
                <c:pt idx="235">
                  <c:v>51900</c:v>
                </c:pt>
                <c:pt idx="236">
                  <c:v>81100</c:v>
                </c:pt>
                <c:pt idx="237">
                  <c:v>75800</c:v>
                </c:pt>
                <c:pt idx="238">
                  <c:v>61900</c:v>
                </c:pt>
                <c:pt idx="239">
                  <c:v>70200</c:v>
                </c:pt>
                <c:pt idx="240">
                  <c:v>55800</c:v>
                </c:pt>
                <c:pt idx="241">
                  <c:v>45200</c:v>
                </c:pt>
                <c:pt idx="242">
                  <c:v>67600</c:v>
                </c:pt>
                <c:pt idx="243">
                  <c:v>55800</c:v>
                </c:pt>
                <c:pt idx="244">
                  <c:v>54500</c:v>
                </c:pt>
                <c:pt idx="245">
                  <c:v>48800</c:v>
                </c:pt>
                <c:pt idx="246">
                  <c:v>57200</c:v>
                </c:pt>
                <c:pt idx="247">
                  <c:v>46700</c:v>
                </c:pt>
                <c:pt idx="248">
                  <c:v>57400</c:v>
                </c:pt>
                <c:pt idx="249">
                  <c:v>81900</c:v>
                </c:pt>
                <c:pt idx="250">
                  <c:v>70600</c:v>
                </c:pt>
                <c:pt idx="251">
                  <c:v>159200</c:v>
                </c:pt>
                <c:pt idx="252">
                  <c:v>73000</c:v>
                </c:pt>
                <c:pt idx="253">
                  <c:v>72000</c:v>
                </c:pt>
                <c:pt idx="254">
                  <c:v>116300</c:v>
                </c:pt>
                <c:pt idx="255">
                  <c:v>57800</c:v>
                </c:pt>
                <c:pt idx="256">
                  <c:v>66400</c:v>
                </c:pt>
                <c:pt idx="257">
                  <c:v>72500</c:v>
                </c:pt>
                <c:pt idx="258">
                  <c:v>51100</c:v>
                </c:pt>
                <c:pt idx="259">
                  <c:v>45700</c:v>
                </c:pt>
                <c:pt idx="260">
                  <c:v>117500</c:v>
                </c:pt>
                <c:pt idx="261">
                  <c:v>130300</c:v>
                </c:pt>
                <c:pt idx="262">
                  <c:v>69300</c:v>
                </c:pt>
                <c:pt idx="263">
                  <c:v>73800</c:v>
                </c:pt>
                <c:pt idx="264">
                  <c:v>59700</c:v>
                </c:pt>
                <c:pt idx="265">
                  <c:v>105400</c:v>
                </c:pt>
                <c:pt idx="266">
                  <c:v>70400</c:v>
                </c:pt>
                <c:pt idx="267">
                  <c:v>85000</c:v>
                </c:pt>
                <c:pt idx="268">
                  <c:v>50400</c:v>
                </c:pt>
                <c:pt idx="269">
                  <c:v>45400</c:v>
                </c:pt>
                <c:pt idx="270">
                  <c:v>45600</c:v>
                </c:pt>
                <c:pt idx="271">
                  <c:v>71900</c:v>
                </c:pt>
                <c:pt idx="272">
                  <c:v>67500</c:v>
                </c:pt>
                <c:pt idx="273">
                  <c:v>49900</c:v>
                </c:pt>
                <c:pt idx="274">
                  <c:v>65600</c:v>
                </c:pt>
                <c:pt idx="275">
                  <c:v>55300</c:v>
                </c:pt>
                <c:pt idx="276">
                  <c:v>74600</c:v>
                </c:pt>
                <c:pt idx="277">
                  <c:v>45100</c:v>
                </c:pt>
                <c:pt idx="278">
                  <c:v>69500</c:v>
                </c:pt>
                <c:pt idx="279">
                  <c:v>77700</c:v>
                </c:pt>
                <c:pt idx="280">
                  <c:v>46600</c:v>
                </c:pt>
                <c:pt idx="281">
                  <c:v>47600</c:v>
                </c:pt>
                <c:pt idx="282">
                  <c:v>45900</c:v>
                </c:pt>
                <c:pt idx="283">
                  <c:v>95600</c:v>
                </c:pt>
                <c:pt idx="284">
                  <c:v>64000</c:v>
                </c:pt>
                <c:pt idx="285">
                  <c:v>100400</c:v>
                </c:pt>
                <c:pt idx="286">
                  <c:v>70300</c:v>
                </c:pt>
                <c:pt idx="287">
                  <c:v>126900</c:v>
                </c:pt>
                <c:pt idx="288">
                  <c:v>60900</c:v>
                </c:pt>
                <c:pt idx="289">
                  <c:v>71900</c:v>
                </c:pt>
                <c:pt idx="290">
                  <c:v>59100</c:v>
                </c:pt>
                <c:pt idx="291">
                  <c:v>74700</c:v>
                </c:pt>
                <c:pt idx="292">
                  <c:v>58300</c:v>
                </c:pt>
                <c:pt idx="293">
                  <c:v>96900</c:v>
                </c:pt>
                <c:pt idx="294">
                  <c:v>56400</c:v>
                </c:pt>
                <c:pt idx="295">
                  <c:v>61000</c:v>
                </c:pt>
                <c:pt idx="296">
                  <c:v>121000</c:v>
                </c:pt>
                <c:pt idx="297">
                  <c:v>48000</c:v>
                </c:pt>
                <c:pt idx="298">
                  <c:v>71000</c:v>
                </c:pt>
                <c:pt idx="299">
                  <c:v>63800</c:v>
                </c:pt>
                <c:pt idx="300">
                  <c:v>61000</c:v>
                </c:pt>
                <c:pt idx="301">
                  <c:v>69900</c:v>
                </c:pt>
                <c:pt idx="302">
                  <c:v>48400</c:v>
                </c:pt>
                <c:pt idx="303">
                  <c:v>81400</c:v>
                </c:pt>
                <c:pt idx="304">
                  <c:v>74200</c:v>
                </c:pt>
                <c:pt idx="305">
                  <c:v>60900</c:v>
                </c:pt>
                <c:pt idx="306">
                  <c:v>57400</c:v>
                </c:pt>
                <c:pt idx="307">
                  <c:v>127600</c:v>
                </c:pt>
                <c:pt idx="308">
                  <c:v>111900</c:v>
                </c:pt>
                <c:pt idx="309">
                  <c:v>56500</c:v>
                </c:pt>
                <c:pt idx="310">
                  <c:v>60400</c:v>
                </c:pt>
                <c:pt idx="311">
                  <c:v>54000</c:v>
                </c:pt>
                <c:pt idx="312">
                  <c:v>79200</c:v>
                </c:pt>
                <c:pt idx="313">
                  <c:v>72600</c:v>
                </c:pt>
                <c:pt idx="314">
                  <c:v>80100</c:v>
                </c:pt>
                <c:pt idx="315">
                  <c:v>49000</c:v>
                </c:pt>
                <c:pt idx="316">
                  <c:v>119400</c:v>
                </c:pt>
                <c:pt idx="317">
                  <c:v>48700</c:v>
                </c:pt>
                <c:pt idx="318">
                  <c:v>60300</c:v>
                </c:pt>
                <c:pt idx="319">
                  <c:v>73700</c:v>
                </c:pt>
                <c:pt idx="320">
                  <c:v>51800</c:v>
                </c:pt>
                <c:pt idx="321">
                  <c:v>71800</c:v>
                </c:pt>
                <c:pt idx="322">
                  <c:v>58700</c:v>
                </c:pt>
                <c:pt idx="323">
                  <c:v>73600</c:v>
                </c:pt>
                <c:pt idx="324">
                  <c:v>79300</c:v>
                </c:pt>
                <c:pt idx="325">
                  <c:v>116400</c:v>
                </c:pt>
                <c:pt idx="326">
                  <c:v>79000</c:v>
                </c:pt>
                <c:pt idx="327">
                  <c:v>74800</c:v>
                </c:pt>
                <c:pt idx="328">
                  <c:v>119000</c:v>
                </c:pt>
                <c:pt idx="329">
                  <c:v>87500</c:v>
                </c:pt>
                <c:pt idx="330">
                  <c:v>85300</c:v>
                </c:pt>
                <c:pt idx="331">
                  <c:v>55800</c:v>
                </c:pt>
                <c:pt idx="332">
                  <c:v>71200</c:v>
                </c:pt>
                <c:pt idx="333">
                  <c:v>108400</c:v>
                </c:pt>
                <c:pt idx="334">
                  <c:v>44400</c:v>
                </c:pt>
                <c:pt idx="335">
                  <c:v>55500</c:v>
                </c:pt>
                <c:pt idx="336">
                  <c:v>56200</c:v>
                </c:pt>
                <c:pt idx="337">
                  <c:v>62000</c:v>
                </c:pt>
                <c:pt idx="338">
                  <c:v>73800</c:v>
                </c:pt>
                <c:pt idx="339">
                  <c:v>67600</c:v>
                </c:pt>
                <c:pt idx="340">
                  <c:v>102500</c:v>
                </c:pt>
                <c:pt idx="341">
                  <c:v>58400</c:v>
                </c:pt>
                <c:pt idx="342">
                  <c:v>79400</c:v>
                </c:pt>
                <c:pt idx="343">
                  <c:v>47800</c:v>
                </c:pt>
                <c:pt idx="344">
                  <c:v>60500</c:v>
                </c:pt>
                <c:pt idx="345">
                  <c:v>50800</c:v>
                </c:pt>
                <c:pt idx="346">
                  <c:v>112300</c:v>
                </c:pt>
                <c:pt idx="347">
                  <c:v>44500</c:v>
                </c:pt>
                <c:pt idx="348">
                  <c:v>59100</c:v>
                </c:pt>
                <c:pt idx="349">
                  <c:v>75400</c:v>
                </c:pt>
                <c:pt idx="350">
                  <c:v>69700</c:v>
                </c:pt>
                <c:pt idx="351">
                  <c:v>68600</c:v>
                </c:pt>
                <c:pt idx="352">
                  <c:v>79400</c:v>
                </c:pt>
                <c:pt idx="353">
                  <c:v>65400</c:v>
                </c:pt>
                <c:pt idx="354">
                  <c:v>44000</c:v>
                </c:pt>
                <c:pt idx="355">
                  <c:v>86600</c:v>
                </c:pt>
                <c:pt idx="356">
                  <c:v>44700</c:v>
                </c:pt>
                <c:pt idx="357">
                  <c:v>71100</c:v>
                </c:pt>
                <c:pt idx="358">
                  <c:v>44800</c:v>
                </c:pt>
                <c:pt idx="359">
                  <c:v>111200</c:v>
                </c:pt>
                <c:pt idx="360">
                  <c:v>44800</c:v>
                </c:pt>
                <c:pt idx="361">
                  <c:v>64800</c:v>
                </c:pt>
                <c:pt idx="362">
                  <c:v>45000</c:v>
                </c:pt>
                <c:pt idx="363">
                  <c:v>47200</c:v>
                </c:pt>
                <c:pt idx="364">
                  <c:v>45700</c:v>
                </c:pt>
                <c:pt idx="365">
                  <c:v>47100</c:v>
                </c:pt>
                <c:pt idx="366">
                  <c:v>45800</c:v>
                </c:pt>
                <c:pt idx="367">
                  <c:v>46500</c:v>
                </c:pt>
                <c:pt idx="368">
                  <c:v>46300</c:v>
                </c:pt>
                <c:pt idx="369">
                  <c:v>45400</c:v>
                </c:pt>
                <c:pt idx="370">
                  <c:v>46700</c:v>
                </c:pt>
                <c:pt idx="371">
                  <c:v>45000</c:v>
                </c:pt>
                <c:pt idx="372">
                  <c:v>94700</c:v>
                </c:pt>
                <c:pt idx="373">
                  <c:v>44800</c:v>
                </c:pt>
                <c:pt idx="374">
                  <c:v>102100</c:v>
                </c:pt>
                <c:pt idx="375">
                  <c:v>44600</c:v>
                </c:pt>
                <c:pt idx="376">
                  <c:v>64200</c:v>
                </c:pt>
                <c:pt idx="377">
                  <c:v>71200</c:v>
                </c:pt>
                <c:pt idx="378">
                  <c:v>129800</c:v>
                </c:pt>
                <c:pt idx="379">
                  <c:v>112400</c:v>
                </c:pt>
                <c:pt idx="380">
                  <c:v>120600</c:v>
                </c:pt>
                <c:pt idx="381">
                  <c:v>115200</c:v>
                </c:pt>
                <c:pt idx="382">
                  <c:v>118400</c:v>
                </c:pt>
                <c:pt idx="383">
                  <c:v>79900</c:v>
                </c:pt>
                <c:pt idx="384">
                  <c:v>83600</c:v>
                </c:pt>
                <c:pt idx="385">
                  <c:v>45100</c:v>
                </c:pt>
                <c:pt idx="386">
                  <c:v>79300</c:v>
                </c:pt>
                <c:pt idx="387">
                  <c:v>71600</c:v>
                </c:pt>
                <c:pt idx="388">
                  <c:v>60200</c:v>
                </c:pt>
                <c:pt idx="389">
                  <c:v>55700</c:v>
                </c:pt>
                <c:pt idx="390">
                  <c:v>54700</c:v>
                </c:pt>
                <c:pt idx="391">
                  <c:v>44500</c:v>
                </c:pt>
                <c:pt idx="392">
                  <c:v>49200</c:v>
                </c:pt>
                <c:pt idx="393">
                  <c:v>57500</c:v>
                </c:pt>
                <c:pt idx="394">
                  <c:v>48500</c:v>
                </c:pt>
                <c:pt idx="395">
                  <c:v>48700</c:v>
                </c:pt>
                <c:pt idx="396">
                  <c:v>65900</c:v>
                </c:pt>
                <c:pt idx="397">
                  <c:v>54600</c:v>
                </c:pt>
                <c:pt idx="398">
                  <c:v>48800</c:v>
                </c:pt>
                <c:pt idx="399">
                  <c:v>116000</c:v>
                </c:pt>
                <c:pt idx="400">
                  <c:v>81500</c:v>
                </c:pt>
                <c:pt idx="401">
                  <c:v>83100</c:v>
                </c:pt>
                <c:pt idx="402">
                  <c:v>47400</c:v>
                </c:pt>
                <c:pt idx="403">
                  <c:v>117100</c:v>
                </c:pt>
                <c:pt idx="404">
                  <c:v>74000</c:v>
                </c:pt>
                <c:pt idx="405">
                  <c:v>82400</c:v>
                </c:pt>
                <c:pt idx="406">
                  <c:v>46100</c:v>
                </c:pt>
                <c:pt idx="407">
                  <c:v>65100</c:v>
                </c:pt>
                <c:pt idx="408">
                  <c:v>48300</c:v>
                </c:pt>
                <c:pt idx="409">
                  <c:v>61400</c:v>
                </c:pt>
                <c:pt idx="410">
                  <c:v>50900</c:v>
                </c:pt>
                <c:pt idx="411">
                  <c:v>57700</c:v>
                </c:pt>
                <c:pt idx="412">
                  <c:v>54200</c:v>
                </c:pt>
                <c:pt idx="413">
                  <c:v>57400</c:v>
                </c:pt>
                <c:pt idx="414">
                  <c:v>89200</c:v>
                </c:pt>
                <c:pt idx="415">
                  <c:v>50100</c:v>
                </c:pt>
                <c:pt idx="416">
                  <c:v>70100</c:v>
                </c:pt>
                <c:pt idx="417">
                  <c:v>48400</c:v>
                </c:pt>
                <c:pt idx="418">
                  <c:v>48500</c:v>
                </c:pt>
                <c:pt idx="419">
                  <c:v>64400</c:v>
                </c:pt>
                <c:pt idx="420">
                  <c:v>75700</c:v>
                </c:pt>
                <c:pt idx="421">
                  <c:v>64800</c:v>
                </c:pt>
                <c:pt idx="422">
                  <c:v>82900</c:v>
                </c:pt>
                <c:pt idx="423">
                  <c:v>67500</c:v>
                </c:pt>
                <c:pt idx="424">
                  <c:v>74200</c:v>
                </c:pt>
                <c:pt idx="425">
                  <c:v>70700</c:v>
                </c:pt>
                <c:pt idx="426">
                  <c:v>94600</c:v>
                </c:pt>
                <c:pt idx="427">
                  <c:v>72600</c:v>
                </c:pt>
                <c:pt idx="428">
                  <c:v>43500</c:v>
                </c:pt>
                <c:pt idx="429">
                  <c:v>77300</c:v>
                </c:pt>
                <c:pt idx="430">
                  <c:v>47600</c:v>
                </c:pt>
                <c:pt idx="431">
                  <c:v>66500</c:v>
                </c:pt>
                <c:pt idx="432">
                  <c:v>50100</c:v>
                </c:pt>
                <c:pt idx="433">
                  <c:v>49200</c:v>
                </c:pt>
                <c:pt idx="434">
                  <c:v>56200</c:v>
                </c:pt>
                <c:pt idx="435">
                  <c:v>52700</c:v>
                </c:pt>
                <c:pt idx="436">
                  <c:v>74700</c:v>
                </c:pt>
                <c:pt idx="437">
                  <c:v>44400</c:v>
                </c:pt>
                <c:pt idx="438">
                  <c:v>72900</c:v>
                </c:pt>
                <c:pt idx="439">
                  <c:v>44800</c:v>
                </c:pt>
                <c:pt idx="440">
                  <c:v>111800</c:v>
                </c:pt>
                <c:pt idx="441">
                  <c:v>52000</c:v>
                </c:pt>
                <c:pt idx="442">
                  <c:v>155700</c:v>
                </c:pt>
                <c:pt idx="443">
                  <c:v>89700</c:v>
                </c:pt>
                <c:pt idx="444">
                  <c:v>69500</c:v>
                </c:pt>
                <c:pt idx="445">
                  <c:v>102300</c:v>
                </c:pt>
                <c:pt idx="446">
                  <c:v>48300</c:v>
                </c:pt>
                <c:pt idx="447">
                  <c:v>66600</c:v>
                </c:pt>
                <c:pt idx="448">
                  <c:v>45900</c:v>
                </c:pt>
                <c:pt idx="449">
                  <c:v>71600</c:v>
                </c:pt>
                <c:pt idx="450">
                  <c:v>73200</c:v>
                </c:pt>
                <c:pt idx="451">
                  <c:v>75500</c:v>
                </c:pt>
                <c:pt idx="452">
                  <c:v>54200</c:v>
                </c:pt>
                <c:pt idx="453">
                  <c:v>118800</c:v>
                </c:pt>
                <c:pt idx="454">
                  <c:v>97500</c:v>
                </c:pt>
                <c:pt idx="455">
                  <c:v>74000</c:v>
                </c:pt>
                <c:pt idx="456">
                  <c:v>69200</c:v>
                </c:pt>
                <c:pt idx="457">
                  <c:v>73800</c:v>
                </c:pt>
                <c:pt idx="458">
                  <c:v>43400</c:v>
                </c:pt>
                <c:pt idx="459">
                  <c:v>78100</c:v>
                </c:pt>
                <c:pt idx="460">
                  <c:v>50500</c:v>
                </c:pt>
                <c:pt idx="461">
                  <c:v>66300</c:v>
                </c:pt>
                <c:pt idx="462">
                  <c:v>74100</c:v>
                </c:pt>
                <c:pt idx="463">
                  <c:v>88500</c:v>
                </c:pt>
                <c:pt idx="464">
                  <c:v>76500</c:v>
                </c:pt>
                <c:pt idx="465">
                  <c:v>69500</c:v>
                </c:pt>
                <c:pt idx="466">
                  <c:v>126900</c:v>
                </c:pt>
                <c:pt idx="467">
                  <c:v>74000</c:v>
                </c:pt>
                <c:pt idx="468">
                  <c:v>53900</c:v>
                </c:pt>
                <c:pt idx="469">
                  <c:v>96300</c:v>
                </c:pt>
                <c:pt idx="470">
                  <c:v>53600</c:v>
                </c:pt>
                <c:pt idx="471">
                  <c:v>75000</c:v>
                </c:pt>
                <c:pt idx="472">
                  <c:v>43100</c:v>
                </c:pt>
                <c:pt idx="473">
                  <c:v>45000</c:v>
                </c:pt>
                <c:pt idx="474">
                  <c:v>45900</c:v>
                </c:pt>
                <c:pt idx="475">
                  <c:v>47700</c:v>
                </c:pt>
                <c:pt idx="476">
                  <c:v>52300</c:v>
                </c:pt>
                <c:pt idx="477">
                  <c:v>77900</c:v>
                </c:pt>
                <c:pt idx="478">
                  <c:v>90900</c:v>
                </c:pt>
                <c:pt idx="479">
                  <c:v>92500</c:v>
                </c:pt>
                <c:pt idx="480">
                  <c:v>111200</c:v>
                </c:pt>
                <c:pt idx="481">
                  <c:v>140000</c:v>
                </c:pt>
                <c:pt idx="482">
                  <c:v>112100</c:v>
                </c:pt>
                <c:pt idx="483">
                  <c:v>117800</c:v>
                </c:pt>
                <c:pt idx="484">
                  <c:v>97300</c:v>
                </c:pt>
                <c:pt idx="485">
                  <c:v>62800</c:v>
                </c:pt>
                <c:pt idx="486">
                  <c:v>86400</c:v>
                </c:pt>
                <c:pt idx="487">
                  <c:v>68200</c:v>
                </c:pt>
                <c:pt idx="488">
                  <c:v>63300</c:v>
                </c:pt>
                <c:pt idx="489">
                  <c:v>88800</c:v>
                </c:pt>
                <c:pt idx="490">
                  <c:v>54800</c:v>
                </c:pt>
                <c:pt idx="491">
                  <c:v>53000</c:v>
                </c:pt>
                <c:pt idx="492">
                  <c:v>52700</c:v>
                </c:pt>
                <c:pt idx="493">
                  <c:v>73400</c:v>
                </c:pt>
                <c:pt idx="494">
                  <c:v>47900</c:v>
                </c:pt>
                <c:pt idx="495">
                  <c:v>75500</c:v>
                </c:pt>
                <c:pt idx="496">
                  <c:v>108800</c:v>
                </c:pt>
                <c:pt idx="497">
                  <c:v>60100</c:v>
                </c:pt>
                <c:pt idx="498">
                  <c:v>58800</c:v>
                </c:pt>
                <c:pt idx="499">
                  <c:v>95400</c:v>
                </c:pt>
                <c:pt idx="500">
                  <c:v>83600</c:v>
                </c:pt>
                <c:pt idx="501">
                  <c:v>62000</c:v>
                </c:pt>
                <c:pt idx="502">
                  <c:v>45600</c:v>
                </c:pt>
                <c:pt idx="503">
                  <c:v>69600</c:v>
                </c:pt>
                <c:pt idx="504">
                  <c:v>80200</c:v>
                </c:pt>
                <c:pt idx="505">
                  <c:v>52900</c:v>
                </c:pt>
                <c:pt idx="506">
                  <c:v>75700</c:v>
                </c:pt>
                <c:pt idx="507">
                  <c:v>57700</c:v>
                </c:pt>
                <c:pt idx="508">
                  <c:v>96300</c:v>
                </c:pt>
                <c:pt idx="509">
                  <c:v>80700</c:v>
                </c:pt>
                <c:pt idx="510">
                  <c:v>66300</c:v>
                </c:pt>
                <c:pt idx="511">
                  <c:v>65200</c:v>
                </c:pt>
                <c:pt idx="512">
                  <c:v>58000</c:v>
                </c:pt>
                <c:pt idx="513">
                  <c:v>116700</c:v>
                </c:pt>
                <c:pt idx="514">
                  <c:v>122900</c:v>
                </c:pt>
                <c:pt idx="515">
                  <c:v>93400</c:v>
                </c:pt>
                <c:pt idx="516">
                  <c:v>105000</c:v>
                </c:pt>
                <c:pt idx="517">
                  <c:v>48600</c:v>
                </c:pt>
                <c:pt idx="518">
                  <c:v>93400</c:v>
                </c:pt>
                <c:pt idx="519">
                  <c:v>49400</c:v>
                </c:pt>
                <c:pt idx="520">
                  <c:v>57600</c:v>
                </c:pt>
                <c:pt idx="521">
                  <c:v>54800</c:v>
                </c:pt>
                <c:pt idx="522">
                  <c:v>56400</c:v>
                </c:pt>
                <c:pt idx="523">
                  <c:v>58500</c:v>
                </c:pt>
                <c:pt idx="524">
                  <c:v>58600</c:v>
                </c:pt>
                <c:pt idx="525">
                  <c:v>72600</c:v>
                </c:pt>
                <c:pt idx="526">
                  <c:v>81700</c:v>
                </c:pt>
                <c:pt idx="527">
                  <c:v>50200</c:v>
                </c:pt>
                <c:pt idx="528">
                  <c:v>58200</c:v>
                </c:pt>
                <c:pt idx="529">
                  <c:v>98300</c:v>
                </c:pt>
                <c:pt idx="530">
                  <c:v>57100</c:v>
                </c:pt>
                <c:pt idx="531">
                  <c:v>47000</c:v>
                </c:pt>
                <c:pt idx="532">
                  <c:v>56400</c:v>
                </c:pt>
                <c:pt idx="533">
                  <c:v>55800</c:v>
                </c:pt>
                <c:pt idx="534">
                  <c:v>56000</c:v>
                </c:pt>
                <c:pt idx="535">
                  <c:v>65300</c:v>
                </c:pt>
                <c:pt idx="536">
                  <c:v>53400</c:v>
                </c:pt>
                <c:pt idx="537">
                  <c:v>46800</c:v>
                </c:pt>
                <c:pt idx="538">
                  <c:v>51400</c:v>
                </c:pt>
                <c:pt idx="539">
                  <c:v>65300</c:v>
                </c:pt>
                <c:pt idx="540">
                  <c:v>49500</c:v>
                </c:pt>
                <c:pt idx="541">
                  <c:v>46700</c:v>
                </c:pt>
                <c:pt idx="542">
                  <c:v>75800</c:v>
                </c:pt>
                <c:pt idx="543">
                  <c:v>58100</c:v>
                </c:pt>
                <c:pt idx="544">
                  <c:v>52500</c:v>
                </c:pt>
                <c:pt idx="545">
                  <c:v>56100</c:v>
                </c:pt>
                <c:pt idx="546">
                  <c:v>82900</c:v>
                </c:pt>
                <c:pt idx="547">
                  <c:v>110800</c:v>
                </c:pt>
                <c:pt idx="548">
                  <c:v>79600</c:v>
                </c:pt>
                <c:pt idx="549">
                  <c:v>69800</c:v>
                </c:pt>
                <c:pt idx="550">
                  <c:v>51000</c:v>
                </c:pt>
                <c:pt idx="551">
                  <c:v>96400</c:v>
                </c:pt>
                <c:pt idx="552">
                  <c:v>54800</c:v>
                </c:pt>
                <c:pt idx="553">
                  <c:v>53800</c:v>
                </c:pt>
                <c:pt idx="554">
                  <c:v>74800</c:v>
                </c:pt>
                <c:pt idx="555">
                  <c:v>52700</c:v>
                </c:pt>
                <c:pt idx="556">
                  <c:v>48400</c:v>
                </c:pt>
                <c:pt idx="557">
                  <c:v>50700</c:v>
                </c:pt>
                <c:pt idx="558">
                  <c:v>47500</c:v>
                </c:pt>
                <c:pt idx="559">
                  <c:v>52500</c:v>
                </c:pt>
                <c:pt idx="560">
                  <c:v>53300</c:v>
                </c:pt>
                <c:pt idx="561">
                  <c:v>60300</c:v>
                </c:pt>
                <c:pt idx="562">
                  <c:v>56000</c:v>
                </c:pt>
                <c:pt idx="563">
                  <c:v>55200</c:v>
                </c:pt>
                <c:pt idx="564">
                  <c:v>54500</c:v>
                </c:pt>
                <c:pt idx="565">
                  <c:v>53600</c:v>
                </c:pt>
                <c:pt idx="566">
                  <c:v>52600</c:v>
                </c:pt>
                <c:pt idx="567">
                  <c:v>48200</c:v>
                </c:pt>
                <c:pt idx="568">
                  <c:v>47400</c:v>
                </c:pt>
                <c:pt idx="569">
                  <c:v>61400</c:v>
                </c:pt>
                <c:pt idx="570">
                  <c:v>51300</c:v>
                </c:pt>
                <c:pt idx="571">
                  <c:v>85600</c:v>
                </c:pt>
                <c:pt idx="572">
                  <c:v>98800</c:v>
                </c:pt>
                <c:pt idx="573">
                  <c:v>89200</c:v>
                </c:pt>
                <c:pt idx="574">
                  <c:v>103800</c:v>
                </c:pt>
                <c:pt idx="575">
                  <c:v>94400</c:v>
                </c:pt>
                <c:pt idx="576">
                  <c:v>112600</c:v>
                </c:pt>
                <c:pt idx="577">
                  <c:v>72200</c:v>
                </c:pt>
                <c:pt idx="578">
                  <c:v>68300</c:v>
                </c:pt>
                <c:pt idx="579">
                  <c:v>116800</c:v>
                </c:pt>
                <c:pt idx="580">
                  <c:v>46200</c:v>
                </c:pt>
                <c:pt idx="581">
                  <c:v>73600</c:v>
                </c:pt>
                <c:pt idx="582">
                  <c:v>65800</c:v>
                </c:pt>
                <c:pt idx="583">
                  <c:v>76100</c:v>
                </c:pt>
                <c:pt idx="584">
                  <c:v>76400</c:v>
                </c:pt>
                <c:pt idx="585">
                  <c:v>75700</c:v>
                </c:pt>
                <c:pt idx="586">
                  <c:v>76400</c:v>
                </c:pt>
                <c:pt idx="587">
                  <c:v>46700</c:v>
                </c:pt>
                <c:pt idx="588">
                  <c:v>120500</c:v>
                </c:pt>
                <c:pt idx="589">
                  <c:v>51000</c:v>
                </c:pt>
                <c:pt idx="590">
                  <c:v>82300</c:v>
                </c:pt>
                <c:pt idx="591">
                  <c:v>65800</c:v>
                </c:pt>
                <c:pt idx="592">
                  <c:v>71500</c:v>
                </c:pt>
                <c:pt idx="593">
                  <c:v>105500</c:v>
                </c:pt>
                <c:pt idx="594">
                  <c:v>71700</c:v>
                </c:pt>
                <c:pt idx="595">
                  <c:v>62800</c:v>
                </c:pt>
                <c:pt idx="596">
                  <c:v>80500</c:v>
                </c:pt>
                <c:pt idx="597">
                  <c:v>67800</c:v>
                </c:pt>
                <c:pt idx="598">
                  <c:v>94100</c:v>
                </c:pt>
                <c:pt idx="599">
                  <c:v>59600</c:v>
                </c:pt>
                <c:pt idx="600">
                  <c:v>49300</c:v>
                </c:pt>
                <c:pt idx="601">
                  <c:v>46200</c:v>
                </c:pt>
                <c:pt idx="602">
                  <c:v>105000</c:v>
                </c:pt>
                <c:pt idx="603">
                  <c:v>48000</c:v>
                </c:pt>
                <c:pt idx="604">
                  <c:v>44200</c:v>
                </c:pt>
                <c:pt idx="605">
                  <c:v>53300</c:v>
                </c:pt>
                <c:pt idx="606">
                  <c:v>71500</c:v>
                </c:pt>
                <c:pt idx="607">
                  <c:v>56900</c:v>
                </c:pt>
                <c:pt idx="608">
                  <c:v>71100</c:v>
                </c:pt>
                <c:pt idx="609">
                  <c:v>69600</c:v>
                </c:pt>
                <c:pt idx="610">
                  <c:v>111500</c:v>
                </c:pt>
                <c:pt idx="611">
                  <c:v>63500</c:v>
                </c:pt>
                <c:pt idx="612">
                  <c:v>62500</c:v>
                </c:pt>
                <c:pt idx="613">
                  <c:v>65900</c:v>
                </c:pt>
                <c:pt idx="614">
                  <c:v>68400</c:v>
                </c:pt>
                <c:pt idx="615">
                  <c:v>67300</c:v>
                </c:pt>
                <c:pt idx="616">
                  <c:v>66000</c:v>
                </c:pt>
                <c:pt idx="617">
                  <c:v>68200</c:v>
                </c:pt>
                <c:pt idx="618">
                  <c:v>73200</c:v>
                </c:pt>
                <c:pt idx="619">
                  <c:v>69400</c:v>
                </c:pt>
                <c:pt idx="620">
                  <c:v>46800</c:v>
                </c:pt>
                <c:pt idx="621">
                  <c:v>118200</c:v>
                </c:pt>
                <c:pt idx="622">
                  <c:v>52500</c:v>
                </c:pt>
                <c:pt idx="623">
                  <c:v>51800</c:v>
                </c:pt>
                <c:pt idx="624">
                  <c:v>76600</c:v>
                </c:pt>
                <c:pt idx="625">
                  <c:v>69800</c:v>
                </c:pt>
                <c:pt idx="626">
                  <c:v>46500</c:v>
                </c:pt>
                <c:pt idx="627">
                  <c:v>50300</c:v>
                </c:pt>
                <c:pt idx="628">
                  <c:v>74400</c:v>
                </c:pt>
                <c:pt idx="629">
                  <c:v>76800</c:v>
                </c:pt>
                <c:pt idx="630">
                  <c:v>66800</c:v>
                </c:pt>
                <c:pt idx="631">
                  <c:v>44200</c:v>
                </c:pt>
                <c:pt idx="632">
                  <c:v>45400</c:v>
                </c:pt>
                <c:pt idx="633">
                  <c:v>46700</c:v>
                </c:pt>
                <c:pt idx="634">
                  <c:v>48600</c:v>
                </c:pt>
                <c:pt idx="635">
                  <c:v>72000</c:v>
                </c:pt>
                <c:pt idx="636">
                  <c:v>54300</c:v>
                </c:pt>
                <c:pt idx="637">
                  <c:v>54100</c:v>
                </c:pt>
                <c:pt idx="638">
                  <c:v>52300</c:v>
                </c:pt>
                <c:pt idx="639">
                  <c:v>50800</c:v>
                </c:pt>
                <c:pt idx="640">
                  <c:v>131000</c:v>
                </c:pt>
                <c:pt idx="641">
                  <c:v>46400</c:v>
                </c:pt>
                <c:pt idx="642">
                  <c:v>61600</c:v>
                </c:pt>
                <c:pt idx="643">
                  <c:v>44500</c:v>
                </c:pt>
                <c:pt idx="644">
                  <c:v>128700</c:v>
                </c:pt>
                <c:pt idx="645">
                  <c:v>56200</c:v>
                </c:pt>
                <c:pt idx="646">
                  <c:v>55000</c:v>
                </c:pt>
                <c:pt idx="647">
                  <c:v>53700</c:v>
                </c:pt>
                <c:pt idx="648">
                  <c:v>87600</c:v>
                </c:pt>
                <c:pt idx="649">
                  <c:v>57200</c:v>
                </c:pt>
                <c:pt idx="650">
                  <c:v>70900</c:v>
                </c:pt>
                <c:pt idx="651">
                  <c:v>113300</c:v>
                </c:pt>
                <c:pt idx="652">
                  <c:v>58200</c:v>
                </c:pt>
                <c:pt idx="653">
                  <c:v>51500</c:v>
                </c:pt>
                <c:pt idx="654">
                  <c:v>55200</c:v>
                </c:pt>
                <c:pt idx="655">
                  <c:v>51700</c:v>
                </c:pt>
                <c:pt idx="656">
                  <c:v>73000</c:v>
                </c:pt>
                <c:pt idx="657">
                  <c:v>121700</c:v>
                </c:pt>
                <c:pt idx="658">
                  <c:v>57000</c:v>
                </c:pt>
                <c:pt idx="659">
                  <c:v>40700</c:v>
                </c:pt>
                <c:pt idx="660">
                  <c:v>75700</c:v>
                </c:pt>
                <c:pt idx="661">
                  <c:v>52900</c:v>
                </c:pt>
                <c:pt idx="662">
                  <c:v>72100</c:v>
                </c:pt>
                <c:pt idx="663">
                  <c:v>56600</c:v>
                </c:pt>
                <c:pt idx="664">
                  <c:v>71700</c:v>
                </c:pt>
                <c:pt idx="665">
                  <c:v>72300</c:v>
                </c:pt>
                <c:pt idx="666">
                  <c:v>64900</c:v>
                </c:pt>
                <c:pt idx="667">
                  <c:v>72900</c:v>
                </c:pt>
                <c:pt idx="668">
                  <c:v>66900</c:v>
                </c:pt>
                <c:pt idx="669">
                  <c:v>122100</c:v>
                </c:pt>
                <c:pt idx="670">
                  <c:v>59300</c:v>
                </c:pt>
                <c:pt idx="671">
                  <c:v>42300</c:v>
                </c:pt>
                <c:pt idx="672">
                  <c:v>50700</c:v>
                </c:pt>
                <c:pt idx="673">
                  <c:v>70100</c:v>
                </c:pt>
                <c:pt idx="674">
                  <c:v>57100</c:v>
                </c:pt>
                <c:pt idx="675">
                  <c:v>77400</c:v>
                </c:pt>
                <c:pt idx="676">
                  <c:v>58700</c:v>
                </c:pt>
                <c:pt idx="677">
                  <c:v>60800</c:v>
                </c:pt>
                <c:pt idx="678">
                  <c:v>58300</c:v>
                </c:pt>
                <c:pt idx="679">
                  <c:v>59700</c:v>
                </c:pt>
                <c:pt idx="680">
                  <c:v>55900</c:v>
                </c:pt>
                <c:pt idx="681">
                  <c:v>74600</c:v>
                </c:pt>
                <c:pt idx="682">
                  <c:v>68200</c:v>
                </c:pt>
                <c:pt idx="683">
                  <c:v>55300</c:v>
                </c:pt>
                <c:pt idx="684">
                  <c:v>77500</c:v>
                </c:pt>
                <c:pt idx="685">
                  <c:v>110600</c:v>
                </c:pt>
                <c:pt idx="686">
                  <c:v>91000</c:v>
                </c:pt>
                <c:pt idx="687">
                  <c:v>69200</c:v>
                </c:pt>
                <c:pt idx="688">
                  <c:v>75300</c:v>
                </c:pt>
                <c:pt idx="689">
                  <c:v>86900</c:v>
                </c:pt>
                <c:pt idx="690">
                  <c:v>78200</c:v>
                </c:pt>
                <c:pt idx="691">
                  <c:v>44900</c:v>
                </c:pt>
                <c:pt idx="692">
                  <c:v>50300</c:v>
                </c:pt>
                <c:pt idx="693">
                  <c:v>47500</c:v>
                </c:pt>
                <c:pt idx="694">
                  <c:v>55000</c:v>
                </c:pt>
                <c:pt idx="695">
                  <c:v>51600</c:v>
                </c:pt>
                <c:pt idx="696">
                  <c:v>55600</c:v>
                </c:pt>
                <c:pt idx="697">
                  <c:v>53000</c:v>
                </c:pt>
                <c:pt idx="698">
                  <c:v>116700</c:v>
                </c:pt>
                <c:pt idx="699">
                  <c:v>54600</c:v>
                </c:pt>
                <c:pt idx="700">
                  <c:v>49300</c:v>
                </c:pt>
                <c:pt idx="701">
                  <c:v>59400</c:v>
                </c:pt>
                <c:pt idx="702">
                  <c:v>51400</c:v>
                </c:pt>
                <c:pt idx="703">
                  <c:v>60800</c:v>
                </c:pt>
                <c:pt idx="704">
                  <c:v>52900</c:v>
                </c:pt>
                <c:pt idx="705">
                  <c:v>49300</c:v>
                </c:pt>
                <c:pt idx="706">
                  <c:v>107000</c:v>
                </c:pt>
                <c:pt idx="707">
                  <c:v>69900</c:v>
                </c:pt>
                <c:pt idx="708">
                  <c:v>74900</c:v>
                </c:pt>
                <c:pt idx="709">
                  <c:v>70600</c:v>
                </c:pt>
                <c:pt idx="710">
                  <c:v>115100</c:v>
                </c:pt>
                <c:pt idx="711">
                  <c:v>108300</c:v>
                </c:pt>
                <c:pt idx="712">
                  <c:v>79800</c:v>
                </c:pt>
                <c:pt idx="713">
                  <c:v>71900</c:v>
                </c:pt>
                <c:pt idx="714">
                  <c:v>81400</c:v>
                </c:pt>
                <c:pt idx="715">
                  <c:v>72100</c:v>
                </c:pt>
                <c:pt idx="716">
                  <c:v>71600</c:v>
                </c:pt>
                <c:pt idx="717">
                  <c:v>81300</c:v>
                </c:pt>
                <c:pt idx="718">
                  <c:v>78800</c:v>
                </c:pt>
                <c:pt idx="719">
                  <c:v>65200</c:v>
                </c:pt>
                <c:pt idx="720">
                  <c:v>87500</c:v>
                </c:pt>
                <c:pt idx="721">
                  <c:v>77700</c:v>
                </c:pt>
                <c:pt idx="722">
                  <c:v>49500</c:v>
                </c:pt>
                <c:pt idx="723">
                  <c:v>104200</c:v>
                </c:pt>
                <c:pt idx="724">
                  <c:v>46700</c:v>
                </c:pt>
                <c:pt idx="725">
                  <c:v>118100</c:v>
                </c:pt>
                <c:pt idx="726">
                  <c:v>47000</c:v>
                </c:pt>
                <c:pt idx="727">
                  <c:v>73100</c:v>
                </c:pt>
                <c:pt idx="728">
                  <c:v>50800</c:v>
                </c:pt>
                <c:pt idx="729">
                  <c:v>47800</c:v>
                </c:pt>
                <c:pt idx="730">
                  <c:v>73100</c:v>
                </c:pt>
                <c:pt idx="731">
                  <c:v>68800</c:v>
                </c:pt>
                <c:pt idx="732">
                  <c:v>69200</c:v>
                </c:pt>
                <c:pt idx="733">
                  <c:v>74400</c:v>
                </c:pt>
                <c:pt idx="734">
                  <c:v>80500</c:v>
                </c:pt>
                <c:pt idx="735">
                  <c:v>70900</c:v>
                </c:pt>
                <c:pt idx="736">
                  <c:v>69000</c:v>
                </c:pt>
                <c:pt idx="737">
                  <c:v>57100</c:v>
                </c:pt>
                <c:pt idx="738">
                  <c:v>52200</c:v>
                </c:pt>
                <c:pt idx="739">
                  <c:v>122800</c:v>
                </c:pt>
                <c:pt idx="740">
                  <c:v>100900</c:v>
                </c:pt>
                <c:pt idx="741">
                  <c:v>66500</c:v>
                </c:pt>
                <c:pt idx="742">
                  <c:v>57600</c:v>
                </c:pt>
                <c:pt idx="743">
                  <c:v>50100</c:v>
                </c:pt>
                <c:pt idx="744">
                  <c:v>48400</c:v>
                </c:pt>
                <c:pt idx="745">
                  <c:v>45200</c:v>
                </c:pt>
                <c:pt idx="746">
                  <c:v>116600</c:v>
                </c:pt>
                <c:pt idx="747">
                  <c:v>116300</c:v>
                </c:pt>
                <c:pt idx="748">
                  <c:v>92000</c:v>
                </c:pt>
                <c:pt idx="749">
                  <c:v>55300</c:v>
                </c:pt>
                <c:pt idx="750">
                  <c:v>65100</c:v>
                </c:pt>
                <c:pt idx="751">
                  <c:v>49200</c:v>
                </c:pt>
                <c:pt idx="752">
                  <c:v>64800</c:v>
                </c:pt>
                <c:pt idx="753">
                  <c:v>54700</c:v>
                </c:pt>
                <c:pt idx="754">
                  <c:v>66400</c:v>
                </c:pt>
                <c:pt idx="755">
                  <c:v>61700</c:v>
                </c:pt>
                <c:pt idx="756">
                  <c:v>48200</c:v>
                </c:pt>
                <c:pt idx="757">
                  <c:v>48000</c:v>
                </c:pt>
                <c:pt idx="758">
                  <c:v>45600</c:v>
                </c:pt>
                <c:pt idx="759">
                  <c:v>79500</c:v>
                </c:pt>
                <c:pt idx="760">
                  <c:v>47500</c:v>
                </c:pt>
                <c:pt idx="761">
                  <c:v>45300</c:v>
                </c:pt>
                <c:pt idx="762">
                  <c:v>119500</c:v>
                </c:pt>
                <c:pt idx="763">
                  <c:v>46300</c:v>
                </c:pt>
                <c:pt idx="764">
                  <c:v>79300</c:v>
                </c:pt>
                <c:pt idx="765">
                  <c:v>55400</c:v>
                </c:pt>
                <c:pt idx="766">
                  <c:v>73600</c:v>
                </c:pt>
                <c:pt idx="767">
                  <c:v>47200</c:v>
                </c:pt>
                <c:pt idx="768">
                  <c:v>69300</c:v>
                </c:pt>
                <c:pt idx="769">
                  <c:v>82600</c:v>
                </c:pt>
                <c:pt idx="770">
                  <c:v>102500</c:v>
                </c:pt>
                <c:pt idx="771">
                  <c:v>63200</c:v>
                </c:pt>
                <c:pt idx="772">
                  <c:v>58400</c:v>
                </c:pt>
                <c:pt idx="773">
                  <c:v>54600</c:v>
                </c:pt>
                <c:pt idx="774">
                  <c:v>45900</c:v>
                </c:pt>
                <c:pt idx="775">
                  <c:v>113600</c:v>
                </c:pt>
                <c:pt idx="776">
                  <c:v>66100</c:v>
                </c:pt>
                <c:pt idx="777">
                  <c:v>57100</c:v>
                </c:pt>
                <c:pt idx="778">
                  <c:v>54700</c:v>
                </c:pt>
                <c:pt idx="779">
                  <c:v>72400</c:v>
                </c:pt>
                <c:pt idx="780">
                  <c:v>53500</c:v>
                </c:pt>
                <c:pt idx="781">
                  <c:v>51300</c:v>
                </c:pt>
                <c:pt idx="782">
                  <c:v>63900</c:v>
                </c:pt>
                <c:pt idx="783">
                  <c:v>54000</c:v>
                </c:pt>
                <c:pt idx="784">
                  <c:v>79200</c:v>
                </c:pt>
                <c:pt idx="785">
                  <c:v>69200</c:v>
                </c:pt>
                <c:pt idx="786">
                  <c:v>81200</c:v>
                </c:pt>
                <c:pt idx="787">
                  <c:v>82700</c:v>
                </c:pt>
                <c:pt idx="788">
                  <c:v>84600</c:v>
                </c:pt>
                <c:pt idx="789">
                  <c:v>55900</c:v>
                </c:pt>
                <c:pt idx="790">
                  <c:v>101000</c:v>
                </c:pt>
                <c:pt idx="791">
                  <c:v>93100</c:v>
                </c:pt>
                <c:pt idx="792">
                  <c:v>74900</c:v>
                </c:pt>
                <c:pt idx="793">
                  <c:v>50300</c:v>
                </c:pt>
                <c:pt idx="794">
                  <c:v>76600</c:v>
                </c:pt>
                <c:pt idx="795">
                  <c:v>71300</c:v>
                </c:pt>
                <c:pt idx="796">
                  <c:v>78100</c:v>
                </c:pt>
                <c:pt idx="797">
                  <c:v>51000</c:v>
                </c:pt>
                <c:pt idx="798">
                  <c:v>74800</c:v>
                </c:pt>
                <c:pt idx="799">
                  <c:v>47800</c:v>
                </c:pt>
                <c:pt idx="800">
                  <c:v>42300</c:v>
                </c:pt>
                <c:pt idx="801">
                  <c:v>59000</c:v>
                </c:pt>
                <c:pt idx="802">
                  <c:v>46400</c:v>
                </c:pt>
                <c:pt idx="803">
                  <c:v>52900</c:v>
                </c:pt>
                <c:pt idx="804">
                  <c:v>44200</c:v>
                </c:pt>
                <c:pt idx="805">
                  <c:v>50400</c:v>
                </c:pt>
                <c:pt idx="806">
                  <c:v>46400</c:v>
                </c:pt>
                <c:pt idx="807">
                  <c:v>66500</c:v>
                </c:pt>
                <c:pt idx="808">
                  <c:v>95200</c:v>
                </c:pt>
                <c:pt idx="809">
                  <c:v>79600</c:v>
                </c:pt>
                <c:pt idx="810">
                  <c:v>53000</c:v>
                </c:pt>
                <c:pt idx="811">
                  <c:v>110600</c:v>
                </c:pt>
                <c:pt idx="812">
                  <c:v>53000</c:v>
                </c:pt>
                <c:pt idx="813">
                  <c:v>78100</c:v>
                </c:pt>
                <c:pt idx="814">
                  <c:v>57900</c:v>
                </c:pt>
                <c:pt idx="815">
                  <c:v>74800</c:v>
                </c:pt>
                <c:pt idx="816">
                  <c:v>151900</c:v>
                </c:pt>
                <c:pt idx="817">
                  <c:v>52300</c:v>
                </c:pt>
                <c:pt idx="818">
                  <c:v>47700</c:v>
                </c:pt>
                <c:pt idx="819">
                  <c:v>54200</c:v>
                </c:pt>
                <c:pt idx="820">
                  <c:v>50100</c:v>
                </c:pt>
                <c:pt idx="821">
                  <c:v>56500</c:v>
                </c:pt>
                <c:pt idx="822">
                  <c:v>56800</c:v>
                </c:pt>
                <c:pt idx="823">
                  <c:v>51900</c:v>
                </c:pt>
                <c:pt idx="824">
                  <c:v>57500</c:v>
                </c:pt>
                <c:pt idx="825">
                  <c:v>55300</c:v>
                </c:pt>
                <c:pt idx="826">
                  <c:v>90000</c:v>
                </c:pt>
                <c:pt idx="827">
                  <c:v>52000</c:v>
                </c:pt>
                <c:pt idx="828">
                  <c:v>76900</c:v>
                </c:pt>
                <c:pt idx="829">
                  <c:v>46400</c:v>
                </c:pt>
                <c:pt idx="830">
                  <c:v>55300</c:v>
                </c:pt>
                <c:pt idx="831">
                  <c:v>124400</c:v>
                </c:pt>
                <c:pt idx="832">
                  <c:v>53300</c:v>
                </c:pt>
                <c:pt idx="833">
                  <c:v>79600</c:v>
                </c:pt>
                <c:pt idx="834">
                  <c:v>57700</c:v>
                </c:pt>
                <c:pt idx="835">
                  <c:v>52800</c:v>
                </c:pt>
                <c:pt idx="836">
                  <c:v>48600</c:v>
                </c:pt>
                <c:pt idx="837">
                  <c:v>91200</c:v>
                </c:pt>
                <c:pt idx="838">
                  <c:v>104600</c:v>
                </c:pt>
                <c:pt idx="839">
                  <c:v>94100</c:v>
                </c:pt>
                <c:pt idx="840">
                  <c:v>79000</c:v>
                </c:pt>
                <c:pt idx="841">
                  <c:v>69100</c:v>
                </c:pt>
                <c:pt idx="842">
                  <c:v>50600</c:v>
                </c:pt>
                <c:pt idx="843">
                  <c:v>83600</c:v>
                </c:pt>
                <c:pt idx="844">
                  <c:v>100700</c:v>
                </c:pt>
                <c:pt idx="845">
                  <c:v>52400</c:v>
                </c:pt>
                <c:pt idx="846">
                  <c:v>121900</c:v>
                </c:pt>
                <c:pt idx="847">
                  <c:v>48900</c:v>
                </c:pt>
                <c:pt idx="848">
                  <c:v>82300</c:v>
                </c:pt>
                <c:pt idx="849">
                  <c:v>119900</c:v>
                </c:pt>
                <c:pt idx="850">
                  <c:v>82500</c:v>
                </c:pt>
                <c:pt idx="851">
                  <c:v>55500</c:v>
                </c:pt>
                <c:pt idx="852">
                  <c:v>101500</c:v>
                </c:pt>
                <c:pt idx="853">
                  <c:v>80500</c:v>
                </c:pt>
                <c:pt idx="854">
                  <c:v>72200</c:v>
                </c:pt>
                <c:pt idx="855">
                  <c:v>56200</c:v>
                </c:pt>
                <c:pt idx="856">
                  <c:v>55800</c:v>
                </c:pt>
                <c:pt idx="857">
                  <c:v>51900</c:v>
                </c:pt>
                <c:pt idx="858">
                  <c:v>47500</c:v>
                </c:pt>
                <c:pt idx="859">
                  <c:v>68700</c:v>
                </c:pt>
                <c:pt idx="860">
                  <c:v>126800</c:v>
                </c:pt>
                <c:pt idx="861">
                  <c:v>68600</c:v>
                </c:pt>
                <c:pt idx="862">
                  <c:v>51100</c:v>
                </c:pt>
                <c:pt idx="863">
                  <c:v>63100</c:v>
                </c:pt>
                <c:pt idx="864">
                  <c:v>49500</c:v>
                </c:pt>
                <c:pt idx="865">
                  <c:v>67500</c:v>
                </c:pt>
                <c:pt idx="866">
                  <c:v>60300</c:v>
                </c:pt>
                <c:pt idx="867">
                  <c:v>73900</c:v>
                </c:pt>
                <c:pt idx="868">
                  <c:v>55700</c:v>
                </c:pt>
                <c:pt idx="869">
                  <c:v>50300</c:v>
                </c:pt>
                <c:pt idx="870">
                  <c:v>48900</c:v>
                </c:pt>
                <c:pt idx="871">
                  <c:v>52600</c:v>
                </c:pt>
                <c:pt idx="872">
                  <c:v>51300</c:v>
                </c:pt>
                <c:pt idx="873">
                  <c:v>58500</c:v>
                </c:pt>
                <c:pt idx="874">
                  <c:v>54500</c:v>
                </c:pt>
                <c:pt idx="875">
                  <c:v>61400</c:v>
                </c:pt>
                <c:pt idx="876">
                  <c:v>54300</c:v>
                </c:pt>
                <c:pt idx="877">
                  <c:v>72900</c:v>
                </c:pt>
                <c:pt idx="878">
                  <c:v>50000</c:v>
                </c:pt>
                <c:pt idx="879">
                  <c:v>83500</c:v>
                </c:pt>
                <c:pt idx="880">
                  <c:v>49500</c:v>
                </c:pt>
                <c:pt idx="881">
                  <c:v>46800</c:v>
                </c:pt>
                <c:pt idx="882">
                  <c:v>48600</c:v>
                </c:pt>
                <c:pt idx="883">
                  <c:v>68800</c:v>
                </c:pt>
                <c:pt idx="884">
                  <c:v>57300</c:v>
                </c:pt>
                <c:pt idx="885">
                  <c:v>49100</c:v>
                </c:pt>
                <c:pt idx="886">
                  <c:v>67700</c:v>
                </c:pt>
                <c:pt idx="887">
                  <c:v>69800</c:v>
                </c:pt>
                <c:pt idx="888">
                  <c:v>72600</c:v>
                </c:pt>
                <c:pt idx="889">
                  <c:v>48800</c:v>
                </c:pt>
                <c:pt idx="890">
                  <c:v>90700</c:v>
                </c:pt>
                <c:pt idx="891">
                  <c:v>51000</c:v>
                </c:pt>
                <c:pt idx="892">
                  <c:v>51100</c:v>
                </c:pt>
                <c:pt idx="893">
                  <c:v>77000</c:v>
                </c:pt>
                <c:pt idx="894">
                  <c:v>56200</c:v>
                </c:pt>
                <c:pt idx="895">
                  <c:v>66500</c:v>
                </c:pt>
                <c:pt idx="896">
                  <c:v>107300</c:v>
                </c:pt>
                <c:pt idx="897">
                  <c:v>91500</c:v>
                </c:pt>
                <c:pt idx="898">
                  <c:v>75000</c:v>
                </c:pt>
                <c:pt idx="899">
                  <c:v>49700</c:v>
                </c:pt>
                <c:pt idx="900">
                  <c:v>44100</c:v>
                </c:pt>
                <c:pt idx="901">
                  <c:v>51500</c:v>
                </c:pt>
                <c:pt idx="902">
                  <c:v>49000</c:v>
                </c:pt>
                <c:pt idx="903">
                  <c:v>53600</c:v>
                </c:pt>
                <c:pt idx="904">
                  <c:v>49500</c:v>
                </c:pt>
                <c:pt idx="905">
                  <c:v>54800</c:v>
                </c:pt>
                <c:pt idx="906">
                  <c:v>80100</c:v>
                </c:pt>
                <c:pt idx="907">
                  <c:v>58900</c:v>
                </c:pt>
                <c:pt idx="908">
                  <c:v>80400</c:v>
                </c:pt>
                <c:pt idx="909">
                  <c:v>90500</c:v>
                </c:pt>
                <c:pt idx="910">
                  <c:v>77600</c:v>
                </c:pt>
                <c:pt idx="911">
                  <c:v>78700</c:v>
                </c:pt>
                <c:pt idx="912">
                  <c:v>53600</c:v>
                </c:pt>
                <c:pt idx="913">
                  <c:v>79200</c:v>
                </c:pt>
                <c:pt idx="914">
                  <c:v>63200</c:v>
                </c:pt>
                <c:pt idx="915">
                  <c:v>70800</c:v>
                </c:pt>
                <c:pt idx="916">
                  <c:v>101500</c:v>
                </c:pt>
                <c:pt idx="917">
                  <c:v>118200</c:v>
                </c:pt>
                <c:pt idx="918">
                  <c:v>48000</c:v>
                </c:pt>
                <c:pt idx="919">
                  <c:v>132000</c:v>
                </c:pt>
                <c:pt idx="920">
                  <c:v>66600</c:v>
                </c:pt>
                <c:pt idx="921">
                  <c:v>47300</c:v>
                </c:pt>
                <c:pt idx="922">
                  <c:v>53900</c:v>
                </c:pt>
                <c:pt idx="923">
                  <c:v>74600</c:v>
                </c:pt>
                <c:pt idx="924">
                  <c:v>51900</c:v>
                </c:pt>
                <c:pt idx="925">
                  <c:v>126300</c:v>
                </c:pt>
                <c:pt idx="926">
                  <c:v>74200</c:v>
                </c:pt>
                <c:pt idx="927">
                  <c:v>50200</c:v>
                </c:pt>
                <c:pt idx="928">
                  <c:v>83400</c:v>
                </c:pt>
                <c:pt idx="929">
                  <c:v>51900</c:v>
                </c:pt>
                <c:pt idx="930">
                  <c:v>117900</c:v>
                </c:pt>
                <c:pt idx="931">
                  <c:v>49000</c:v>
                </c:pt>
                <c:pt idx="932">
                  <c:v>131800</c:v>
                </c:pt>
                <c:pt idx="933">
                  <c:v>50800</c:v>
                </c:pt>
                <c:pt idx="934">
                  <c:v>45400</c:v>
                </c:pt>
                <c:pt idx="935">
                  <c:v>65800</c:v>
                </c:pt>
                <c:pt idx="936">
                  <c:v>47800</c:v>
                </c:pt>
                <c:pt idx="937">
                  <c:v>46100</c:v>
                </c:pt>
                <c:pt idx="938">
                  <c:v>49400</c:v>
                </c:pt>
                <c:pt idx="939">
                  <c:v>49400</c:v>
                </c:pt>
                <c:pt idx="940">
                  <c:v>52200</c:v>
                </c:pt>
                <c:pt idx="941">
                  <c:v>50500</c:v>
                </c:pt>
                <c:pt idx="942">
                  <c:v>54500</c:v>
                </c:pt>
                <c:pt idx="943">
                  <c:v>120900</c:v>
                </c:pt>
                <c:pt idx="944">
                  <c:v>54800</c:v>
                </c:pt>
                <c:pt idx="945">
                  <c:v>129600</c:v>
                </c:pt>
                <c:pt idx="946">
                  <c:v>60700</c:v>
                </c:pt>
                <c:pt idx="947">
                  <c:v>54900</c:v>
                </c:pt>
                <c:pt idx="948">
                  <c:v>69900</c:v>
                </c:pt>
                <c:pt idx="949">
                  <c:v>124400</c:v>
                </c:pt>
                <c:pt idx="950">
                  <c:v>80600</c:v>
                </c:pt>
                <c:pt idx="951">
                  <c:v>47400</c:v>
                </c:pt>
                <c:pt idx="952">
                  <c:v>67800</c:v>
                </c:pt>
                <c:pt idx="953">
                  <c:v>46300</c:v>
                </c:pt>
                <c:pt idx="954">
                  <c:v>66100</c:v>
                </c:pt>
                <c:pt idx="955">
                  <c:v>73500</c:v>
                </c:pt>
                <c:pt idx="956">
                  <c:v>84600</c:v>
                </c:pt>
                <c:pt idx="957">
                  <c:v>57800</c:v>
                </c:pt>
                <c:pt idx="958">
                  <c:v>61300</c:v>
                </c:pt>
                <c:pt idx="959">
                  <c:v>77600</c:v>
                </c:pt>
                <c:pt idx="960">
                  <c:v>49800</c:v>
                </c:pt>
                <c:pt idx="961">
                  <c:v>57400</c:v>
                </c:pt>
                <c:pt idx="962">
                  <c:v>49000</c:v>
                </c:pt>
                <c:pt idx="963">
                  <c:v>54100</c:v>
                </c:pt>
                <c:pt idx="964">
                  <c:v>48900</c:v>
                </c:pt>
                <c:pt idx="965">
                  <c:v>66200</c:v>
                </c:pt>
                <c:pt idx="966">
                  <c:v>44700</c:v>
                </c:pt>
                <c:pt idx="967">
                  <c:v>62600</c:v>
                </c:pt>
                <c:pt idx="968">
                  <c:v>121000</c:v>
                </c:pt>
                <c:pt idx="969">
                  <c:v>88500</c:v>
                </c:pt>
                <c:pt idx="970">
                  <c:v>106000</c:v>
                </c:pt>
                <c:pt idx="971">
                  <c:v>58200</c:v>
                </c:pt>
                <c:pt idx="972">
                  <c:v>55200</c:v>
                </c:pt>
                <c:pt idx="973">
                  <c:v>57100</c:v>
                </c:pt>
                <c:pt idx="974">
                  <c:v>67900</c:v>
                </c:pt>
                <c:pt idx="975">
                  <c:v>57000</c:v>
                </c:pt>
                <c:pt idx="976">
                  <c:v>64600</c:v>
                </c:pt>
                <c:pt idx="977">
                  <c:v>56400</c:v>
                </c:pt>
                <c:pt idx="978">
                  <c:v>69800</c:v>
                </c:pt>
                <c:pt idx="979">
                  <c:v>54900</c:v>
                </c:pt>
                <c:pt idx="980">
                  <c:v>55600</c:v>
                </c:pt>
                <c:pt idx="981">
                  <c:v>55300</c:v>
                </c:pt>
                <c:pt idx="982">
                  <c:v>55800</c:v>
                </c:pt>
                <c:pt idx="983">
                  <c:v>54800</c:v>
                </c:pt>
                <c:pt idx="984">
                  <c:v>48200</c:v>
                </c:pt>
                <c:pt idx="985">
                  <c:v>54000</c:v>
                </c:pt>
                <c:pt idx="986">
                  <c:v>64100</c:v>
                </c:pt>
                <c:pt idx="987">
                  <c:v>50000</c:v>
                </c:pt>
                <c:pt idx="988">
                  <c:v>56200</c:v>
                </c:pt>
                <c:pt idx="989">
                  <c:v>46900</c:v>
                </c:pt>
                <c:pt idx="990">
                  <c:v>55600</c:v>
                </c:pt>
                <c:pt idx="991">
                  <c:v>90900</c:v>
                </c:pt>
                <c:pt idx="992">
                  <c:v>55000</c:v>
                </c:pt>
                <c:pt idx="993">
                  <c:v>58200</c:v>
                </c:pt>
                <c:pt idx="994">
                  <c:v>54300</c:v>
                </c:pt>
                <c:pt idx="995">
                  <c:v>47500</c:v>
                </c:pt>
                <c:pt idx="996">
                  <c:v>55600</c:v>
                </c:pt>
                <c:pt idx="997">
                  <c:v>50100</c:v>
                </c:pt>
                <c:pt idx="998">
                  <c:v>51200</c:v>
                </c:pt>
                <c:pt idx="999">
                  <c:v>50500</c:v>
                </c:pt>
                <c:pt idx="1000">
                  <c:v>47900</c:v>
                </c:pt>
                <c:pt idx="1001">
                  <c:v>50800</c:v>
                </c:pt>
                <c:pt idx="1002">
                  <c:v>60000</c:v>
                </c:pt>
                <c:pt idx="1003">
                  <c:v>50900</c:v>
                </c:pt>
                <c:pt idx="1004">
                  <c:v>46500</c:v>
                </c:pt>
                <c:pt idx="1005">
                  <c:v>52100</c:v>
                </c:pt>
                <c:pt idx="1006">
                  <c:v>69600</c:v>
                </c:pt>
                <c:pt idx="1007">
                  <c:v>53000</c:v>
                </c:pt>
                <c:pt idx="1008">
                  <c:v>73000</c:v>
                </c:pt>
                <c:pt idx="1009">
                  <c:v>75700</c:v>
                </c:pt>
                <c:pt idx="1010">
                  <c:v>119400</c:v>
                </c:pt>
                <c:pt idx="1011">
                  <c:v>77900</c:v>
                </c:pt>
                <c:pt idx="1012">
                  <c:v>50200</c:v>
                </c:pt>
                <c:pt idx="1013">
                  <c:v>49600</c:v>
                </c:pt>
                <c:pt idx="1014">
                  <c:v>96100</c:v>
                </c:pt>
                <c:pt idx="1015">
                  <c:v>76600</c:v>
                </c:pt>
                <c:pt idx="1016">
                  <c:v>68200</c:v>
                </c:pt>
                <c:pt idx="1017">
                  <c:v>51500</c:v>
                </c:pt>
                <c:pt idx="1018">
                  <c:v>70100</c:v>
                </c:pt>
                <c:pt idx="1019">
                  <c:v>68100</c:v>
                </c:pt>
                <c:pt idx="1020">
                  <c:v>56100</c:v>
                </c:pt>
                <c:pt idx="1021">
                  <c:v>51700</c:v>
                </c:pt>
                <c:pt idx="1022">
                  <c:v>62600</c:v>
                </c:pt>
                <c:pt idx="1023">
                  <c:v>62100</c:v>
                </c:pt>
                <c:pt idx="1024">
                  <c:v>68600</c:v>
                </c:pt>
                <c:pt idx="1025">
                  <c:v>61700</c:v>
                </c:pt>
                <c:pt idx="1026">
                  <c:v>109100</c:v>
                </c:pt>
                <c:pt idx="1027">
                  <c:v>97500</c:v>
                </c:pt>
                <c:pt idx="1028">
                  <c:v>69800</c:v>
                </c:pt>
                <c:pt idx="1029">
                  <c:v>59600</c:v>
                </c:pt>
                <c:pt idx="1030">
                  <c:v>57900</c:v>
                </c:pt>
                <c:pt idx="1031">
                  <c:v>55100</c:v>
                </c:pt>
                <c:pt idx="1032">
                  <c:v>53800</c:v>
                </c:pt>
                <c:pt idx="1033">
                  <c:v>86700</c:v>
                </c:pt>
                <c:pt idx="1034">
                  <c:v>85200</c:v>
                </c:pt>
                <c:pt idx="1035">
                  <c:v>59900</c:v>
                </c:pt>
                <c:pt idx="1036">
                  <c:v>57100</c:v>
                </c:pt>
                <c:pt idx="1037">
                  <c:v>54600</c:v>
                </c:pt>
                <c:pt idx="1038">
                  <c:v>60200</c:v>
                </c:pt>
                <c:pt idx="1039">
                  <c:v>53100</c:v>
                </c:pt>
                <c:pt idx="1040">
                  <c:v>131800</c:v>
                </c:pt>
                <c:pt idx="1041">
                  <c:v>76000</c:v>
                </c:pt>
                <c:pt idx="1042">
                  <c:v>51100</c:v>
                </c:pt>
                <c:pt idx="1043">
                  <c:v>50700</c:v>
                </c:pt>
                <c:pt idx="1044">
                  <c:v>47600</c:v>
                </c:pt>
                <c:pt idx="1045">
                  <c:v>124600</c:v>
                </c:pt>
                <c:pt idx="1046">
                  <c:v>80000</c:v>
                </c:pt>
                <c:pt idx="1047">
                  <c:v>53900</c:v>
                </c:pt>
                <c:pt idx="1048">
                  <c:v>53200</c:v>
                </c:pt>
                <c:pt idx="1049">
                  <c:v>49400</c:v>
                </c:pt>
                <c:pt idx="1050">
                  <c:v>57400</c:v>
                </c:pt>
                <c:pt idx="1051">
                  <c:v>54000</c:v>
                </c:pt>
                <c:pt idx="1052">
                  <c:v>68700</c:v>
                </c:pt>
                <c:pt idx="1053">
                  <c:v>54600</c:v>
                </c:pt>
                <c:pt idx="1054">
                  <c:v>49300</c:v>
                </c:pt>
                <c:pt idx="1055">
                  <c:v>77300</c:v>
                </c:pt>
                <c:pt idx="1056">
                  <c:v>68400</c:v>
                </c:pt>
                <c:pt idx="1057">
                  <c:v>58600</c:v>
                </c:pt>
                <c:pt idx="1058">
                  <c:v>49500</c:v>
                </c:pt>
                <c:pt idx="1059">
                  <c:v>44800</c:v>
                </c:pt>
                <c:pt idx="1060">
                  <c:v>74800</c:v>
                </c:pt>
                <c:pt idx="1061">
                  <c:v>47000</c:v>
                </c:pt>
                <c:pt idx="1062">
                  <c:v>45400</c:v>
                </c:pt>
                <c:pt idx="1063">
                  <c:v>92400</c:v>
                </c:pt>
                <c:pt idx="1064">
                  <c:v>51500</c:v>
                </c:pt>
                <c:pt idx="1065">
                  <c:v>49000</c:v>
                </c:pt>
                <c:pt idx="1066">
                  <c:v>118300</c:v>
                </c:pt>
                <c:pt idx="1067">
                  <c:v>50600</c:v>
                </c:pt>
                <c:pt idx="1068">
                  <c:v>50500</c:v>
                </c:pt>
                <c:pt idx="1069">
                  <c:v>67900</c:v>
                </c:pt>
                <c:pt idx="1070">
                  <c:v>62400</c:v>
                </c:pt>
                <c:pt idx="1071">
                  <c:v>52300</c:v>
                </c:pt>
                <c:pt idx="1072">
                  <c:v>67600</c:v>
                </c:pt>
                <c:pt idx="1073">
                  <c:v>53800</c:v>
                </c:pt>
                <c:pt idx="1074">
                  <c:v>53500</c:v>
                </c:pt>
                <c:pt idx="1075">
                  <c:v>46300</c:v>
                </c:pt>
                <c:pt idx="1076">
                  <c:v>45900</c:v>
                </c:pt>
                <c:pt idx="1077">
                  <c:v>52900</c:v>
                </c:pt>
                <c:pt idx="1078">
                  <c:v>49100</c:v>
                </c:pt>
                <c:pt idx="1079">
                  <c:v>51300</c:v>
                </c:pt>
                <c:pt idx="1080">
                  <c:v>48900</c:v>
                </c:pt>
                <c:pt idx="1081">
                  <c:v>52000</c:v>
                </c:pt>
                <c:pt idx="1082">
                  <c:v>48400</c:v>
                </c:pt>
                <c:pt idx="1083">
                  <c:v>75200</c:v>
                </c:pt>
                <c:pt idx="1084">
                  <c:v>49500</c:v>
                </c:pt>
                <c:pt idx="1085">
                  <c:v>46900</c:v>
                </c:pt>
                <c:pt idx="1086">
                  <c:v>49500</c:v>
                </c:pt>
                <c:pt idx="1087">
                  <c:v>51900</c:v>
                </c:pt>
                <c:pt idx="1088">
                  <c:v>48600</c:v>
                </c:pt>
                <c:pt idx="1089">
                  <c:v>57900</c:v>
                </c:pt>
                <c:pt idx="1090">
                  <c:v>46900</c:v>
                </c:pt>
                <c:pt idx="1091">
                  <c:v>127300</c:v>
                </c:pt>
                <c:pt idx="1092">
                  <c:v>46000</c:v>
                </c:pt>
                <c:pt idx="1093">
                  <c:v>47700</c:v>
                </c:pt>
                <c:pt idx="1094">
                  <c:v>45600</c:v>
                </c:pt>
                <c:pt idx="1095">
                  <c:v>49800</c:v>
                </c:pt>
                <c:pt idx="1096">
                  <c:v>48600</c:v>
                </c:pt>
                <c:pt idx="1097">
                  <c:v>50100</c:v>
                </c:pt>
                <c:pt idx="1098">
                  <c:v>154200</c:v>
                </c:pt>
                <c:pt idx="1099">
                  <c:v>89000</c:v>
                </c:pt>
                <c:pt idx="1100">
                  <c:v>51200</c:v>
                </c:pt>
                <c:pt idx="1101">
                  <c:v>112800</c:v>
                </c:pt>
                <c:pt idx="1102">
                  <c:v>48500</c:v>
                </c:pt>
                <c:pt idx="1103">
                  <c:v>122500</c:v>
                </c:pt>
                <c:pt idx="1104">
                  <c:v>51000</c:v>
                </c:pt>
                <c:pt idx="1105">
                  <c:v>72800</c:v>
                </c:pt>
                <c:pt idx="1106">
                  <c:v>49500</c:v>
                </c:pt>
                <c:pt idx="1107">
                  <c:v>71400</c:v>
                </c:pt>
                <c:pt idx="1108">
                  <c:v>48100</c:v>
                </c:pt>
                <c:pt idx="1109">
                  <c:v>46800</c:v>
                </c:pt>
                <c:pt idx="1110">
                  <c:v>46600</c:v>
                </c:pt>
                <c:pt idx="1111">
                  <c:v>48200</c:v>
                </c:pt>
                <c:pt idx="1112">
                  <c:v>78000</c:v>
                </c:pt>
                <c:pt idx="1113">
                  <c:v>48700</c:v>
                </c:pt>
                <c:pt idx="1114">
                  <c:v>73900</c:v>
                </c:pt>
                <c:pt idx="1115">
                  <c:v>126200</c:v>
                </c:pt>
                <c:pt idx="1116">
                  <c:v>53700</c:v>
                </c:pt>
                <c:pt idx="1117">
                  <c:v>63200</c:v>
                </c:pt>
                <c:pt idx="1118">
                  <c:v>72000</c:v>
                </c:pt>
                <c:pt idx="1119">
                  <c:v>76700</c:v>
                </c:pt>
                <c:pt idx="1120">
                  <c:v>50100</c:v>
                </c:pt>
                <c:pt idx="1121">
                  <c:v>47100</c:v>
                </c:pt>
                <c:pt idx="1122">
                  <c:v>49000</c:v>
                </c:pt>
                <c:pt idx="1123">
                  <c:v>48900</c:v>
                </c:pt>
                <c:pt idx="1124">
                  <c:v>47800</c:v>
                </c:pt>
                <c:pt idx="1125">
                  <c:v>49200</c:v>
                </c:pt>
                <c:pt idx="1126">
                  <c:v>54300</c:v>
                </c:pt>
                <c:pt idx="1127">
                  <c:v>49800</c:v>
                </c:pt>
                <c:pt idx="1128">
                  <c:v>51500</c:v>
                </c:pt>
                <c:pt idx="1129">
                  <c:v>50800</c:v>
                </c:pt>
                <c:pt idx="1130">
                  <c:v>50300</c:v>
                </c:pt>
                <c:pt idx="1131">
                  <c:v>51300</c:v>
                </c:pt>
                <c:pt idx="1132">
                  <c:v>79200</c:v>
                </c:pt>
                <c:pt idx="1133">
                  <c:v>52500</c:v>
                </c:pt>
                <c:pt idx="1134">
                  <c:v>76000</c:v>
                </c:pt>
                <c:pt idx="1135">
                  <c:v>58700</c:v>
                </c:pt>
                <c:pt idx="1136">
                  <c:v>71700</c:v>
                </c:pt>
                <c:pt idx="1137">
                  <c:v>60200</c:v>
                </c:pt>
                <c:pt idx="1138">
                  <c:v>57400</c:v>
                </c:pt>
                <c:pt idx="1139">
                  <c:v>75500</c:v>
                </c:pt>
                <c:pt idx="1140">
                  <c:v>53500</c:v>
                </c:pt>
                <c:pt idx="1141">
                  <c:v>68700</c:v>
                </c:pt>
                <c:pt idx="1142">
                  <c:v>71000</c:v>
                </c:pt>
                <c:pt idx="1143">
                  <c:v>75100</c:v>
                </c:pt>
                <c:pt idx="1144">
                  <c:v>80100</c:v>
                </c:pt>
                <c:pt idx="1145">
                  <c:v>59400</c:v>
                </c:pt>
                <c:pt idx="1146">
                  <c:v>81200</c:v>
                </c:pt>
                <c:pt idx="1147">
                  <c:v>123100</c:v>
                </c:pt>
                <c:pt idx="1148">
                  <c:v>125900</c:v>
                </c:pt>
                <c:pt idx="1149">
                  <c:v>82300</c:v>
                </c:pt>
                <c:pt idx="1150">
                  <c:v>47100</c:v>
                </c:pt>
                <c:pt idx="1151">
                  <c:v>81000</c:v>
                </c:pt>
                <c:pt idx="1152">
                  <c:v>57700</c:v>
                </c:pt>
                <c:pt idx="1153">
                  <c:v>75300</c:v>
                </c:pt>
                <c:pt idx="1154">
                  <c:v>95900</c:v>
                </c:pt>
                <c:pt idx="1155">
                  <c:v>70900</c:v>
                </c:pt>
                <c:pt idx="1156">
                  <c:v>70500</c:v>
                </c:pt>
                <c:pt idx="1157">
                  <c:v>74400</c:v>
                </c:pt>
                <c:pt idx="1158">
                  <c:v>72500</c:v>
                </c:pt>
                <c:pt idx="1159">
                  <c:v>59000</c:v>
                </c:pt>
                <c:pt idx="1160">
                  <c:v>49200</c:v>
                </c:pt>
                <c:pt idx="1161">
                  <c:v>58900</c:v>
                </c:pt>
                <c:pt idx="1162">
                  <c:v>58300</c:v>
                </c:pt>
                <c:pt idx="1163">
                  <c:v>54700</c:v>
                </c:pt>
                <c:pt idx="1164">
                  <c:v>54600</c:v>
                </c:pt>
                <c:pt idx="1165">
                  <c:v>60700</c:v>
                </c:pt>
                <c:pt idx="1166">
                  <c:v>57600</c:v>
                </c:pt>
                <c:pt idx="1167">
                  <c:v>81000</c:v>
                </c:pt>
                <c:pt idx="1168">
                  <c:v>119400</c:v>
                </c:pt>
                <c:pt idx="1169">
                  <c:v>58600</c:v>
                </c:pt>
                <c:pt idx="1170">
                  <c:v>73400</c:v>
                </c:pt>
                <c:pt idx="1171">
                  <c:v>60200</c:v>
                </c:pt>
                <c:pt idx="1172">
                  <c:v>73500</c:v>
                </c:pt>
                <c:pt idx="1173">
                  <c:v>90300</c:v>
                </c:pt>
                <c:pt idx="1174">
                  <c:v>71900</c:v>
                </c:pt>
                <c:pt idx="1175">
                  <c:v>104100</c:v>
                </c:pt>
                <c:pt idx="1176">
                  <c:v>102600</c:v>
                </c:pt>
                <c:pt idx="1177">
                  <c:v>72700</c:v>
                </c:pt>
                <c:pt idx="1178">
                  <c:v>73500</c:v>
                </c:pt>
                <c:pt idx="1179">
                  <c:v>50000</c:v>
                </c:pt>
                <c:pt idx="1180">
                  <c:v>74000</c:v>
                </c:pt>
                <c:pt idx="1181">
                  <c:v>56900</c:v>
                </c:pt>
                <c:pt idx="1182">
                  <c:v>76900</c:v>
                </c:pt>
                <c:pt idx="1183">
                  <c:v>88400</c:v>
                </c:pt>
                <c:pt idx="1184">
                  <c:v>97400</c:v>
                </c:pt>
                <c:pt idx="1185">
                  <c:v>93900</c:v>
                </c:pt>
                <c:pt idx="1186">
                  <c:v>60700</c:v>
                </c:pt>
                <c:pt idx="1187">
                  <c:v>54400</c:v>
                </c:pt>
                <c:pt idx="1188">
                  <c:v>55600</c:v>
                </c:pt>
                <c:pt idx="1189">
                  <c:v>79800</c:v>
                </c:pt>
                <c:pt idx="1190">
                  <c:v>81300</c:v>
                </c:pt>
                <c:pt idx="1191">
                  <c:v>81500</c:v>
                </c:pt>
                <c:pt idx="1192">
                  <c:v>84600</c:v>
                </c:pt>
                <c:pt idx="1193">
                  <c:v>75900</c:v>
                </c:pt>
                <c:pt idx="1194">
                  <c:v>109600</c:v>
                </c:pt>
                <c:pt idx="1195">
                  <c:v>62600</c:v>
                </c:pt>
                <c:pt idx="1196">
                  <c:v>78400</c:v>
                </c:pt>
                <c:pt idx="1197">
                  <c:v>67600</c:v>
                </c:pt>
                <c:pt idx="1198">
                  <c:v>85800</c:v>
                </c:pt>
                <c:pt idx="1199">
                  <c:v>126300</c:v>
                </c:pt>
                <c:pt idx="1200">
                  <c:v>84400</c:v>
                </c:pt>
                <c:pt idx="1201">
                  <c:v>92100</c:v>
                </c:pt>
                <c:pt idx="1202">
                  <c:v>93600</c:v>
                </c:pt>
                <c:pt idx="1203">
                  <c:v>48100</c:v>
                </c:pt>
                <c:pt idx="1204">
                  <c:v>51900</c:v>
                </c:pt>
                <c:pt idx="1205">
                  <c:v>53700</c:v>
                </c:pt>
                <c:pt idx="1206">
                  <c:v>50100</c:v>
                </c:pt>
                <c:pt idx="1207">
                  <c:v>111000</c:v>
                </c:pt>
                <c:pt idx="1208">
                  <c:v>51600</c:v>
                </c:pt>
                <c:pt idx="1209">
                  <c:v>49800</c:v>
                </c:pt>
                <c:pt idx="1210">
                  <c:v>50000</c:v>
                </c:pt>
                <c:pt idx="1211">
                  <c:v>50600</c:v>
                </c:pt>
                <c:pt idx="1212">
                  <c:v>52900</c:v>
                </c:pt>
                <c:pt idx="1213">
                  <c:v>52800</c:v>
                </c:pt>
                <c:pt idx="1214">
                  <c:v>53100</c:v>
                </c:pt>
                <c:pt idx="1215">
                  <c:v>53800</c:v>
                </c:pt>
                <c:pt idx="1216">
                  <c:v>53700</c:v>
                </c:pt>
                <c:pt idx="1217">
                  <c:v>54700</c:v>
                </c:pt>
                <c:pt idx="1218">
                  <c:v>114300</c:v>
                </c:pt>
                <c:pt idx="1219">
                  <c:v>55600</c:v>
                </c:pt>
                <c:pt idx="1220">
                  <c:v>48200</c:v>
                </c:pt>
                <c:pt idx="1221">
                  <c:v>58200</c:v>
                </c:pt>
                <c:pt idx="1222">
                  <c:v>51000</c:v>
                </c:pt>
                <c:pt idx="1223">
                  <c:v>47700</c:v>
                </c:pt>
                <c:pt idx="1224">
                  <c:v>51800</c:v>
                </c:pt>
                <c:pt idx="1225">
                  <c:v>54000</c:v>
                </c:pt>
                <c:pt idx="1226">
                  <c:v>52500</c:v>
                </c:pt>
                <c:pt idx="1227">
                  <c:v>54000</c:v>
                </c:pt>
                <c:pt idx="1228">
                  <c:v>53100</c:v>
                </c:pt>
                <c:pt idx="1229">
                  <c:v>73200</c:v>
                </c:pt>
                <c:pt idx="1230">
                  <c:v>53600</c:v>
                </c:pt>
                <c:pt idx="1231">
                  <c:v>51100</c:v>
                </c:pt>
                <c:pt idx="1232">
                  <c:v>54000</c:v>
                </c:pt>
                <c:pt idx="1233">
                  <c:v>52400</c:v>
                </c:pt>
                <c:pt idx="1234">
                  <c:v>54500</c:v>
                </c:pt>
                <c:pt idx="1235">
                  <c:v>55200</c:v>
                </c:pt>
                <c:pt idx="1236">
                  <c:v>55200</c:v>
                </c:pt>
                <c:pt idx="1237">
                  <c:v>48700</c:v>
                </c:pt>
                <c:pt idx="1238">
                  <c:v>56000</c:v>
                </c:pt>
                <c:pt idx="1239">
                  <c:v>49000</c:v>
                </c:pt>
                <c:pt idx="1240">
                  <c:v>56400</c:v>
                </c:pt>
                <c:pt idx="1241">
                  <c:v>51100</c:v>
                </c:pt>
                <c:pt idx="1242">
                  <c:v>48500</c:v>
                </c:pt>
                <c:pt idx="1243">
                  <c:v>52200</c:v>
                </c:pt>
                <c:pt idx="1244">
                  <c:v>80000</c:v>
                </c:pt>
                <c:pt idx="1245">
                  <c:v>53000</c:v>
                </c:pt>
                <c:pt idx="1246">
                  <c:v>53000</c:v>
                </c:pt>
                <c:pt idx="1247">
                  <c:v>55000</c:v>
                </c:pt>
                <c:pt idx="1248">
                  <c:v>54200</c:v>
                </c:pt>
                <c:pt idx="1249">
                  <c:v>57200</c:v>
                </c:pt>
                <c:pt idx="1250">
                  <c:v>55900</c:v>
                </c:pt>
                <c:pt idx="1251">
                  <c:v>67300</c:v>
                </c:pt>
                <c:pt idx="1252">
                  <c:v>72100</c:v>
                </c:pt>
                <c:pt idx="1253">
                  <c:v>61200</c:v>
                </c:pt>
                <c:pt idx="1254">
                  <c:v>51400</c:v>
                </c:pt>
                <c:pt idx="1255">
                  <c:v>66600</c:v>
                </c:pt>
                <c:pt idx="1256">
                  <c:v>52600</c:v>
                </c:pt>
                <c:pt idx="1257">
                  <c:v>89900</c:v>
                </c:pt>
                <c:pt idx="1258">
                  <c:v>53000</c:v>
                </c:pt>
                <c:pt idx="1259">
                  <c:v>50600</c:v>
                </c:pt>
                <c:pt idx="1260">
                  <c:v>119000</c:v>
                </c:pt>
                <c:pt idx="1261">
                  <c:v>53400</c:v>
                </c:pt>
                <c:pt idx="1262">
                  <c:v>48600</c:v>
                </c:pt>
                <c:pt idx="1263">
                  <c:v>59000</c:v>
                </c:pt>
                <c:pt idx="1264">
                  <c:v>53400</c:v>
                </c:pt>
                <c:pt idx="1265">
                  <c:v>50900</c:v>
                </c:pt>
                <c:pt idx="1266">
                  <c:v>55000</c:v>
                </c:pt>
                <c:pt idx="1267">
                  <c:v>49000</c:v>
                </c:pt>
                <c:pt idx="1268">
                  <c:v>56000</c:v>
                </c:pt>
                <c:pt idx="1269">
                  <c:v>49600</c:v>
                </c:pt>
                <c:pt idx="1270">
                  <c:v>48200</c:v>
                </c:pt>
                <c:pt idx="1271">
                  <c:v>51300</c:v>
                </c:pt>
                <c:pt idx="1272">
                  <c:v>47700</c:v>
                </c:pt>
                <c:pt idx="1273">
                  <c:v>47700</c:v>
                </c:pt>
                <c:pt idx="1274">
                  <c:v>49600</c:v>
                </c:pt>
                <c:pt idx="1275">
                  <c:v>49700</c:v>
                </c:pt>
                <c:pt idx="1276">
                  <c:v>49900</c:v>
                </c:pt>
                <c:pt idx="1277">
                  <c:v>50100</c:v>
                </c:pt>
                <c:pt idx="1278">
                  <c:v>51100</c:v>
                </c:pt>
                <c:pt idx="1279">
                  <c:v>52400</c:v>
                </c:pt>
                <c:pt idx="1280">
                  <c:v>53300</c:v>
                </c:pt>
                <c:pt idx="1281">
                  <c:v>54000</c:v>
                </c:pt>
                <c:pt idx="1282">
                  <c:v>56700</c:v>
                </c:pt>
                <c:pt idx="1283">
                  <c:v>58200</c:v>
                </c:pt>
                <c:pt idx="1284">
                  <c:v>108300</c:v>
                </c:pt>
                <c:pt idx="1285">
                  <c:v>72800</c:v>
                </c:pt>
                <c:pt idx="1286">
                  <c:v>73900</c:v>
                </c:pt>
                <c:pt idx="1287">
                  <c:v>76400</c:v>
                </c:pt>
                <c:pt idx="1288">
                  <c:v>48100</c:v>
                </c:pt>
                <c:pt idx="1289">
                  <c:v>47100</c:v>
                </c:pt>
                <c:pt idx="1290">
                  <c:v>48400</c:v>
                </c:pt>
                <c:pt idx="1291">
                  <c:v>51800</c:v>
                </c:pt>
                <c:pt idx="1292">
                  <c:v>52100</c:v>
                </c:pt>
                <c:pt idx="1293">
                  <c:v>55100</c:v>
                </c:pt>
                <c:pt idx="1294">
                  <c:v>47900</c:v>
                </c:pt>
                <c:pt idx="1295">
                  <c:v>48800</c:v>
                </c:pt>
                <c:pt idx="1296">
                  <c:v>50300</c:v>
                </c:pt>
                <c:pt idx="1297">
                  <c:v>56700</c:v>
                </c:pt>
                <c:pt idx="1298">
                  <c:v>53200</c:v>
                </c:pt>
                <c:pt idx="1299">
                  <c:v>58000</c:v>
                </c:pt>
                <c:pt idx="1300">
                  <c:v>54300</c:v>
                </c:pt>
                <c:pt idx="1301">
                  <c:v>111000</c:v>
                </c:pt>
                <c:pt idx="1302">
                  <c:v>54400</c:v>
                </c:pt>
                <c:pt idx="1303">
                  <c:v>50100</c:v>
                </c:pt>
                <c:pt idx="1304">
                  <c:v>64700</c:v>
                </c:pt>
                <c:pt idx="1305">
                  <c:v>51900</c:v>
                </c:pt>
                <c:pt idx="1306">
                  <c:v>119800</c:v>
                </c:pt>
                <c:pt idx="1307">
                  <c:v>60400</c:v>
                </c:pt>
                <c:pt idx="1308">
                  <c:v>92800</c:v>
                </c:pt>
                <c:pt idx="1309">
                  <c:v>82600</c:v>
                </c:pt>
                <c:pt idx="1310">
                  <c:v>50700</c:v>
                </c:pt>
                <c:pt idx="1311">
                  <c:v>58900</c:v>
                </c:pt>
                <c:pt idx="1312">
                  <c:v>76900</c:v>
                </c:pt>
                <c:pt idx="1313">
                  <c:v>51400</c:v>
                </c:pt>
                <c:pt idx="1314">
                  <c:v>53800</c:v>
                </c:pt>
                <c:pt idx="1315">
                  <c:v>46600</c:v>
                </c:pt>
                <c:pt idx="1316">
                  <c:v>48500</c:v>
                </c:pt>
                <c:pt idx="1317">
                  <c:v>57600</c:v>
                </c:pt>
                <c:pt idx="1318">
                  <c:v>49400</c:v>
                </c:pt>
                <c:pt idx="1319">
                  <c:v>69000</c:v>
                </c:pt>
                <c:pt idx="1320">
                  <c:v>60900</c:v>
                </c:pt>
                <c:pt idx="1321">
                  <c:v>78100</c:v>
                </c:pt>
                <c:pt idx="1322">
                  <c:v>102700</c:v>
                </c:pt>
                <c:pt idx="1323">
                  <c:v>53700</c:v>
                </c:pt>
                <c:pt idx="1324">
                  <c:v>84500</c:v>
                </c:pt>
                <c:pt idx="1325">
                  <c:v>86700</c:v>
                </c:pt>
                <c:pt idx="1326">
                  <c:v>55000</c:v>
                </c:pt>
                <c:pt idx="1327">
                  <c:v>47100</c:v>
                </c:pt>
                <c:pt idx="1328">
                  <c:v>58100</c:v>
                </c:pt>
                <c:pt idx="1329">
                  <c:v>54300</c:v>
                </c:pt>
                <c:pt idx="1330">
                  <c:v>94100</c:v>
                </c:pt>
                <c:pt idx="1331">
                  <c:v>75800</c:v>
                </c:pt>
                <c:pt idx="1332">
                  <c:v>82700</c:v>
                </c:pt>
                <c:pt idx="1333">
                  <c:v>50000</c:v>
                </c:pt>
                <c:pt idx="1334">
                  <c:v>51300</c:v>
                </c:pt>
                <c:pt idx="1335">
                  <c:v>53300</c:v>
                </c:pt>
                <c:pt idx="1336">
                  <c:v>52100</c:v>
                </c:pt>
                <c:pt idx="1337">
                  <c:v>54300</c:v>
                </c:pt>
                <c:pt idx="1338">
                  <c:v>52200</c:v>
                </c:pt>
                <c:pt idx="1339">
                  <c:v>54800</c:v>
                </c:pt>
                <c:pt idx="1340">
                  <c:v>55500</c:v>
                </c:pt>
                <c:pt idx="1341">
                  <c:v>60400</c:v>
                </c:pt>
                <c:pt idx="1342">
                  <c:v>58800</c:v>
                </c:pt>
                <c:pt idx="1343">
                  <c:v>105100</c:v>
                </c:pt>
                <c:pt idx="1344">
                  <c:v>60700</c:v>
                </c:pt>
                <c:pt idx="1345">
                  <c:v>49100</c:v>
                </c:pt>
                <c:pt idx="1346">
                  <c:v>116500</c:v>
                </c:pt>
                <c:pt idx="1347">
                  <c:v>79500</c:v>
                </c:pt>
                <c:pt idx="1348">
                  <c:v>77500</c:v>
                </c:pt>
                <c:pt idx="1349">
                  <c:v>89900</c:v>
                </c:pt>
                <c:pt idx="1350">
                  <c:v>109900</c:v>
                </c:pt>
                <c:pt idx="1351">
                  <c:v>77800</c:v>
                </c:pt>
                <c:pt idx="1352">
                  <c:v>63900</c:v>
                </c:pt>
                <c:pt idx="1353">
                  <c:v>54600</c:v>
                </c:pt>
                <c:pt idx="1354">
                  <c:v>53300</c:v>
                </c:pt>
                <c:pt idx="1355">
                  <c:v>48400</c:v>
                </c:pt>
                <c:pt idx="1356">
                  <c:v>102000</c:v>
                </c:pt>
                <c:pt idx="1357">
                  <c:v>60300</c:v>
                </c:pt>
                <c:pt idx="1358">
                  <c:v>51400</c:v>
                </c:pt>
                <c:pt idx="1359">
                  <c:v>111500</c:v>
                </c:pt>
                <c:pt idx="1360">
                  <c:v>110700</c:v>
                </c:pt>
                <c:pt idx="1361">
                  <c:v>92200</c:v>
                </c:pt>
                <c:pt idx="1362">
                  <c:v>96000</c:v>
                </c:pt>
                <c:pt idx="1363">
                  <c:v>55500</c:v>
                </c:pt>
                <c:pt idx="1364">
                  <c:v>55200</c:v>
                </c:pt>
                <c:pt idx="1365">
                  <c:v>76600</c:v>
                </c:pt>
                <c:pt idx="1366">
                  <c:v>53900</c:v>
                </c:pt>
                <c:pt idx="1367">
                  <c:v>53100</c:v>
                </c:pt>
                <c:pt idx="1368">
                  <c:v>52300</c:v>
                </c:pt>
                <c:pt idx="1369">
                  <c:v>52200</c:v>
                </c:pt>
                <c:pt idx="1370">
                  <c:v>50800</c:v>
                </c:pt>
                <c:pt idx="1371">
                  <c:v>85000</c:v>
                </c:pt>
                <c:pt idx="1372">
                  <c:v>94300</c:v>
                </c:pt>
                <c:pt idx="1373">
                  <c:v>49700</c:v>
                </c:pt>
                <c:pt idx="1374">
                  <c:v>62100</c:v>
                </c:pt>
                <c:pt idx="1375">
                  <c:v>52300</c:v>
                </c:pt>
                <c:pt idx="1376">
                  <c:v>67200</c:v>
                </c:pt>
                <c:pt idx="1377">
                  <c:v>50800</c:v>
                </c:pt>
                <c:pt idx="1378">
                  <c:v>128200</c:v>
                </c:pt>
                <c:pt idx="1379">
                  <c:v>85000</c:v>
                </c:pt>
                <c:pt idx="1380">
                  <c:v>81000</c:v>
                </c:pt>
                <c:pt idx="1381">
                  <c:v>69700</c:v>
                </c:pt>
                <c:pt idx="1382">
                  <c:v>56000</c:v>
                </c:pt>
                <c:pt idx="1383">
                  <c:v>47300</c:v>
                </c:pt>
                <c:pt idx="1384">
                  <c:v>52400</c:v>
                </c:pt>
                <c:pt idx="1385">
                  <c:v>135500</c:v>
                </c:pt>
                <c:pt idx="1386">
                  <c:v>55300</c:v>
                </c:pt>
                <c:pt idx="1387">
                  <c:v>56400</c:v>
                </c:pt>
                <c:pt idx="1388">
                  <c:v>66400</c:v>
                </c:pt>
                <c:pt idx="1389">
                  <c:v>51000</c:v>
                </c:pt>
                <c:pt idx="1390">
                  <c:v>75000</c:v>
                </c:pt>
                <c:pt idx="1391">
                  <c:v>56100</c:v>
                </c:pt>
                <c:pt idx="1392">
                  <c:v>99000</c:v>
                </c:pt>
                <c:pt idx="1393">
                  <c:v>108100</c:v>
                </c:pt>
                <c:pt idx="1394">
                  <c:v>53500</c:v>
                </c:pt>
                <c:pt idx="1395">
                  <c:v>98700</c:v>
                </c:pt>
                <c:pt idx="1396">
                  <c:v>54100</c:v>
                </c:pt>
                <c:pt idx="1397">
                  <c:v>54600</c:v>
                </c:pt>
                <c:pt idx="1398">
                  <c:v>56800</c:v>
                </c:pt>
                <c:pt idx="1399">
                  <c:v>59600</c:v>
                </c:pt>
                <c:pt idx="1400">
                  <c:v>58600</c:v>
                </c:pt>
                <c:pt idx="1401">
                  <c:v>50500</c:v>
                </c:pt>
                <c:pt idx="1402">
                  <c:v>157900</c:v>
                </c:pt>
                <c:pt idx="1403">
                  <c:v>102300</c:v>
                </c:pt>
                <c:pt idx="1404">
                  <c:v>55600</c:v>
                </c:pt>
                <c:pt idx="1405">
                  <c:v>68100</c:v>
                </c:pt>
                <c:pt idx="1406">
                  <c:v>59100</c:v>
                </c:pt>
                <c:pt idx="1407">
                  <c:v>49800</c:v>
                </c:pt>
                <c:pt idx="1408">
                  <c:v>49800</c:v>
                </c:pt>
                <c:pt idx="1409">
                  <c:v>99500</c:v>
                </c:pt>
                <c:pt idx="1410">
                  <c:v>50700</c:v>
                </c:pt>
                <c:pt idx="1411">
                  <c:v>54800</c:v>
                </c:pt>
                <c:pt idx="1412">
                  <c:v>75800</c:v>
                </c:pt>
                <c:pt idx="1413">
                  <c:v>49500</c:v>
                </c:pt>
                <c:pt idx="1414">
                  <c:v>78900</c:v>
                </c:pt>
                <c:pt idx="1415">
                  <c:v>66300</c:v>
                </c:pt>
                <c:pt idx="1416">
                  <c:v>46600</c:v>
                </c:pt>
                <c:pt idx="1417">
                  <c:v>97100</c:v>
                </c:pt>
                <c:pt idx="1418">
                  <c:v>136700</c:v>
                </c:pt>
                <c:pt idx="1419">
                  <c:v>59600</c:v>
                </c:pt>
                <c:pt idx="1420">
                  <c:v>49600</c:v>
                </c:pt>
                <c:pt idx="1421">
                  <c:v>50800</c:v>
                </c:pt>
                <c:pt idx="1422">
                  <c:v>52500</c:v>
                </c:pt>
                <c:pt idx="1423">
                  <c:v>50100</c:v>
                </c:pt>
                <c:pt idx="1424">
                  <c:v>86200</c:v>
                </c:pt>
                <c:pt idx="1425">
                  <c:v>51500</c:v>
                </c:pt>
                <c:pt idx="1426">
                  <c:v>48300</c:v>
                </c:pt>
                <c:pt idx="1427">
                  <c:v>55100</c:v>
                </c:pt>
                <c:pt idx="1428">
                  <c:v>48600</c:v>
                </c:pt>
                <c:pt idx="1429">
                  <c:v>97000</c:v>
                </c:pt>
                <c:pt idx="1430">
                  <c:v>71900</c:v>
                </c:pt>
                <c:pt idx="1431">
                  <c:v>124500</c:v>
                </c:pt>
                <c:pt idx="1432">
                  <c:v>60400</c:v>
                </c:pt>
                <c:pt idx="1433">
                  <c:v>49200</c:v>
                </c:pt>
                <c:pt idx="1434">
                  <c:v>62800</c:v>
                </c:pt>
                <c:pt idx="1435">
                  <c:v>84800</c:v>
                </c:pt>
                <c:pt idx="1436">
                  <c:v>108900</c:v>
                </c:pt>
                <c:pt idx="1437">
                  <c:v>57600</c:v>
                </c:pt>
                <c:pt idx="1438">
                  <c:v>58100</c:v>
                </c:pt>
                <c:pt idx="1439">
                  <c:v>57100</c:v>
                </c:pt>
                <c:pt idx="1440">
                  <c:v>55900</c:v>
                </c:pt>
                <c:pt idx="1441">
                  <c:v>52600</c:v>
                </c:pt>
                <c:pt idx="1442">
                  <c:v>55000</c:v>
                </c:pt>
                <c:pt idx="1443">
                  <c:v>49100</c:v>
                </c:pt>
                <c:pt idx="1444">
                  <c:v>51900</c:v>
                </c:pt>
                <c:pt idx="1445">
                  <c:v>56500</c:v>
                </c:pt>
                <c:pt idx="1446">
                  <c:v>49700</c:v>
                </c:pt>
                <c:pt idx="1447">
                  <c:v>57800</c:v>
                </c:pt>
                <c:pt idx="1448">
                  <c:v>49400</c:v>
                </c:pt>
                <c:pt idx="1449">
                  <c:v>62100</c:v>
                </c:pt>
                <c:pt idx="1450">
                  <c:v>49000</c:v>
                </c:pt>
                <c:pt idx="1451">
                  <c:v>66500</c:v>
                </c:pt>
                <c:pt idx="1452">
                  <c:v>50300</c:v>
                </c:pt>
                <c:pt idx="1453">
                  <c:v>48300</c:v>
                </c:pt>
                <c:pt idx="1454">
                  <c:v>46800</c:v>
                </c:pt>
                <c:pt idx="1455">
                  <c:v>50600</c:v>
                </c:pt>
                <c:pt idx="1456">
                  <c:v>76100</c:v>
                </c:pt>
                <c:pt idx="1457">
                  <c:v>52700</c:v>
                </c:pt>
                <c:pt idx="1458">
                  <c:v>53300</c:v>
                </c:pt>
                <c:pt idx="1459">
                  <c:v>55100</c:v>
                </c:pt>
                <c:pt idx="1460">
                  <c:v>56100</c:v>
                </c:pt>
                <c:pt idx="1461">
                  <c:v>43500</c:v>
                </c:pt>
                <c:pt idx="1462">
                  <c:v>48000</c:v>
                </c:pt>
                <c:pt idx="1463">
                  <c:v>46600</c:v>
                </c:pt>
                <c:pt idx="1464">
                  <c:v>64000</c:v>
                </c:pt>
                <c:pt idx="1465">
                  <c:v>58200</c:v>
                </c:pt>
                <c:pt idx="1466">
                  <c:v>83000</c:v>
                </c:pt>
                <c:pt idx="1467">
                  <c:v>51700</c:v>
                </c:pt>
                <c:pt idx="1468">
                  <c:v>54200</c:v>
                </c:pt>
                <c:pt idx="1469">
                  <c:v>80400</c:v>
                </c:pt>
                <c:pt idx="1470">
                  <c:v>53700</c:v>
                </c:pt>
                <c:pt idx="1471">
                  <c:v>47900</c:v>
                </c:pt>
                <c:pt idx="1472">
                  <c:v>63200</c:v>
                </c:pt>
                <c:pt idx="1473">
                  <c:v>105500</c:v>
                </c:pt>
                <c:pt idx="1474">
                  <c:v>57100</c:v>
                </c:pt>
                <c:pt idx="1475">
                  <c:v>54400</c:v>
                </c:pt>
                <c:pt idx="1476">
                  <c:v>75100</c:v>
                </c:pt>
                <c:pt idx="1477">
                  <c:v>64600</c:v>
                </c:pt>
                <c:pt idx="1478">
                  <c:v>121800</c:v>
                </c:pt>
                <c:pt idx="1479">
                  <c:v>112900</c:v>
                </c:pt>
                <c:pt idx="1480">
                  <c:v>85700</c:v>
                </c:pt>
                <c:pt idx="1481">
                  <c:v>68100</c:v>
                </c:pt>
                <c:pt idx="1482">
                  <c:v>47500</c:v>
                </c:pt>
                <c:pt idx="1483">
                  <c:v>48200</c:v>
                </c:pt>
                <c:pt idx="1484">
                  <c:v>81200</c:v>
                </c:pt>
                <c:pt idx="1485">
                  <c:v>46700</c:v>
                </c:pt>
                <c:pt idx="1486">
                  <c:v>56800</c:v>
                </c:pt>
                <c:pt idx="1487">
                  <c:v>94100</c:v>
                </c:pt>
                <c:pt idx="1488">
                  <c:v>63300</c:v>
                </c:pt>
                <c:pt idx="1489">
                  <c:v>76800</c:v>
                </c:pt>
                <c:pt idx="1490">
                  <c:v>79200</c:v>
                </c:pt>
                <c:pt idx="1491">
                  <c:v>82200</c:v>
                </c:pt>
                <c:pt idx="1492">
                  <c:v>49400</c:v>
                </c:pt>
                <c:pt idx="1493">
                  <c:v>92700</c:v>
                </c:pt>
                <c:pt idx="1494">
                  <c:v>70900</c:v>
                </c:pt>
                <c:pt idx="1495">
                  <c:v>89700</c:v>
                </c:pt>
                <c:pt idx="1496">
                  <c:v>80200</c:v>
                </c:pt>
                <c:pt idx="1497">
                  <c:v>77300</c:v>
                </c:pt>
                <c:pt idx="1498">
                  <c:v>75600</c:v>
                </c:pt>
                <c:pt idx="1499">
                  <c:v>60100</c:v>
                </c:pt>
                <c:pt idx="1500">
                  <c:v>133700</c:v>
                </c:pt>
                <c:pt idx="1501">
                  <c:v>51800</c:v>
                </c:pt>
                <c:pt idx="1502">
                  <c:v>58600</c:v>
                </c:pt>
                <c:pt idx="1503">
                  <c:v>97800</c:v>
                </c:pt>
                <c:pt idx="1504">
                  <c:v>133000</c:v>
                </c:pt>
                <c:pt idx="1505">
                  <c:v>63800</c:v>
                </c:pt>
                <c:pt idx="1506">
                  <c:v>54100</c:v>
                </c:pt>
                <c:pt idx="1507">
                  <c:v>78000</c:v>
                </c:pt>
                <c:pt idx="1508">
                  <c:v>68900</c:v>
                </c:pt>
                <c:pt idx="1509">
                  <c:v>110300</c:v>
                </c:pt>
                <c:pt idx="1510">
                  <c:v>133300</c:v>
                </c:pt>
                <c:pt idx="1511">
                  <c:v>68100</c:v>
                </c:pt>
                <c:pt idx="1512">
                  <c:v>81000</c:v>
                </c:pt>
                <c:pt idx="1513">
                  <c:v>48700</c:v>
                </c:pt>
                <c:pt idx="1514">
                  <c:v>54400</c:v>
                </c:pt>
                <c:pt idx="1515">
                  <c:v>51000</c:v>
                </c:pt>
                <c:pt idx="1516">
                  <c:v>49800</c:v>
                </c:pt>
                <c:pt idx="1517">
                  <c:v>85100</c:v>
                </c:pt>
                <c:pt idx="1518">
                  <c:v>80200</c:v>
                </c:pt>
                <c:pt idx="1519">
                  <c:v>69600</c:v>
                </c:pt>
                <c:pt idx="1520">
                  <c:v>60300</c:v>
                </c:pt>
                <c:pt idx="1521">
                  <c:v>78100</c:v>
                </c:pt>
                <c:pt idx="1522">
                  <c:v>67600</c:v>
                </c:pt>
                <c:pt idx="1523">
                  <c:v>78000</c:v>
                </c:pt>
                <c:pt idx="1524">
                  <c:v>120500</c:v>
                </c:pt>
                <c:pt idx="1525">
                  <c:v>93300</c:v>
                </c:pt>
                <c:pt idx="1526">
                  <c:v>66300</c:v>
                </c:pt>
                <c:pt idx="1527">
                  <c:v>82700</c:v>
                </c:pt>
                <c:pt idx="1528">
                  <c:v>59800</c:v>
                </c:pt>
                <c:pt idx="1529">
                  <c:v>78700</c:v>
                </c:pt>
                <c:pt idx="1530">
                  <c:v>58900</c:v>
                </c:pt>
                <c:pt idx="1531">
                  <c:v>114800</c:v>
                </c:pt>
                <c:pt idx="1532">
                  <c:v>56900</c:v>
                </c:pt>
                <c:pt idx="1533">
                  <c:v>102200</c:v>
                </c:pt>
                <c:pt idx="1534">
                  <c:v>51700</c:v>
                </c:pt>
                <c:pt idx="1535">
                  <c:v>60800</c:v>
                </c:pt>
                <c:pt idx="1536">
                  <c:v>50600</c:v>
                </c:pt>
                <c:pt idx="1537">
                  <c:v>59600</c:v>
                </c:pt>
                <c:pt idx="1538">
                  <c:v>48300</c:v>
                </c:pt>
                <c:pt idx="1539">
                  <c:v>55600</c:v>
                </c:pt>
                <c:pt idx="1540">
                  <c:v>61000</c:v>
                </c:pt>
                <c:pt idx="1541">
                  <c:v>53600</c:v>
                </c:pt>
                <c:pt idx="1542">
                  <c:v>54500</c:v>
                </c:pt>
                <c:pt idx="1543">
                  <c:v>47700</c:v>
                </c:pt>
                <c:pt idx="1544">
                  <c:v>52700</c:v>
                </c:pt>
                <c:pt idx="1545">
                  <c:v>80800</c:v>
                </c:pt>
                <c:pt idx="1546">
                  <c:v>66700</c:v>
                </c:pt>
                <c:pt idx="1547">
                  <c:v>59500</c:v>
                </c:pt>
                <c:pt idx="1548">
                  <c:v>59300</c:v>
                </c:pt>
                <c:pt idx="1549">
                  <c:v>52800</c:v>
                </c:pt>
                <c:pt idx="1550">
                  <c:v>51400</c:v>
                </c:pt>
                <c:pt idx="1551">
                  <c:v>80300</c:v>
                </c:pt>
                <c:pt idx="1552">
                  <c:v>52400</c:v>
                </c:pt>
                <c:pt idx="1553">
                  <c:v>78900</c:v>
                </c:pt>
                <c:pt idx="1554">
                  <c:v>114900</c:v>
                </c:pt>
                <c:pt idx="1555">
                  <c:v>67900</c:v>
                </c:pt>
                <c:pt idx="1556">
                  <c:v>117300</c:v>
                </c:pt>
                <c:pt idx="1557">
                  <c:v>65200</c:v>
                </c:pt>
                <c:pt idx="1558">
                  <c:v>56000</c:v>
                </c:pt>
                <c:pt idx="1559">
                  <c:v>59800</c:v>
                </c:pt>
                <c:pt idx="1560">
                  <c:v>46300</c:v>
                </c:pt>
                <c:pt idx="1561">
                  <c:v>106100</c:v>
                </c:pt>
                <c:pt idx="1562">
                  <c:v>77800</c:v>
                </c:pt>
                <c:pt idx="1563">
                  <c:v>61700</c:v>
                </c:pt>
                <c:pt idx="1564">
                  <c:v>60200</c:v>
                </c:pt>
                <c:pt idx="1565">
                  <c:v>52900</c:v>
                </c:pt>
                <c:pt idx="1566">
                  <c:v>59300</c:v>
                </c:pt>
                <c:pt idx="1567">
                  <c:v>51200</c:v>
                </c:pt>
                <c:pt idx="1568">
                  <c:v>55500</c:v>
                </c:pt>
                <c:pt idx="1569">
                  <c:v>67000</c:v>
                </c:pt>
                <c:pt idx="1570">
                  <c:v>128700</c:v>
                </c:pt>
                <c:pt idx="1571">
                  <c:v>109700</c:v>
                </c:pt>
                <c:pt idx="1572">
                  <c:v>110300</c:v>
                </c:pt>
                <c:pt idx="1573">
                  <c:v>58800</c:v>
                </c:pt>
                <c:pt idx="1574">
                  <c:v>54500</c:v>
                </c:pt>
                <c:pt idx="1575">
                  <c:v>54800</c:v>
                </c:pt>
                <c:pt idx="1576">
                  <c:v>49800</c:v>
                </c:pt>
                <c:pt idx="1577">
                  <c:v>48400</c:v>
                </c:pt>
                <c:pt idx="1578">
                  <c:v>56500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63-41A6-92C5-F25F825D8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04648"/>
        <c:axId val="1064308232"/>
      </c:scatterChart>
      <c:valAx>
        <c:axId val="1064304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Mileage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308232"/>
        <c:crosses val="autoZero"/>
        <c:crossBetween val="midCat"/>
      </c:valAx>
      <c:valAx>
        <c:axId val="106430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Sold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304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123825</xdr:rowOff>
    </xdr:from>
    <xdr:to>
      <xdr:col>13</xdr:col>
      <xdr:colOff>533400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0EEB4-4EE9-17DF-44C2-4AB005C5F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2</xdr:row>
      <xdr:rowOff>171450</xdr:rowOff>
    </xdr:from>
    <xdr:to>
      <xdr:col>13</xdr:col>
      <xdr:colOff>457200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94AFD8-09E1-63AC-C408-67C2FBE9E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2</xdr:row>
      <xdr:rowOff>66675</xdr:rowOff>
    </xdr:from>
    <xdr:to>
      <xdr:col>12</xdr:col>
      <xdr:colOff>285750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5DCA0C-B6F7-4A7B-A070-45108894ECB6}"/>
            </a:ext>
            <a:ext uri="{147F2762-F138-4A5C-976F-8EAC2B608ADB}">
              <a16:predDERef xmlns:a16="http://schemas.microsoft.com/office/drawing/2014/main" pred="{16B932D5-3AB4-44A6-8D9F-A798A1F67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5.624881597221" createdVersion="8" refreshedVersion="8" minRefreshableVersion="3" recordCount="7" xr:uid="{A6AC8677-49E4-45E2-ACF1-FC59D709C6A5}">
  <cacheSource type="worksheet">
    <worksheetSource name="Table2"/>
  </cacheSource>
  <cacheFields count="3">
    <cacheField name="Year" numFmtId="49">
      <sharedItems containsSemiMixedTypes="0" containsString="0" containsNumber="1" containsInteger="1" minValue="2016" maxValue="2022" count="7">
        <n v="2016"/>
        <n v="2017"/>
        <n v="2018"/>
        <n v="2019"/>
        <n v="2020"/>
        <n v="2021"/>
        <n v="2022"/>
      </sharedItems>
    </cacheField>
    <cacheField name="Number of Vehicles" numFmtId="0">
      <sharedItems containsSemiMixedTypes="0" containsString="0" containsNumber="1" containsInteger="1" minValue="9" maxValue="553"/>
    </cacheField>
    <cacheField name="Mean Sold Price ($)" numFmtId="2">
      <sharedItems containsSemiMixedTypes="0" containsString="0" containsNumber="1" minValue="58598.010849909588" maxValue="97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9"/>
    <n v="70922.222222222219"/>
  </r>
  <r>
    <x v="1"/>
    <n v="44"/>
    <n v="76513.636363636368"/>
  </r>
  <r>
    <x v="2"/>
    <n v="277"/>
    <n v="63366.787003610109"/>
  </r>
  <r>
    <x v="3"/>
    <n v="553"/>
    <n v="58598.010849909588"/>
  </r>
  <r>
    <x v="4"/>
    <n v="339"/>
    <n v="67399.410029498526"/>
  </r>
  <r>
    <x v="5"/>
    <n v="289"/>
    <n v="84968.858131487883"/>
  </r>
  <r>
    <x v="6"/>
    <n v="67"/>
    <n v="97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ABA0F-32BC-4FDC-A00F-45B8B61436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D13:E21" firstHeaderRow="1" firstDataRow="1" firstDataCol="1"/>
  <pivotFields count="3">
    <pivotField axis="axisRow" compact="0" numFmtId="49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dataField="1" compact="0" numFmtId="2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ean Sold Price ($)" fld="2" baseField="0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E2EC6-15D1-4711-BDF7-9F5E636268F3}" name="Table1" displayName="Table1" ref="A1:U1580" totalsRowShown="0">
  <autoFilter ref="A1:U1580" xr:uid="{082E2EC6-15D1-4711-BDF7-9F5E636268F3}"/>
  <tableColumns count="21">
    <tableColumn id="1" xr3:uid="{B303DD3D-DFC4-4155-960D-BF5EA9B2D6F4}" name="vin"/>
    <tableColumn id="2" xr3:uid="{CE4305B3-5612-415A-A504-7E179A74676C}" name="year"/>
    <tableColumn id="3" xr3:uid="{1AA8C84C-6AFC-4E97-847E-FB183F701BFE}" name="model"/>
    <tableColumn id="4" xr3:uid="{E0A9DE88-1473-4567-BFC2-8FC5D07D9762}" name="color"/>
    <tableColumn id="5" xr3:uid="{763F2C30-A6B3-4A5D-A7DA-68D29276162F}" name="miles"/>
    <tableColumn id="6" xr3:uid="{9D213445-7ED8-4D43-986E-718F62887C0F}" name="trim"/>
    <tableColumn id="7" xr3:uid="{6C1ED4D7-B7C5-441F-9FE9-27F77D327A3F}" name="sold_price"/>
    <tableColumn id="8" xr3:uid="{A93BA384-18D3-49BB-9ED2-2803194C5B7D}" name="interior"/>
    <tableColumn id="9" xr3:uid="{D75664EB-7D46-4F3B-84A8-F46203EC8A2D}" name="wheels"/>
    <tableColumn id="10" xr3:uid="{1DA0ABEB-A5EE-4D08-BE24-1A64B3AA85C3}" name="features"/>
    <tableColumn id="11" xr3:uid="{CAEAE962-6809-4F79-9E87-D77655AF1585}" name="country"/>
    <tableColumn id="12" xr3:uid="{F040A186-B146-410A-A458-D876183C0EA0}" name="location"/>
    <tableColumn id="13" xr3:uid="{AF190BB1-0E47-4597-BD2D-ADA2A4819100}" name="metro"/>
    <tableColumn id="14" xr3:uid="{0A5F6D14-76E3-44A4-B8D6-4C840967DEF7}" name="state"/>
    <tableColumn id="15" xr3:uid="{9D20DBD6-85FA-4C61-8832-9C1FFA5C320E}" name="currency"/>
    <tableColumn id="16" xr3:uid="{972AA58E-1757-4C9F-A744-A96C0BE2C878}" name="sold_date" dataDxfId="8"/>
    <tableColumn id="17" xr3:uid="{84B16BDC-58FF-4D0F-9F94-964C2ED65981}" name="model_ms" dataDxfId="4">
      <calculatedColumnFormula>--(C2="ms")</calculatedColumnFormula>
    </tableColumn>
    <tableColumn id="18" xr3:uid="{BCACE4E2-7F97-42A5-908A-1D52B15B3216}" name="model_mx" dataDxfId="3">
      <calculatedColumnFormula>--(C2="mx")</calculatedColumnFormula>
    </tableColumn>
    <tableColumn id="19" xr3:uid="{C7B18A76-FC15-445E-90C5-0487F19CE86D}" name="model_my" dataDxfId="2">
      <calculatedColumnFormula>--(C2="my")</calculatedColumnFormula>
    </tableColumn>
    <tableColumn id="21" xr3:uid="{21A8AAA5-6393-46A9-96EC-169F6B516F77}" name="YEAR2" dataDxfId="1">
      <calculatedColumnFormula>B2</calculatedColumnFormula>
    </tableColumn>
    <tableColumn id="22" xr3:uid="{C7015ABA-A61B-40A0-86AC-3758339CE825}" name="MILES2" dataDxfId="0">
      <calculatedColumnFormula>E2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66C1EC-8047-444C-A306-FB49EE636E13}" name="Table3" displayName="Table3" ref="A9:E13" totalsRowShown="0">
  <autoFilter ref="A9:E13" xr:uid="{A766C1EC-8047-444C-A306-FB49EE636E13}"/>
  <tableColumns count="5">
    <tableColumn id="1" xr3:uid="{454E4E14-28FA-4E84-8F24-3F071E2F57D0}" name="Model"/>
    <tableColumn id="2" xr3:uid="{44DDBA50-0D0E-4CE2-ADC3-87ADD01A0CD2}" name="Number of Vehicles"/>
    <tableColumn id="3" xr3:uid="{2B956BDF-92BA-4E20-9CF2-BD882C26388B}" name="Mean Sold Price ($)"/>
    <tableColumn id="4" xr3:uid="{7F12699A-A5A7-4C78-A82D-778964E1AB5D}" name="Median Sold Price ($)"/>
    <tableColumn id="5" xr3:uid="{AB455E8C-1646-4AC3-83A3-7CA4ABAAE36C}" name="Standard Deviation ($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0A12EF-5075-489B-A042-7475CA702823}" name="Table2" displayName="Table2" ref="C3:E10" totalsRowShown="0" headerRowDxfId="7">
  <autoFilter ref="C3:E10" xr:uid="{4D0A12EF-5075-489B-A042-7475CA702823}"/>
  <tableColumns count="3">
    <tableColumn id="1" xr3:uid="{2362D4CC-94DF-455B-AC50-98456FFD59DB}" name="Year" dataDxfId="6"/>
    <tableColumn id="2" xr3:uid="{09BBB7A6-E991-4DA9-B1F9-1B9337A1F05A}" name="Number of Vehicles"/>
    <tableColumn id="3" xr3:uid="{13C303F9-5F66-418F-B0FD-C01B3D0E4D87}" name="Mean Sold Price ($)" dataDxfId="5">
      <calculatedColumnFormula>AVERAGEIFS(Table1[sold_price],Table1[year],C4)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76427C-00DE-4FEB-9F48-0382C11F0637}" name="Table4" displayName="Table4" ref="A1:D4" totalsRowShown="0" headerRowDxfId="9">
  <autoFilter ref="A1:D4" xr:uid="{5E76427C-00DE-4FEB-9F48-0382C11F0637}"/>
  <tableColumns count="4">
    <tableColumn id="1" xr3:uid="{CBA6E32E-87D0-41D2-B3F4-F0EE6C6F7014}" name="Variable 1"/>
    <tableColumn id="2" xr3:uid="{E57C626F-4824-48EC-8E45-E992EFEC7344}" name="Variable 2"/>
    <tableColumn id="3" xr3:uid="{9287339E-26E2-4A5F-83B5-0D60B4E44D2A}" name="Pearson Correlation"/>
    <tableColumn id="4" xr3:uid="{F23FB59A-50A9-427A-99FB-3B87D87B9F71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EAE3-F368-4C9D-B925-2E8950AC4365}">
  <dimension ref="A1:U1580"/>
  <sheetViews>
    <sheetView topLeftCell="A1556" workbookViewId="0">
      <selection activeCell="U3" sqref="U3"/>
    </sheetView>
  </sheetViews>
  <sheetFormatPr defaultRowHeight="14.4" x14ac:dyDescent="0.3"/>
  <cols>
    <col min="1" max="1" width="20.6640625" bestFit="1" customWidth="1"/>
    <col min="2" max="2" width="15.44140625" customWidth="1"/>
    <col min="3" max="3" width="15.5546875" customWidth="1"/>
    <col min="6" max="6" width="30.6640625" bestFit="1" customWidth="1"/>
    <col min="7" max="7" width="16.44140625" customWidth="1"/>
    <col min="8" max="9" width="22.109375" customWidth="1"/>
    <col min="10" max="10" width="173.88671875" customWidth="1"/>
    <col min="11" max="11" width="10.33203125" bestFit="1" customWidth="1"/>
    <col min="12" max="12" width="22.109375" bestFit="1" customWidth="1"/>
    <col min="13" max="13" width="23" bestFit="1" customWidth="1"/>
    <col min="15" max="15" width="11.109375" bestFit="1" customWidth="1"/>
    <col min="16" max="16" width="12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2349</v>
      </c>
      <c r="R1" t="s">
        <v>2350</v>
      </c>
      <c r="S1" t="s">
        <v>2351</v>
      </c>
      <c r="T1" t="s">
        <v>2352</v>
      </c>
      <c r="U1" t="s">
        <v>2353</v>
      </c>
    </row>
    <row r="2" spans="1:21" x14ac:dyDescent="0.3">
      <c r="A2" t="s">
        <v>16</v>
      </c>
      <c r="B2">
        <v>2018</v>
      </c>
      <c r="C2" t="s">
        <v>17</v>
      </c>
      <c r="D2" t="s">
        <v>18</v>
      </c>
      <c r="E2">
        <v>16901</v>
      </c>
      <c r="F2" t="s">
        <v>19</v>
      </c>
      <c r="G2">
        <v>77600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s="1">
        <v>44804</v>
      </c>
      <c r="Q2">
        <f t="shared" ref="Q2:Q65" si="0">--(C2="ms")</f>
        <v>0</v>
      </c>
      <c r="R2">
        <f t="shared" ref="R2:R65" si="1">--(C2="mx")</f>
        <v>0</v>
      </c>
      <c r="S2">
        <f t="shared" ref="S2:S65" si="2">--(C2="my")</f>
        <v>1</v>
      </c>
      <c r="T2" s="11">
        <f t="shared" ref="T2:T65" si="3">B2</f>
        <v>2018</v>
      </c>
      <c r="U2" s="11">
        <f t="shared" ref="U2:U65" si="4">E2</f>
        <v>16901</v>
      </c>
    </row>
    <row r="3" spans="1:21" x14ac:dyDescent="0.3">
      <c r="A3" t="s">
        <v>28</v>
      </c>
      <c r="B3">
        <v>2020</v>
      </c>
      <c r="C3" t="s">
        <v>29</v>
      </c>
      <c r="D3" t="s">
        <v>30</v>
      </c>
      <c r="E3">
        <v>24778</v>
      </c>
      <c r="F3" t="s">
        <v>31</v>
      </c>
      <c r="G3">
        <v>111200</v>
      </c>
      <c r="H3" t="s">
        <v>32</v>
      </c>
      <c r="I3" t="s">
        <v>21</v>
      </c>
      <c r="J3" t="s">
        <v>33</v>
      </c>
      <c r="K3" t="s">
        <v>23</v>
      </c>
      <c r="L3" t="s">
        <v>34</v>
      </c>
      <c r="N3" t="s">
        <v>35</v>
      </c>
      <c r="O3" t="s">
        <v>27</v>
      </c>
      <c r="P3" s="1">
        <v>44804</v>
      </c>
      <c r="Q3">
        <f t="shared" si="0"/>
        <v>0</v>
      </c>
      <c r="R3">
        <f>--(C3="mx")</f>
        <v>1</v>
      </c>
      <c r="S3">
        <f t="shared" si="2"/>
        <v>0</v>
      </c>
      <c r="T3" s="11">
        <f t="shared" si="3"/>
        <v>2020</v>
      </c>
      <c r="U3" s="11">
        <f t="shared" si="4"/>
        <v>24778</v>
      </c>
    </row>
    <row r="4" spans="1:21" x14ac:dyDescent="0.3">
      <c r="A4" t="s">
        <v>36</v>
      </c>
      <c r="B4">
        <v>2019</v>
      </c>
      <c r="C4" t="s">
        <v>37</v>
      </c>
      <c r="D4" t="s">
        <v>32</v>
      </c>
      <c r="E4">
        <v>35989</v>
      </c>
      <c r="F4" t="s">
        <v>38</v>
      </c>
      <c r="G4">
        <v>77100</v>
      </c>
      <c r="H4" t="s">
        <v>32</v>
      </c>
      <c r="I4" t="s">
        <v>39</v>
      </c>
      <c r="J4" t="s">
        <v>40</v>
      </c>
      <c r="K4" t="s">
        <v>23</v>
      </c>
      <c r="L4" t="s">
        <v>41</v>
      </c>
      <c r="M4" t="s">
        <v>42</v>
      </c>
      <c r="N4" t="s">
        <v>26</v>
      </c>
      <c r="O4" t="s">
        <v>27</v>
      </c>
      <c r="P4" s="1">
        <v>44804</v>
      </c>
      <c r="Q4">
        <f t="shared" si="0"/>
        <v>1</v>
      </c>
      <c r="R4">
        <f t="shared" si="1"/>
        <v>0</v>
      </c>
      <c r="S4">
        <f t="shared" si="2"/>
        <v>0</v>
      </c>
      <c r="T4" s="11">
        <f t="shared" si="3"/>
        <v>2019</v>
      </c>
      <c r="U4" s="11">
        <f t="shared" si="4"/>
        <v>35989</v>
      </c>
    </row>
    <row r="5" spans="1:21" x14ac:dyDescent="0.3">
      <c r="A5" t="s">
        <v>43</v>
      </c>
      <c r="B5">
        <v>2019</v>
      </c>
      <c r="C5" t="s">
        <v>29</v>
      </c>
      <c r="D5" t="s">
        <v>32</v>
      </c>
      <c r="E5">
        <v>60508</v>
      </c>
      <c r="F5" t="s">
        <v>44</v>
      </c>
      <c r="G5">
        <v>91000</v>
      </c>
      <c r="H5" t="s">
        <v>45</v>
      </c>
      <c r="I5" t="s">
        <v>21</v>
      </c>
      <c r="J5" t="s">
        <v>46</v>
      </c>
      <c r="K5" t="s">
        <v>23</v>
      </c>
      <c r="L5" t="s">
        <v>47</v>
      </c>
      <c r="M5" t="s">
        <v>48</v>
      </c>
      <c r="N5" t="s">
        <v>49</v>
      </c>
      <c r="O5" t="s">
        <v>27</v>
      </c>
      <c r="P5" s="1">
        <v>44804</v>
      </c>
      <c r="Q5">
        <f t="shared" si="0"/>
        <v>0</v>
      </c>
      <c r="R5">
        <f t="shared" si="1"/>
        <v>1</v>
      </c>
      <c r="S5">
        <f t="shared" si="2"/>
        <v>0</v>
      </c>
      <c r="T5" s="11">
        <f t="shared" si="3"/>
        <v>2019</v>
      </c>
      <c r="U5" s="11">
        <f t="shared" si="4"/>
        <v>60508</v>
      </c>
    </row>
    <row r="6" spans="1:21" x14ac:dyDescent="0.3">
      <c r="A6" t="s">
        <v>50</v>
      </c>
      <c r="B6">
        <v>2018</v>
      </c>
      <c r="C6" t="s">
        <v>29</v>
      </c>
      <c r="D6" t="s">
        <v>51</v>
      </c>
      <c r="E6">
        <v>42565</v>
      </c>
      <c r="F6" t="s">
        <v>52</v>
      </c>
      <c r="G6">
        <v>88400</v>
      </c>
      <c r="H6" t="s">
        <v>53</v>
      </c>
      <c r="I6" t="s">
        <v>21</v>
      </c>
      <c r="J6" t="s">
        <v>54</v>
      </c>
      <c r="K6" t="s">
        <v>23</v>
      </c>
      <c r="L6" t="s">
        <v>34</v>
      </c>
      <c r="N6" t="s">
        <v>35</v>
      </c>
      <c r="O6" t="s">
        <v>27</v>
      </c>
      <c r="P6" s="1">
        <v>44804</v>
      </c>
      <c r="Q6">
        <f t="shared" si="0"/>
        <v>0</v>
      </c>
      <c r="R6">
        <f t="shared" si="1"/>
        <v>1</v>
      </c>
      <c r="S6">
        <f t="shared" si="2"/>
        <v>0</v>
      </c>
      <c r="T6" s="11">
        <f t="shared" si="3"/>
        <v>2018</v>
      </c>
      <c r="U6" s="11">
        <f t="shared" si="4"/>
        <v>42565</v>
      </c>
    </row>
    <row r="7" spans="1:21" x14ac:dyDescent="0.3">
      <c r="A7" t="s">
        <v>55</v>
      </c>
      <c r="B7">
        <v>2019</v>
      </c>
      <c r="C7" t="s">
        <v>56</v>
      </c>
      <c r="D7" t="s">
        <v>53</v>
      </c>
      <c r="E7">
        <v>10879</v>
      </c>
      <c r="F7" t="s">
        <v>57</v>
      </c>
      <c r="G7">
        <v>58800</v>
      </c>
      <c r="H7" t="s">
        <v>20</v>
      </c>
      <c r="I7" t="s">
        <v>58</v>
      </c>
      <c r="J7" t="s">
        <v>59</v>
      </c>
      <c r="K7" t="s">
        <v>23</v>
      </c>
      <c r="L7" t="s">
        <v>60</v>
      </c>
      <c r="M7" t="s">
        <v>48</v>
      </c>
      <c r="N7" t="s">
        <v>49</v>
      </c>
      <c r="O7" t="s">
        <v>27</v>
      </c>
      <c r="P7" s="1">
        <v>44804</v>
      </c>
      <c r="Q7">
        <f t="shared" si="0"/>
        <v>0</v>
      </c>
      <c r="R7">
        <f t="shared" si="1"/>
        <v>0</v>
      </c>
      <c r="S7">
        <f t="shared" si="2"/>
        <v>0</v>
      </c>
      <c r="T7" s="11">
        <f t="shared" si="3"/>
        <v>2019</v>
      </c>
      <c r="U7" s="11">
        <f t="shared" si="4"/>
        <v>10879</v>
      </c>
    </row>
    <row r="8" spans="1:21" x14ac:dyDescent="0.3">
      <c r="A8" t="s">
        <v>61</v>
      </c>
      <c r="B8">
        <v>2019</v>
      </c>
      <c r="C8" t="s">
        <v>29</v>
      </c>
      <c r="D8" t="s">
        <v>53</v>
      </c>
      <c r="E8">
        <v>45004</v>
      </c>
      <c r="F8" t="s">
        <v>44</v>
      </c>
      <c r="G8">
        <v>86300</v>
      </c>
      <c r="H8" t="s">
        <v>32</v>
      </c>
      <c r="I8" t="s">
        <v>21</v>
      </c>
      <c r="J8" t="s">
        <v>62</v>
      </c>
      <c r="K8" t="s">
        <v>23</v>
      </c>
      <c r="N8" t="s">
        <v>63</v>
      </c>
      <c r="O8" t="s">
        <v>27</v>
      </c>
      <c r="P8" s="1">
        <v>44804</v>
      </c>
      <c r="Q8">
        <f t="shared" si="0"/>
        <v>0</v>
      </c>
      <c r="R8">
        <f t="shared" si="1"/>
        <v>1</v>
      </c>
      <c r="S8">
        <f t="shared" si="2"/>
        <v>0</v>
      </c>
      <c r="T8" s="11">
        <f t="shared" si="3"/>
        <v>2019</v>
      </c>
      <c r="U8" s="11">
        <f t="shared" si="4"/>
        <v>45004</v>
      </c>
    </row>
    <row r="9" spans="1:21" x14ac:dyDescent="0.3">
      <c r="A9" t="s">
        <v>64</v>
      </c>
      <c r="B9">
        <v>2019</v>
      </c>
      <c r="C9" t="s">
        <v>56</v>
      </c>
      <c r="D9" t="s">
        <v>53</v>
      </c>
      <c r="E9">
        <v>31991</v>
      </c>
      <c r="F9" t="s">
        <v>65</v>
      </c>
      <c r="G9">
        <v>44300</v>
      </c>
      <c r="H9" t="s">
        <v>20</v>
      </c>
      <c r="I9" t="s">
        <v>58</v>
      </c>
      <c r="J9" t="s">
        <v>66</v>
      </c>
      <c r="K9" t="s">
        <v>23</v>
      </c>
      <c r="L9" t="s">
        <v>67</v>
      </c>
      <c r="M9" t="s">
        <v>68</v>
      </c>
      <c r="N9" t="s">
        <v>69</v>
      </c>
      <c r="O9" t="s">
        <v>27</v>
      </c>
      <c r="P9" s="1">
        <v>44804</v>
      </c>
      <c r="Q9">
        <f t="shared" si="0"/>
        <v>0</v>
      </c>
      <c r="R9">
        <f t="shared" si="1"/>
        <v>0</v>
      </c>
      <c r="S9">
        <f t="shared" si="2"/>
        <v>0</v>
      </c>
      <c r="T9" s="11">
        <f t="shared" si="3"/>
        <v>2019</v>
      </c>
      <c r="U9" s="11">
        <f t="shared" si="4"/>
        <v>31991</v>
      </c>
    </row>
    <row r="10" spans="1:21" x14ac:dyDescent="0.3">
      <c r="A10" t="s">
        <v>70</v>
      </c>
      <c r="B10">
        <v>2019</v>
      </c>
      <c r="C10" t="s">
        <v>56</v>
      </c>
      <c r="D10" t="s">
        <v>32</v>
      </c>
      <c r="E10">
        <v>17252</v>
      </c>
      <c r="F10" t="s">
        <v>71</v>
      </c>
      <c r="G10">
        <v>59400</v>
      </c>
      <c r="H10" t="s">
        <v>20</v>
      </c>
      <c r="I10" t="s">
        <v>21</v>
      </c>
      <c r="J10" t="s">
        <v>72</v>
      </c>
      <c r="K10" t="s">
        <v>23</v>
      </c>
      <c r="L10" t="s">
        <v>47</v>
      </c>
      <c r="M10" t="s">
        <v>48</v>
      </c>
      <c r="N10" t="s">
        <v>49</v>
      </c>
      <c r="O10" t="s">
        <v>27</v>
      </c>
      <c r="P10" s="1">
        <v>44804</v>
      </c>
      <c r="Q10">
        <f t="shared" si="0"/>
        <v>0</v>
      </c>
      <c r="R10">
        <f t="shared" si="1"/>
        <v>0</v>
      </c>
      <c r="S10">
        <f t="shared" si="2"/>
        <v>0</v>
      </c>
      <c r="T10" s="11">
        <f t="shared" si="3"/>
        <v>2019</v>
      </c>
      <c r="U10" s="11">
        <f t="shared" si="4"/>
        <v>17252</v>
      </c>
    </row>
    <row r="11" spans="1:21" x14ac:dyDescent="0.3">
      <c r="A11" t="s">
        <v>73</v>
      </c>
      <c r="B11">
        <v>2019</v>
      </c>
      <c r="C11" t="s">
        <v>37</v>
      </c>
      <c r="D11" t="s">
        <v>51</v>
      </c>
      <c r="E11">
        <v>27135</v>
      </c>
      <c r="F11" t="s">
        <v>52</v>
      </c>
      <c r="G11">
        <v>86700</v>
      </c>
      <c r="H11" t="s">
        <v>53</v>
      </c>
      <c r="I11" t="s">
        <v>39</v>
      </c>
      <c r="J11" t="s">
        <v>74</v>
      </c>
      <c r="K11" t="s">
        <v>23</v>
      </c>
      <c r="L11" t="s">
        <v>34</v>
      </c>
      <c r="N11" t="s">
        <v>35</v>
      </c>
      <c r="O11" t="s">
        <v>27</v>
      </c>
      <c r="P11" s="1">
        <v>44804</v>
      </c>
      <c r="Q11">
        <f t="shared" si="0"/>
        <v>1</v>
      </c>
      <c r="R11">
        <f t="shared" si="1"/>
        <v>0</v>
      </c>
      <c r="S11">
        <f t="shared" si="2"/>
        <v>0</v>
      </c>
      <c r="T11" s="11">
        <f t="shared" si="3"/>
        <v>2019</v>
      </c>
      <c r="U11" s="11">
        <f t="shared" si="4"/>
        <v>27135</v>
      </c>
    </row>
    <row r="12" spans="1:21" x14ac:dyDescent="0.3">
      <c r="A12" t="s">
        <v>75</v>
      </c>
      <c r="B12">
        <v>2019</v>
      </c>
      <c r="C12" t="s">
        <v>56</v>
      </c>
      <c r="D12" t="s">
        <v>76</v>
      </c>
      <c r="E12">
        <v>5352</v>
      </c>
      <c r="F12" t="s">
        <v>65</v>
      </c>
      <c r="G12">
        <v>53600</v>
      </c>
      <c r="H12" t="s">
        <v>77</v>
      </c>
      <c r="I12" t="s">
        <v>78</v>
      </c>
      <c r="J12" t="s">
        <v>79</v>
      </c>
      <c r="K12" t="s">
        <v>23</v>
      </c>
      <c r="L12" t="s">
        <v>34</v>
      </c>
      <c r="N12" t="s">
        <v>35</v>
      </c>
      <c r="O12" t="s">
        <v>27</v>
      </c>
      <c r="P12" s="1">
        <v>44804</v>
      </c>
      <c r="Q12">
        <f t="shared" si="0"/>
        <v>0</v>
      </c>
      <c r="R12">
        <f t="shared" si="1"/>
        <v>0</v>
      </c>
      <c r="S12">
        <f t="shared" si="2"/>
        <v>0</v>
      </c>
      <c r="T12" s="11">
        <f t="shared" si="3"/>
        <v>2019</v>
      </c>
      <c r="U12" s="11">
        <f t="shared" si="4"/>
        <v>5352</v>
      </c>
    </row>
    <row r="13" spans="1:21" x14ac:dyDescent="0.3">
      <c r="A13" t="s">
        <v>80</v>
      </c>
      <c r="B13">
        <v>2020</v>
      </c>
      <c r="C13" t="s">
        <v>37</v>
      </c>
      <c r="D13" t="s">
        <v>51</v>
      </c>
      <c r="E13">
        <v>30553</v>
      </c>
      <c r="F13" t="s">
        <v>38</v>
      </c>
      <c r="G13">
        <v>81200</v>
      </c>
      <c r="H13" t="s">
        <v>53</v>
      </c>
      <c r="I13" t="s">
        <v>39</v>
      </c>
      <c r="J13" t="s">
        <v>81</v>
      </c>
      <c r="K13" t="s">
        <v>23</v>
      </c>
      <c r="L13" t="s">
        <v>60</v>
      </c>
      <c r="M13" t="s">
        <v>48</v>
      </c>
      <c r="N13" t="s">
        <v>49</v>
      </c>
      <c r="O13" t="s">
        <v>27</v>
      </c>
      <c r="P13" s="1">
        <v>44804</v>
      </c>
      <c r="Q13">
        <f t="shared" si="0"/>
        <v>1</v>
      </c>
      <c r="R13">
        <f t="shared" si="1"/>
        <v>0</v>
      </c>
      <c r="S13">
        <f t="shared" si="2"/>
        <v>0</v>
      </c>
      <c r="T13" s="11">
        <f t="shared" si="3"/>
        <v>2020</v>
      </c>
      <c r="U13" s="11">
        <f t="shared" si="4"/>
        <v>30553</v>
      </c>
    </row>
    <row r="14" spans="1:21" x14ac:dyDescent="0.3">
      <c r="A14" t="s">
        <v>82</v>
      </c>
      <c r="B14">
        <v>2019</v>
      </c>
      <c r="C14" t="s">
        <v>56</v>
      </c>
      <c r="D14" t="s">
        <v>30</v>
      </c>
      <c r="E14">
        <v>25014</v>
      </c>
      <c r="F14" t="s">
        <v>65</v>
      </c>
      <c r="G14">
        <v>48900</v>
      </c>
      <c r="H14" t="s">
        <v>77</v>
      </c>
      <c r="I14" t="s">
        <v>78</v>
      </c>
      <c r="J14" t="s">
        <v>83</v>
      </c>
      <c r="K14" t="s">
        <v>23</v>
      </c>
      <c r="L14" t="s">
        <v>84</v>
      </c>
      <c r="M14" t="s">
        <v>48</v>
      </c>
      <c r="N14" t="s">
        <v>69</v>
      </c>
      <c r="O14" t="s">
        <v>27</v>
      </c>
      <c r="P14" s="1">
        <v>44804</v>
      </c>
      <c r="Q14">
        <f t="shared" si="0"/>
        <v>0</v>
      </c>
      <c r="R14">
        <f t="shared" si="1"/>
        <v>0</v>
      </c>
      <c r="S14">
        <f t="shared" si="2"/>
        <v>0</v>
      </c>
      <c r="T14" s="11">
        <f t="shared" si="3"/>
        <v>2019</v>
      </c>
      <c r="U14" s="11">
        <f t="shared" si="4"/>
        <v>25014</v>
      </c>
    </row>
    <row r="15" spans="1:21" x14ac:dyDescent="0.3">
      <c r="A15" t="s">
        <v>85</v>
      </c>
      <c r="B15">
        <v>2020</v>
      </c>
      <c r="C15" t="s">
        <v>56</v>
      </c>
      <c r="D15" t="s">
        <v>32</v>
      </c>
      <c r="E15">
        <v>27840</v>
      </c>
      <c r="F15" t="s">
        <v>57</v>
      </c>
      <c r="G15">
        <v>55500</v>
      </c>
      <c r="H15" t="s">
        <v>20</v>
      </c>
      <c r="I15" t="s">
        <v>78</v>
      </c>
      <c r="J15" t="s">
        <v>86</v>
      </c>
      <c r="K15" t="s">
        <v>23</v>
      </c>
      <c r="L15" t="s">
        <v>87</v>
      </c>
      <c r="M15" t="s">
        <v>88</v>
      </c>
      <c r="N15" t="s">
        <v>89</v>
      </c>
      <c r="O15" t="s">
        <v>27</v>
      </c>
      <c r="P15" s="1">
        <v>44804</v>
      </c>
      <c r="Q15">
        <f t="shared" si="0"/>
        <v>0</v>
      </c>
      <c r="R15">
        <f t="shared" si="1"/>
        <v>0</v>
      </c>
      <c r="S15">
        <f t="shared" si="2"/>
        <v>0</v>
      </c>
      <c r="T15" s="11">
        <f t="shared" si="3"/>
        <v>2020</v>
      </c>
      <c r="U15" s="11">
        <f t="shared" si="4"/>
        <v>27840</v>
      </c>
    </row>
    <row r="16" spans="1:21" x14ac:dyDescent="0.3">
      <c r="A16" t="s">
        <v>90</v>
      </c>
      <c r="B16">
        <v>2020</v>
      </c>
      <c r="C16" t="s">
        <v>56</v>
      </c>
      <c r="D16" t="s">
        <v>32</v>
      </c>
      <c r="E16">
        <v>4235</v>
      </c>
      <c r="F16" t="s">
        <v>65</v>
      </c>
      <c r="G16">
        <v>48700</v>
      </c>
      <c r="H16" t="s">
        <v>20</v>
      </c>
      <c r="I16" t="s">
        <v>58</v>
      </c>
      <c r="J16" t="s">
        <v>91</v>
      </c>
      <c r="K16" t="s">
        <v>23</v>
      </c>
      <c r="L16" t="s">
        <v>34</v>
      </c>
      <c r="N16" t="s">
        <v>35</v>
      </c>
      <c r="O16" t="s">
        <v>27</v>
      </c>
      <c r="P16" s="1">
        <v>44804</v>
      </c>
      <c r="Q16">
        <f t="shared" si="0"/>
        <v>0</v>
      </c>
      <c r="R16">
        <f t="shared" si="1"/>
        <v>0</v>
      </c>
      <c r="S16">
        <f t="shared" si="2"/>
        <v>0</v>
      </c>
      <c r="T16" s="11">
        <f t="shared" si="3"/>
        <v>2020</v>
      </c>
      <c r="U16" s="11">
        <f t="shared" si="4"/>
        <v>4235</v>
      </c>
    </row>
    <row r="17" spans="1:21" x14ac:dyDescent="0.3">
      <c r="A17" t="s">
        <v>92</v>
      </c>
      <c r="B17">
        <v>2019</v>
      </c>
      <c r="C17" t="s">
        <v>56</v>
      </c>
      <c r="D17" t="s">
        <v>93</v>
      </c>
      <c r="E17">
        <v>38982</v>
      </c>
      <c r="F17" t="s">
        <v>65</v>
      </c>
      <c r="G17">
        <v>46500</v>
      </c>
      <c r="H17" t="s">
        <v>77</v>
      </c>
      <c r="I17" t="s">
        <v>58</v>
      </c>
      <c r="J17" t="s">
        <v>94</v>
      </c>
      <c r="K17" t="s">
        <v>23</v>
      </c>
      <c r="L17" t="s">
        <v>95</v>
      </c>
      <c r="M17" t="s">
        <v>96</v>
      </c>
      <c r="N17" t="s">
        <v>89</v>
      </c>
      <c r="O17" t="s">
        <v>27</v>
      </c>
      <c r="P17" s="1">
        <v>44804</v>
      </c>
      <c r="Q17">
        <f t="shared" si="0"/>
        <v>0</v>
      </c>
      <c r="R17">
        <f t="shared" si="1"/>
        <v>0</v>
      </c>
      <c r="S17">
        <f t="shared" si="2"/>
        <v>0</v>
      </c>
      <c r="T17" s="11">
        <f t="shared" si="3"/>
        <v>2019</v>
      </c>
      <c r="U17" s="11">
        <f t="shared" si="4"/>
        <v>38982</v>
      </c>
    </row>
    <row r="18" spans="1:21" x14ac:dyDescent="0.3">
      <c r="A18" t="s">
        <v>97</v>
      </c>
      <c r="B18">
        <v>2020</v>
      </c>
      <c r="C18" t="s">
        <v>37</v>
      </c>
      <c r="D18" t="s">
        <v>30</v>
      </c>
      <c r="E18">
        <v>9349</v>
      </c>
      <c r="F18" t="s">
        <v>98</v>
      </c>
      <c r="G18">
        <v>97400</v>
      </c>
      <c r="H18" t="s">
        <v>45</v>
      </c>
      <c r="I18" t="s">
        <v>39</v>
      </c>
      <c r="J18" t="s">
        <v>99</v>
      </c>
      <c r="K18" t="s">
        <v>23</v>
      </c>
      <c r="L18" t="s">
        <v>100</v>
      </c>
      <c r="M18" t="s">
        <v>101</v>
      </c>
      <c r="N18" t="s">
        <v>102</v>
      </c>
      <c r="O18" t="s">
        <v>27</v>
      </c>
      <c r="P18" s="1">
        <v>44804</v>
      </c>
      <c r="Q18">
        <f t="shared" si="0"/>
        <v>1</v>
      </c>
      <c r="R18">
        <f t="shared" si="1"/>
        <v>0</v>
      </c>
      <c r="S18">
        <f t="shared" si="2"/>
        <v>0</v>
      </c>
      <c r="T18" s="11">
        <f t="shared" si="3"/>
        <v>2020</v>
      </c>
      <c r="U18" s="11">
        <f t="shared" si="4"/>
        <v>9349</v>
      </c>
    </row>
    <row r="19" spans="1:21" x14ac:dyDescent="0.3">
      <c r="A19" t="s">
        <v>103</v>
      </c>
      <c r="B19">
        <v>2017</v>
      </c>
      <c r="C19" t="s">
        <v>37</v>
      </c>
      <c r="D19" t="s">
        <v>18</v>
      </c>
      <c r="E19">
        <v>83927</v>
      </c>
      <c r="F19" t="s">
        <v>104</v>
      </c>
      <c r="G19">
        <v>56300</v>
      </c>
      <c r="H19" t="s">
        <v>105</v>
      </c>
      <c r="I19" t="s">
        <v>78</v>
      </c>
      <c r="J19" t="s">
        <v>106</v>
      </c>
      <c r="K19" t="s">
        <v>23</v>
      </c>
      <c r="L19" t="s">
        <v>95</v>
      </c>
      <c r="M19" t="s">
        <v>96</v>
      </c>
      <c r="N19" t="s">
        <v>89</v>
      </c>
      <c r="O19" t="s">
        <v>27</v>
      </c>
      <c r="P19" s="1">
        <v>44804</v>
      </c>
      <c r="Q19">
        <f t="shared" si="0"/>
        <v>1</v>
      </c>
      <c r="R19">
        <f t="shared" si="1"/>
        <v>0</v>
      </c>
      <c r="S19">
        <f t="shared" si="2"/>
        <v>0</v>
      </c>
      <c r="T19" s="11">
        <f t="shared" si="3"/>
        <v>2017</v>
      </c>
      <c r="U19" s="11">
        <f t="shared" si="4"/>
        <v>83927</v>
      </c>
    </row>
    <row r="20" spans="1:21" x14ac:dyDescent="0.3">
      <c r="A20" t="s">
        <v>107</v>
      </c>
      <c r="B20">
        <v>2020</v>
      </c>
      <c r="C20" t="s">
        <v>37</v>
      </c>
      <c r="D20" t="s">
        <v>51</v>
      </c>
      <c r="E20">
        <v>38822</v>
      </c>
      <c r="F20" t="s">
        <v>98</v>
      </c>
      <c r="G20">
        <v>90400</v>
      </c>
      <c r="H20" t="s">
        <v>32</v>
      </c>
      <c r="I20" t="s">
        <v>78</v>
      </c>
      <c r="J20" t="s">
        <v>108</v>
      </c>
      <c r="K20" t="s">
        <v>23</v>
      </c>
      <c r="L20" t="s">
        <v>95</v>
      </c>
      <c r="M20" t="s">
        <v>96</v>
      </c>
      <c r="N20" t="s">
        <v>89</v>
      </c>
      <c r="O20" t="s">
        <v>27</v>
      </c>
      <c r="P20" s="1">
        <v>44804</v>
      </c>
      <c r="Q20">
        <f t="shared" si="0"/>
        <v>1</v>
      </c>
      <c r="R20">
        <f t="shared" si="1"/>
        <v>0</v>
      </c>
      <c r="S20">
        <f t="shared" si="2"/>
        <v>0</v>
      </c>
      <c r="T20" s="11">
        <f t="shared" si="3"/>
        <v>2020</v>
      </c>
      <c r="U20" s="11">
        <f t="shared" si="4"/>
        <v>38822</v>
      </c>
    </row>
    <row r="21" spans="1:21" x14ac:dyDescent="0.3">
      <c r="A21" t="s">
        <v>109</v>
      </c>
      <c r="B21">
        <v>2019</v>
      </c>
      <c r="C21" t="s">
        <v>29</v>
      </c>
      <c r="D21" t="s">
        <v>32</v>
      </c>
      <c r="E21">
        <v>31976</v>
      </c>
      <c r="F21" t="s">
        <v>44</v>
      </c>
      <c r="G21">
        <v>94700</v>
      </c>
      <c r="H21" t="s">
        <v>32</v>
      </c>
      <c r="I21" t="s">
        <v>110</v>
      </c>
      <c r="J21" t="s">
        <v>111</v>
      </c>
      <c r="K21" t="s">
        <v>23</v>
      </c>
      <c r="L21" t="s">
        <v>112</v>
      </c>
      <c r="M21" t="s">
        <v>113</v>
      </c>
      <c r="N21" t="s">
        <v>114</v>
      </c>
      <c r="O21" t="s">
        <v>27</v>
      </c>
      <c r="P21" s="1">
        <v>44804</v>
      </c>
      <c r="Q21">
        <f t="shared" si="0"/>
        <v>0</v>
      </c>
      <c r="R21">
        <f t="shared" si="1"/>
        <v>1</v>
      </c>
      <c r="S21">
        <f t="shared" si="2"/>
        <v>0</v>
      </c>
      <c r="T21" s="11">
        <f t="shared" si="3"/>
        <v>2019</v>
      </c>
      <c r="U21" s="11">
        <f t="shared" si="4"/>
        <v>31976</v>
      </c>
    </row>
    <row r="22" spans="1:21" x14ac:dyDescent="0.3">
      <c r="A22" t="s">
        <v>115</v>
      </c>
      <c r="B22">
        <v>2018</v>
      </c>
      <c r="C22" t="s">
        <v>37</v>
      </c>
      <c r="D22" t="s">
        <v>76</v>
      </c>
      <c r="E22">
        <v>26516</v>
      </c>
      <c r="F22" t="s">
        <v>52</v>
      </c>
      <c r="G22">
        <v>74700</v>
      </c>
      <c r="H22" t="s">
        <v>53</v>
      </c>
      <c r="I22" t="s">
        <v>78</v>
      </c>
      <c r="J22" t="s">
        <v>116</v>
      </c>
      <c r="K22" t="s">
        <v>23</v>
      </c>
      <c r="L22" t="s">
        <v>117</v>
      </c>
      <c r="M22" t="s">
        <v>118</v>
      </c>
      <c r="N22" t="s">
        <v>119</v>
      </c>
      <c r="O22" t="s">
        <v>27</v>
      </c>
      <c r="P22" s="1">
        <v>44804</v>
      </c>
      <c r="Q22">
        <f t="shared" si="0"/>
        <v>1</v>
      </c>
      <c r="R22">
        <f t="shared" si="1"/>
        <v>0</v>
      </c>
      <c r="S22">
        <f t="shared" si="2"/>
        <v>0</v>
      </c>
      <c r="T22" s="11">
        <f t="shared" si="3"/>
        <v>2018</v>
      </c>
      <c r="U22" s="11">
        <f t="shared" si="4"/>
        <v>26516</v>
      </c>
    </row>
    <row r="23" spans="1:21" x14ac:dyDescent="0.3">
      <c r="A23" t="s">
        <v>120</v>
      </c>
      <c r="B23">
        <v>2019</v>
      </c>
      <c r="C23" t="s">
        <v>56</v>
      </c>
      <c r="D23" t="s">
        <v>32</v>
      </c>
      <c r="E23">
        <v>31663</v>
      </c>
      <c r="F23" t="s">
        <v>71</v>
      </c>
      <c r="G23">
        <v>59300</v>
      </c>
      <c r="H23" t="s">
        <v>77</v>
      </c>
      <c r="I23" t="s">
        <v>21</v>
      </c>
      <c r="J23" t="s">
        <v>121</v>
      </c>
      <c r="K23" t="s">
        <v>23</v>
      </c>
      <c r="L23" t="s">
        <v>122</v>
      </c>
      <c r="M23" t="s">
        <v>113</v>
      </c>
      <c r="N23" t="s">
        <v>114</v>
      </c>
      <c r="O23" t="s">
        <v>27</v>
      </c>
      <c r="P23" s="1">
        <v>44804</v>
      </c>
      <c r="Q23">
        <f t="shared" si="0"/>
        <v>0</v>
      </c>
      <c r="R23">
        <f t="shared" si="1"/>
        <v>0</v>
      </c>
      <c r="S23">
        <f t="shared" si="2"/>
        <v>0</v>
      </c>
      <c r="T23" s="11">
        <f t="shared" si="3"/>
        <v>2019</v>
      </c>
      <c r="U23" s="11">
        <f t="shared" si="4"/>
        <v>31663</v>
      </c>
    </row>
    <row r="24" spans="1:21" x14ac:dyDescent="0.3">
      <c r="A24" t="s">
        <v>123</v>
      </c>
      <c r="B24">
        <v>2021</v>
      </c>
      <c r="C24" t="s">
        <v>56</v>
      </c>
      <c r="D24" t="s">
        <v>30</v>
      </c>
      <c r="E24">
        <v>7979</v>
      </c>
      <c r="F24" t="s">
        <v>57</v>
      </c>
      <c r="G24">
        <v>68600</v>
      </c>
      <c r="H24" t="s">
        <v>20</v>
      </c>
      <c r="I24" t="s">
        <v>78</v>
      </c>
      <c r="J24" t="s">
        <v>124</v>
      </c>
      <c r="K24" t="s">
        <v>23</v>
      </c>
      <c r="L24" t="s">
        <v>122</v>
      </c>
      <c r="M24" t="s">
        <v>113</v>
      </c>
      <c r="N24" t="s">
        <v>114</v>
      </c>
      <c r="O24" t="s">
        <v>27</v>
      </c>
      <c r="P24" s="1">
        <v>44804</v>
      </c>
      <c r="Q24">
        <f t="shared" si="0"/>
        <v>0</v>
      </c>
      <c r="R24">
        <f t="shared" si="1"/>
        <v>0</v>
      </c>
      <c r="S24">
        <f t="shared" si="2"/>
        <v>0</v>
      </c>
      <c r="T24" s="11">
        <f t="shared" si="3"/>
        <v>2021</v>
      </c>
      <c r="U24" s="11">
        <f t="shared" si="4"/>
        <v>7979</v>
      </c>
    </row>
    <row r="25" spans="1:21" x14ac:dyDescent="0.3">
      <c r="A25" t="s">
        <v>125</v>
      </c>
      <c r="B25">
        <v>2021</v>
      </c>
      <c r="C25" t="s">
        <v>56</v>
      </c>
      <c r="D25" t="s">
        <v>53</v>
      </c>
      <c r="E25">
        <v>17895</v>
      </c>
      <c r="F25" t="s">
        <v>65</v>
      </c>
      <c r="G25">
        <v>52600</v>
      </c>
      <c r="H25" t="s">
        <v>77</v>
      </c>
      <c r="I25" t="s">
        <v>58</v>
      </c>
      <c r="J25" t="s">
        <v>126</v>
      </c>
      <c r="K25" t="s">
        <v>23</v>
      </c>
      <c r="N25" t="s">
        <v>127</v>
      </c>
      <c r="O25" t="s">
        <v>27</v>
      </c>
      <c r="P25" s="1">
        <v>44804</v>
      </c>
      <c r="Q25">
        <f t="shared" si="0"/>
        <v>0</v>
      </c>
      <c r="R25">
        <f t="shared" si="1"/>
        <v>0</v>
      </c>
      <c r="S25">
        <f t="shared" si="2"/>
        <v>0</v>
      </c>
      <c r="T25" s="11">
        <f t="shared" si="3"/>
        <v>2021</v>
      </c>
      <c r="U25" s="11">
        <f t="shared" si="4"/>
        <v>17895</v>
      </c>
    </row>
    <row r="26" spans="1:21" x14ac:dyDescent="0.3">
      <c r="A26" t="s">
        <v>128</v>
      </c>
      <c r="B26">
        <v>2019</v>
      </c>
      <c r="C26" t="s">
        <v>56</v>
      </c>
      <c r="D26" t="s">
        <v>53</v>
      </c>
      <c r="E26">
        <v>29576</v>
      </c>
      <c r="F26" t="s">
        <v>65</v>
      </c>
      <c r="G26">
        <v>45600</v>
      </c>
      <c r="H26" t="s">
        <v>20</v>
      </c>
      <c r="I26" t="s">
        <v>58</v>
      </c>
      <c r="J26" t="s">
        <v>66</v>
      </c>
      <c r="K26" t="s">
        <v>23</v>
      </c>
      <c r="L26" t="s">
        <v>129</v>
      </c>
      <c r="M26" t="s">
        <v>113</v>
      </c>
      <c r="N26" t="s">
        <v>114</v>
      </c>
      <c r="O26" t="s">
        <v>27</v>
      </c>
      <c r="P26" s="1">
        <v>44804</v>
      </c>
      <c r="Q26">
        <f t="shared" si="0"/>
        <v>0</v>
      </c>
      <c r="R26">
        <f t="shared" si="1"/>
        <v>0</v>
      </c>
      <c r="S26">
        <f t="shared" si="2"/>
        <v>0</v>
      </c>
      <c r="T26" s="11">
        <f t="shared" si="3"/>
        <v>2019</v>
      </c>
      <c r="U26" s="11">
        <f t="shared" si="4"/>
        <v>29576</v>
      </c>
    </row>
    <row r="27" spans="1:21" x14ac:dyDescent="0.3">
      <c r="A27" t="s">
        <v>130</v>
      </c>
      <c r="B27">
        <v>2021</v>
      </c>
      <c r="C27" t="s">
        <v>37</v>
      </c>
      <c r="D27" t="s">
        <v>53</v>
      </c>
      <c r="E27">
        <v>9055</v>
      </c>
      <c r="F27" t="s">
        <v>131</v>
      </c>
      <c r="G27">
        <v>118900</v>
      </c>
      <c r="H27" t="s">
        <v>45</v>
      </c>
      <c r="I27" t="s">
        <v>39</v>
      </c>
      <c r="J27" t="s">
        <v>132</v>
      </c>
      <c r="K27" t="s">
        <v>23</v>
      </c>
      <c r="N27" t="s">
        <v>127</v>
      </c>
      <c r="O27" t="s">
        <v>27</v>
      </c>
      <c r="P27" s="1">
        <v>44804</v>
      </c>
      <c r="Q27">
        <f t="shared" si="0"/>
        <v>1</v>
      </c>
      <c r="R27">
        <f t="shared" si="1"/>
        <v>0</v>
      </c>
      <c r="S27">
        <f t="shared" si="2"/>
        <v>0</v>
      </c>
      <c r="T27" s="11">
        <f t="shared" si="3"/>
        <v>2021</v>
      </c>
      <c r="U27" s="11">
        <f t="shared" si="4"/>
        <v>9055</v>
      </c>
    </row>
    <row r="28" spans="1:21" x14ac:dyDescent="0.3">
      <c r="A28" t="s">
        <v>133</v>
      </c>
      <c r="B28">
        <v>2020</v>
      </c>
      <c r="C28" t="s">
        <v>37</v>
      </c>
      <c r="D28" t="s">
        <v>53</v>
      </c>
      <c r="E28">
        <v>42659</v>
      </c>
      <c r="F28" t="s">
        <v>98</v>
      </c>
      <c r="G28">
        <v>83100</v>
      </c>
      <c r="H28" t="s">
        <v>32</v>
      </c>
      <c r="I28" t="s">
        <v>39</v>
      </c>
      <c r="J28" t="s">
        <v>134</v>
      </c>
      <c r="K28" t="s">
        <v>23</v>
      </c>
      <c r="L28" t="s">
        <v>122</v>
      </c>
      <c r="M28" t="s">
        <v>113</v>
      </c>
      <c r="N28" t="s">
        <v>114</v>
      </c>
      <c r="O28" t="s">
        <v>27</v>
      </c>
      <c r="P28" s="1">
        <v>44804</v>
      </c>
      <c r="Q28">
        <f t="shared" si="0"/>
        <v>1</v>
      </c>
      <c r="R28">
        <f t="shared" si="1"/>
        <v>0</v>
      </c>
      <c r="S28">
        <f t="shared" si="2"/>
        <v>0</v>
      </c>
      <c r="T28" s="11">
        <f t="shared" si="3"/>
        <v>2020</v>
      </c>
      <c r="U28" s="11">
        <f t="shared" si="4"/>
        <v>42659</v>
      </c>
    </row>
    <row r="29" spans="1:21" x14ac:dyDescent="0.3">
      <c r="A29" t="s">
        <v>135</v>
      </c>
      <c r="B29">
        <v>2019</v>
      </c>
      <c r="C29" t="s">
        <v>29</v>
      </c>
      <c r="D29" t="s">
        <v>32</v>
      </c>
      <c r="E29">
        <v>18539</v>
      </c>
      <c r="F29" t="s">
        <v>44</v>
      </c>
      <c r="G29">
        <v>98000</v>
      </c>
      <c r="H29" t="s">
        <v>53</v>
      </c>
      <c r="I29" t="s">
        <v>110</v>
      </c>
      <c r="J29" t="s">
        <v>136</v>
      </c>
      <c r="K29" t="s">
        <v>23</v>
      </c>
      <c r="L29" t="s">
        <v>137</v>
      </c>
      <c r="M29" t="s">
        <v>138</v>
      </c>
      <c r="N29" t="s">
        <v>139</v>
      </c>
      <c r="O29" t="s">
        <v>27</v>
      </c>
      <c r="P29" s="1">
        <v>44804</v>
      </c>
      <c r="Q29">
        <f t="shared" si="0"/>
        <v>0</v>
      </c>
      <c r="R29">
        <f t="shared" si="1"/>
        <v>1</v>
      </c>
      <c r="S29">
        <f t="shared" si="2"/>
        <v>0</v>
      </c>
      <c r="T29" s="11">
        <f t="shared" si="3"/>
        <v>2019</v>
      </c>
      <c r="U29" s="11">
        <f t="shared" si="4"/>
        <v>18539</v>
      </c>
    </row>
    <row r="30" spans="1:21" x14ac:dyDescent="0.3">
      <c r="A30" t="s">
        <v>140</v>
      </c>
      <c r="B30">
        <v>2019</v>
      </c>
      <c r="C30" t="s">
        <v>37</v>
      </c>
      <c r="D30" t="s">
        <v>53</v>
      </c>
      <c r="E30">
        <v>30493</v>
      </c>
      <c r="F30" t="s">
        <v>52</v>
      </c>
      <c r="G30">
        <v>73900</v>
      </c>
      <c r="H30" t="s">
        <v>53</v>
      </c>
      <c r="I30" t="s">
        <v>78</v>
      </c>
      <c r="J30" t="s">
        <v>141</v>
      </c>
      <c r="K30" t="s">
        <v>23</v>
      </c>
      <c r="L30" t="s">
        <v>129</v>
      </c>
      <c r="M30" t="s">
        <v>113</v>
      </c>
      <c r="N30" t="s">
        <v>114</v>
      </c>
      <c r="O30" t="s">
        <v>27</v>
      </c>
      <c r="P30" s="1">
        <v>44804</v>
      </c>
      <c r="Q30">
        <f t="shared" si="0"/>
        <v>1</v>
      </c>
      <c r="R30">
        <f t="shared" si="1"/>
        <v>0</v>
      </c>
      <c r="S30">
        <f t="shared" si="2"/>
        <v>0</v>
      </c>
      <c r="T30" s="11">
        <f t="shared" si="3"/>
        <v>2019</v>
      </c>
      <c r="U30" s="11">
        <f t="shared" si="4"/>
        <v>30493</v>
      </c>
    </row>
    <row r="31" spans="1:21" x14ac:dyDescent="0.3">
      <c r="A31" t="s">
        <v>142</v>
      </c>
      <c r="B31">
        <v>2022</v>
      </c>
      <c r="C31" t="s">
        <v>56</v>
      </c>
      <c r="D31" t="s">
        <v>30</v>
      </c>
      <c r="E31">
        <v>7236</v>
      </c>
      <c r="F31" t="s">
        <v>143</v>
      </c>
      <c r="G31">
        <v>70300</v>
      </c>
      <c r="H31" t="s">
        <v>20</v>
      </c>
      <c r="J31" t="s">
        <v>144</v>
      </c>
      <c r="K31" t="s">
        <v>23</v>
      </c>
      <c r="L31" t="s">
        <v>137</v>
      </c>
      <c r="M31" t="s">
        <v>138</v>
      </c>
      <c r="N31" t="s">
        <v>139</v>
      </c>
      <c r="O31" t="s">
        <v>27</v>
      </c>
      <c r="P31" s="1">
        <v>44804</v>
      </c>
      <c r="Q31">
        <f t="shared" si="0"/>
        <v>0</v>
      </c>
      <c r="R31">
        <f t="shared" si="1"/>
        <v>0</v>
      </c>
      <c r="S31">
        <f t="shared" si="2"/>
        <v>0</v>
      </c>
      <c r="T31" s="11">
        <f t="shared" si="3"/>
        <v>2022</v>
      </c>
      <c r="U31" s="11">
        <f t="shared" si="4"/>
        <v>7236</v>
      </c>
    </row>
    <row r="32" spans="1:21" x14ac:dyDescent="0.3">
      <c r="A32" t="s">
        <v>145</v>
      </c>
      <c r="B32">
        <v>2019</v>
      </c>
      <c r="C32" t="s">
        <v>56</v>
      </c>
      <c r="D32" t="s">
        <v>76</v>
      </c>
      <c r="E32">
        <v>17429</v>
      </c>
      <c r="F32" t="s">
        <v>71</v>
      </c>
      <c r="G32">
        <v>60700</v>
      </c>
      <c r="H32" t="s">
        <v>77</v>
      </c>
      <c r="I32" t="s">
        <v>21</v>
      </c>
      <c r="J32" t="s">
        <v>146</v>
      </c>
      <c r="K32" t="s">
        <v>23</v>
      </c>
      <c r="L32" t="s">
        <v>147</v>
      </c>
      <c r="M32" t="s">
        <v>148</v>
      </c>
      <c r="N32" t="s">
        <v>149</v>
      </c>
      <c r="O32" t="s">
        <v>27</v>
      </c>
      <c r="P32" s="1">
        <v>44804</v>
      </c>
      <c r="Q32">
        <f t="shared" si="0"/>
        <v>0</v>
      </c>
      <c r="R32">
        <f t="shared" si="1"/>
        <v>0</v>
      </c>
      <c r="S32">
        <f t="shared" si="2"/>
        <v>0</v>
      </c>
      <c r="T32" s="11">
        <f t="shared" si="3"/>
        <v>2019</v>
      </c>
      <c r="U32" s="11">
        <f t="shared" si="4"/>
        <v>17429</v>
      </c>
    </row>
    <row r="33" spans="1:21" x14ac:dyDescent="0.3">
      <c r="A33" t="s">
        <v>150</v>
      </c>
      <c r="B33">
        <v>2019</v>
      </c>
      <c r="C33" t="s">
        <v>56</v>
      </c>
      <c r="D33" t="s">
        <v>30</v>
      </c>
      <c r="E33">
        <v>27022</v>
      </c>
      <c r="F33" t="s">
        <v>65</v>
      </c>
      <c r="G33">
        <v>45600</v>
      </c>
      <c r="H33" t="s">
        <v>20</v>
      </c>
      <c r="I33" t="s">
        <v>58</v>
      </c>
      <c r="J33" t="s">
        <v>151</v>
      </c>
      <c r="K33" t="s">
        <v>23</v>
      </c>
      <c r="L33" t="s">
        <v>137</v>
      </c>
      <c r="M33" t="s">
        <v>138</v>
      </c>
      <c r="N33" t="s">
        <v>139</v>
      </c>
      <c r="O33" t="s">
        <v>27</v>
      </c>
      <c r="P33" s="1">
        <v>44804</v>
      </c>
      <c r="Q33">
        <f t="shared" si="0"/>
        <v>0</v>
      </c>
      <c r="R33">
        <f t="shared" si="1"/>
        <v>0</v>
      </c>
      <c r="S33">
        <f t="shared" si="2"/>
        <v>0</v>
      </c>
      <c r="T33" s="11">
        <f t="shared" si="3"/>
        <v>2019</v>
      </c>
      <c r="U33" s="11">
        <f t="shared" si="4"/>
        <v>27022</v>
      </c>
    </row>
    <row r="34" spans="1:21" x14ac:dyDescent="0.3">
      <c r="A34" t="s">
        <v>152</v>
      </c>
      <c r="B34">
        <v>2017</v>
      </c>
      <c r="C34" t="s">
        <v>29</v>
      </c>
      <c r="D34" t="s">
        <v>53</v>
      </c>
      <c r="E34">
        <v>38492</v>
      </c>
      <c r="F34" t="s">
        <v>153</v>
      </c>
      <c r="G34">
        <v>75400</v>
      </c>
      <c r="H34" t="s">
        <v>32</v>
      </c>
      <c r="I34" t="s">
        <v>21</v>
      </c>
      <c r="J34" t="s">
        <v>154</v>
      </c>
      <c r="K34" t="s">
        <v>23</v>
      </c>
      <c r="N34" t="s">
        <v>127</v>
      </c>
      <c r="O34" t="s">
        <v>27</v>
      </c>
      <c r="P34" s="1">
        <v>44804</v>
      </c>
      <c r="Q34">
        <f t="shared" si="0"/>
        <v>0</v>
      </c>
      <c r="R34">
        <f t="shared" si="1"/>
        <v>1</v>
      </c>
      <c r="S34">
        <f t="shared" si="2"/>
        <v>0</v>
      </c>
      <c r="T34" s="11">
        <f t="shared" si="3"/>
        <v>2017</v>
      </c>
      <c r="U34" s="11">
        <f t="shared" si="4"/>
        <v>38492</v>
      </c>
    </row>
    <row r="35" spans="1:21" x14ac:dyDescent="0.3">
      <c r="A35" t="s">
        <v>155</v>
      </c>
      <c r="B35">
        <v>2020</v>
      </c>
      <c r="C35" t="s">
        <v>17</v>
      </c>
      <c r="D35" t="s">
        <v>18</v>
      </c>
      <c r="E35">
        <v>13575</v>
      </c>
      <c r="F35" t="s">
        <v>156</v>
      </c>
      <c r="G35">
        <v>74200</v>
      </c>
      <c r="H35" t="s">
        <v>20</v>
      </c>
      <c r="I35" t="s">
        <v>39</v>
      </c>
      <c r="J35" t="s">
        <v>157</v>
      </c>
      <c r="K35" t="s">
        <v>23</v>
      </c>
      <c r="L35" t="s">
        <v>158</v>
      </c>
      <c r="M35" t="s">
        <v>42</v>
      </c>
      <c r="N35" t="s">
        <v>26</v>
      </c>
      <c r="O35" t="s">
        <v>27</v>
      </c>
      <c r="P35" s="1">
        <v>44804</v>
      </c>
      <c r="Q35">
        <f t="shared" si="0"/>
        <v>0</v>
      </c>
      <c r="R35">
        <f t="shared" si="1"/>
        <v>0</v>
      </c>
      <c r="S35">
        <f t="shared" si="2"/>
        <v>1</v>
      </c>
      <c r="T35" s="11">
        <f t="shared" si="3"/>
        <v>2020</v>
      </c>
      <c r="U35" s="11">
        <f t="shared" si="4"/>
        <v>13575</v>
      </c>
    </row>
    <row r="36" spans="1:21" x14ac:dyDescent="0.3">
      <c r="A36" t="s">
        <v>159</v>
      </c>
      <c r="B36">
        <v>2019</v>
      </c>
      <c r="C36" t="s">
        <v>56</v>
      </c>
      <c r="D36" t="s">
        <v>32</v>
      </c>
      <c r="E36">
        <v>45066</v>
      </c>
      <c r="F36" t="s">
        <v>71</v>
      </c>
      <c r="G36">
        <v>55200</v>
      </c>
      <c r="H36" t="s">
        <v>77</v>
      </c>
      <c r="I36" t="s">
        <v>21</v>
      </c>
      <c r="J36" t="s">
        <v>121</v>
      </c>
      <c r="K36" t="s">
        <v>23</v>
      </c>
      <c r="N36" t="s">
        <v>127</v>
      </c>
      <c r="O36" t="s">
        <v>27</v>
      </c>
      <c r="P36" s="1">
        <v>44804</v>
      </c>
      <c r="Q36">
        <f t="shared" si="0"/>
        <v>0</v>
      </c>
      <c r="R36">
        <f t="shared" si="1"/>
        <v>0</v>
      </c>
      <c r="S36">
        <f t="shared" si="2"/>
        <v>0</v>
      </c>
      <c r="T36" s="11">
        <f t="shared" si="3"/>
        <v>2019</v>
      </c>
      <c r="U36" s="11">
        <f t="shared" si="4"/>
        <v>45066</v>
      </c>
    </row>
    <row r="37" spans="1:21" x14ac:dyDescent="0.3">
      <c r="A37" t="s">
        <v>160</v>
      </c>
      <c r="B37">
        <v>2021</v>
      </c>
      <c r="C37" t="s">
        <v>17</v>
      </c>
      <c r="D37" t="s">
        <v>32</v>
      </c>
      <c r="E37">
        <v>25102</v>
      </c>
      <c r="F37" t="s">
        <v>161</v>
      </c>
      <c r="G37">
        <v>59000</v>
      </c>
      <c r="H37" t="s">
        <v>20</v>
      </c>
      <c r="I37" t="s">
        <v>78</v>
      </c>
      <c r="J37" t="s">
        <v>162</v>
      </c>
      <c r="K37" t="s">
        <v>23</v>
      </c>
      <c r="L37" t="s">
        <v>163</v>
      </c>
      <c r="M37" t="s">
        <v>164</v>
      </c>
      <c r="N37" t="s">
        <v>26</v>
      </c>
      <c r="O37" t="s">
        <v>27</v>
      </c>
      <c r="P37" s="1">
        <v>44804</v>
      </c>
      <c r="Q37">
        <f t="shared" si="0"/>
        <v>0</v>
      </c>
      <c r="R37">
        <f t="shared" si="1"/>
        <v>0</v>
      </c>
      <c r="S37">
        <f t="shared" si="2"/>
        <v>1</v>
      </c>
      <c r="T37" s="11">
        <f t="shared" si="3"/>
        <v>2021</v>
      </c>
      <c r="U37" s="11">
        <f t="shared" si="4"/>
        <v>25102</v>
      </c>
    </row>
    <row r="38" spans="1:21" x14ac:dyDescent="0.3">
      <c r="A38" t="s">
        <v>165</v>
      </c>
      <c r="B38">
        <v>2022</v>
      </c>
      <c r="C38" t="s">
        <v>37</v>
      </c>
      <c r="D38" t="s">
        <v>32</v>
      </c>
      <c r="E38">
        <v>3013</v>
      </c>
      <c r="F38" t="s">
        <v>131</v>
      </c>
      <c r="G38">
        <v>138000</v>
      </c>
      <c r="H38" t="s">
        <v>32</v>
      </c>
      <c r="I38" t="s">
        <v>78</v>
      </c>
      <c r="J38" t="s">
        <v>166</v>
      </c>
      <c r="K38" t="s">
        <v>23</v>
      </c>
      <c r="N38" t="s">
        <v>127</v>
      </c>
      <c r="O38" t="s">
        <v>27</v>
      </c>
      <c r="P38" s="1">
        <v>44804</v>
      </c>
      <c r="Q38">
        <f t="shared" si="0"/>
        <v>1</v>
      </c>
      <c r="R38">
        <f t="shared" si="1"/>
        <v>0</v>
      </c>
      <c r="S38">
        <f t="shared" si="2"/>
        <v>0</v>
      </c>
      <c r="T38" s="11">
        <f t="shared" si="3"/>
        <v>2022</v>
      </c>
      <c r="U38" s="11">
        <f t="shared" si="4"/>
        <v>3013</v>
      </c>
    </row>
    <row r="39" spans="1:21" x14ac:dyDescent="0.3">
      <c r="A39" t="s">
        <v>167</v>
      </c>
      <c r="B39">
        <v>2019</v>
      </c>
      <c r="C39" t="s">
        <v>56</v>
      </c>
      <c r="D39" t="s">
        <v>32</v>
      </c>
      <c r="E39">
        <v>13423</v>
      </c>
      <c r="F39" t="s">
        <v>57</v>
      </c>
      <c r="G39">
        <v>60000</v>
      </c>
      <c r="H39" t="s">
        <v>20</v>
      </c>
      <c r="I39" t="s">
        <v>58</v>
      </c>
      <c r="J39" t="s">
        <v>168</v>
      </c>
      <c r="K39" t="s">
        <v>23</v>
      </c>
      <c r="L39" t="s">
        <v>158</v>
      </c>
      <c r="M39" t="s">
        <v>42</v>
      </c>
      <c r="N39" t="s">
        <v>26</v>
      </c>
      <c r="O39" t="s">
        <v>27</v>
      </c>
      <c r="P39" s="1">
        <v>44804</v>
      </c>
      <c r="Q39">
        <f t="shared" si="0"/>
        <v>0</v>
      </c>
      <c r="R39">
        <f t="shared" si="1"/>
        <v>0</v>
      </c>
      <c r="S39">
        <f t="shared" si="2"/>
        <v>0</v>
      </c>
      <c r="T39" s="11">
        <f t="shared" si="3"/>
        <v>2019</v>
      </c>
      <c r="U39" s="11">
        <f t="shared" si="4"/>
        <v>13423</v>
      </c>
    </row>
    <row r="40" spans="1:21" x14ac:dyDescent="0.3">
      <c r="A40" t="s">
        <v>169</v>
      </c>
      <c r="B40">
        <v>2019</v>
      </c>
      <c r="C40" t="s">
        <v>29</v>
      </c>
      <c r="D40" t="s">
        <v>76</v>
      </c>
      <c r="E40">
        <v>20341</v>
      </c>
      <c r="F40" t="s">
        <v>52</v>
      </c>
      <c r="G40">
        <v>92000</v>
      </c>
      <c r="H40" t="s">
        <v>32</v>
      </c>
      <c r="I40" t="s">
        <v>21</v>
      </c>
      <c r="J40" t="s">
        <v>170</v>
      </c>
      <c r="K40" t="s">
        <v>23</v>
      </c>
      <c r="L40" t="s">
        <v>171</v>
      </c>
      <c r="M40" t="s">
        <v>172</v>
      </c>
      <c r="N40" t="s">
        <v>173</v>
      </c>
      <c r="O40" t="s">
        <v>27</v>
      </c>
      <c r="P40" s="1">
        <v>44804</v>
      </c>
      <c r="Q40">
        <f t="shared" si="0"/>
        <v>0</v>
      </c>
      <c r="R40">
        <f t="shared" si="1"/>
        <v>1</v>
      </c>
      <c r="S40">
        <f t="shared" si="2"/>
        <v>0</v>
      </c>
      <c r="T40" s="11">
        <f t="shared" si="3"/>
        <v>2019</v>
      </c>
      <c r="U40" s="11">
        <f t="shared" si="4"/>
        <v>20341</v>
      </c>
    </row>
    <row r="41" spans="1:21" x14ac:dyDescent="0.3">
      <c r="A41" t="s">
        <v>174</v>
      </c>
      <c r="B41">
        <v>2019</v>
      </c>
      <c r="C41" t="s">
        <v>56</v>
      </c>
      <c r="D41" t="s">
        <v>53</v>
      </c>
      <c r="E41">
        <v>41112</v>
      </c>
      <c r="F41" t="s">
        <v>65</v>
      </c>
      <c r="G41">
        <v>46100</v>
      </c>
      <c r="H41" t="s">
        <v>20</v>
      </c>
      <c r="I41" t="s">
        <v>58</v>
      </c>
      <c r="J41" t="s">
        <v>66</v>
      </c>
      <c r="K41" t="s">
        <v>23</v>
      </c>
      <c r="L41" t="s">
        <v>175</v>
      </c>
      <c r="M41" t="s">
        <v>42</v>
      </c>
      <c r="N41" t="s">
        <v>26</v>
      </c>
      <c r="O41" t="s">
        <v>27</v>
      </c>
      <c r="P41" s="1">
        <v>44804</v>
      </c>
      <c r="Q41">
        <f t="shared" si="0"/>
        <v>0</v>
      </c>
      <c r="R41">
        <f t="shared" si="1"/>
        <v>0</v>
      </c>
      <c r="S41">
        <f t="shared" si="2"/>
        <v>0</v>
      </c>
      <c r="T41" s="11">
        <f t="shared" si="3"/>
        <v>2019</v>
      </c>
      <c r="U41" s="11">
        <f t="shared" si="4"/>
        <v>41112</v>
      </c>
    </row>
    <row r="42" spans="1:21" x14ac:dyDescent="0.3">
      <c r="A42" t="s">
        <v>176</v>
      </c>
      <c r="B42">
        <v>2019</v>
      </c>
      <c r="C42" t="s">
        <v>29</v>
      </c>
      <c r="D42" t="s">
        <v>32</v>
      </c>
      <c r="E42">
        <v>55922</v>
      </c>
      <c r="F42" t="s">
        <v>177</v>
      </c>
      <c r="G42">
        <v>91000</v>
      </c>
      <c r="H42" t="s">
        <v>32</v>
      </c>
      <c r="I42" t="s">
        <v>110</v>
      </c>
      <c r="J42" t="s">
        <v>178</v>
      </c>
      <c r="K42" t="s">
        <v>23</v>
      </c>
      <c r="L42" t="s">
        <v>179</v>
      </c>
      <c r="M42" t="s">
        <v>180</v>
      </c>
      <c r="N42" t="s">
        <v>173</v>
      </c>
      <c r="O42" t="s">
        <v>27</v>
      </c>
      <c r="P42" s="1">
        <v>44804</v>
      </c>
      <c r="Q42">
        <f t="shared" si="0"/>
        <v>0</v>
      </c>
      <c r="R42">
        <f t="shared" si="1"/>
        <v>1</v>
      </c>
      <c r="S42">
        <f t="shared" si="2"/>
        <v>0</v>
      </c>
      <c r="T42" s="11">
        <f t="shared" si="3"/>
        <v>2019</v>
      </c>
      <c r="U42" s="11">
        <f t="shared" si="4"/>
        <v>55922</v>
      </c>
    </row>
    <row r="43" spans="1:21" x14ac:dyDescent="0.3">
      <c r="A43" t="s">
        <v>181</v>
      </c>
      <c r="B43">
        <v>2018</v>
      </c>
      <c r="C43" t="s">
        <v>29</v>
      </c>
      <c r="D43" t="s">
        <v>51</v>
      </c>
      <c r="E43">
        <v>31032</v>
      </c>
      <c r="F43" t="s">
        <v>104</v>
      </c>
      <c r="G43">
        <v>83400</v>
      </c>
      <c r="H43" t="s">
        <v>53</v>
      </c>
      <c r="I43" t="s">
        <v>21</v>
      </c>
      <c r="J43" t="s">
        <v>182</v>
      </c>
      <c r="K43" t="s">
        <v>23</v>
      </c>
      <c r="L43" t="s">
        <v>183</v>
      </c>
      <c r="M43" t="s">
        <v>25</v>
      </c>
      <c r="N43" t="s">
        <v>26</v>
      </c>
      <c r="O43" t="s">
        <v>27</v>
      </c>
      <c r="P43" s="1">
        <v>44804</v>
      </c>
      <c r="Q43">
        <f t="shared" si="0"/>
        <v>0</v>
      </c>
      <c r="R43">
        <f t="shared" si="1"/>
        <v>1</v>
      </c>
      <c r="S43">
        <f t="shared" si="2"/>
        <v>0</v>
      </c>
      <c r="T43" s="11">
        <f t="shared" si="3"/>
        <v>2018</v>
      </c>
      <c r="U43" s="11">
        <f t="shared" si="4"/>
        <v>31032</v>
      </c>
    </row>
    <row r="44" spans="1:21" x14ac:dyDescent="0.3">
      <c r="A44" t="s">
        <v>184</v>
      </c>
      <c r="B44">
        <v>2019</v>
      </c>
      <c r="C44" t="s">
        <v>56</v>
      </c>
      <c r="D44" t="s">
        <v>53</v>
      </c>
      <c r="E44">
        <v>14467</v>
      </c>
      <c r="F44" t="s">
        <v>65</v>
      </c>
      <c r="G44">
        <v>45600</v>
      </c>
      <c r="H44" t="s">
        <v>20</v>
      </c>
      <c r="I44" t="s">
        <v>58</v>
      </c>
      <c r="J44" t="s">
        <v>66</v>
      </c>
      <c r="K44" t="s">
        <v>23</v>
      </c>
      <c r="L44" t="s">
        <v>185</v>
      </c>
      <c r="M44" t="s">
        <v>138</v>
      </c>
      <c r="N44" t="s">
        <v>139</v>
      </c>
      <c r="O44" t="s">
        <v>27</v>
      </c>
      <c r="P44" s="1">
        <v>44804</v>
      </c>
      <c r="Q44">
        <f t="shared" si="0"/>
        <v>0</v>
      </c>
      <c r="R44">
        <f t="shared" si="1"/>
        <v>0</v>
      </c>
      <c r="S44">
        <f t="shared" si="2"/>
        <v>0</v>
      </c>
      <c r="T44" s="11">
        <f t="shared" si="3"/>
        <v>2019</v>
      </c>
      <c r="U44" s="11">
        <f t="shared" si="4"/>
        <v>14467</v>
      </c>
    </row>
    <row r="45" spans="1:21" x14ac:dyDescent="0.3">
      <c r="A45" t="s">
        <v>186</v>
      </c>
      <c r="B45">
        <v>2019</v>
      </c>
      <c r="C45" t="s">
        <v>56</v>
      </c>
      <c r="D45" t="s">
        <v>53</v>
      </c>
      <c r="E45">
        <v>15438</v>
      </c>
      <c r="F45" t="s">
        <v>65</v>
      </c>
      <c r="G45">
        <v>45300</v>
      </c>
      <c r="H45" t="s">
        <v>20</v>
      </c>
      <c r="I45" t="s">
        <v>78</v>
      </c>
      <c r="J45" t="s">
        <v>187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s="1">
        <v>44804</v>
      </c>
      <c r="Q45">
        <f t="shared" si="0"/>
        <v>0</v>
      </c>
      <c r="R45">
        <f t="shared" si="1"/>
        <v>0</v>
      </c>
      <c r="S45">
        <f t="shared" si="2"/>
        <v>0</v>
      </c>
      <c r="T45" s="11">
        <f t="shared" si="3"/>
        <v>2019</v>
      </c>
      <c r="U45" s="11">
        <f t="shared" si="4"/>
        <v>15438</v>
      </c>
    </row>
    <row r="46" spans="1:21" x14ac:dyDescent="0.3">
      <c r="A46" t="s">
        <v>188</v>
      </c>
      <c r="B46">
        <v>2021</v>
      </c>
      <c r="C46" t="s">
        <v>17</v>
      </c>
      <c r="D46" t="s">
        <v>30</v>
      </c>
      <c r="E46">
        <v>6502</v>
      </c>
      <c r="F46" t="s">
        <v>189</v>
      </c>
      <c r="G46">
        <v>78700</v>
      </c>
      <c r="H46" t="s">
        <v>20</v>
      </c>
      <c r="I46" t="s">
        <v>39</v>
      </c>
      <c r="J46" t="s">
        <v>190</v>
      </c>
      <c r="K46" t="s">
        <v>23</v>
      </c>
      <c r="L46" t="s">
        <v>175</v>
      </c>
      <c r="M46" t="s">
        <v>42</v>
      </c>
      <c r="N46" t="s">
        <v>26</v>
      </c>
      <c r="O46" t="s">
        <v>27</v>
      </c>
      <c r="P46" s="1">
        <v>44804</v>
      </c>
      <c r="Q46">
        <f t="shared" si="0"/>
        <v>0</v>
      </c>
      <c r="R46">
        <f t="shared" si="1"/>
        <v>0</v>
      </c>
      <c r="S46">
        <f t="shared" si="2"/>
        <v>1</v>
      </c>
      <c r="T46" s="11">
        <f t="shared" si="3"/>
        <v>2021</v>
      </c>
      <c r="U46" s="11">
        <f t="shared" si="4"/>
        <v>6502</v>
      </c>
    </row>
    <row r="47" spans="1:21" x14ac:dyDescent="0.3">
      <c r="A47" t="s">
        <v>191</v>
      </c>
      <c r="B47">
        <v>2019</v>
      </c>
      <c r="C47" t="s">
        <v>56</v>
      </c>
      <c r="D47" t="s">
        <v>32</v>
      </c>
      <c r="E47">
        <v>35029</v>
      </c>
      <c r="F47" t="s">
        <v>65</v>
      </c>
      <c r="G47">
        <v>45100</v>
      </c>
      <c r="H47" t="s">
        <v>20</v>
      </c>
      <c r="I47" t="s">
        <v>58</v>
      </c>
      <c r="J47" t="s">
        <v>192</v>
      </c>
      <c r="K47" t="s">
        <v>23</v>
      </c>
      <c r="L47" t="s">
        <v>193</v>
      </c>
      <c r="M47" t="s">
        <v>194</v>
      </c>
      <c r="N47" t="s">
        <v>26</v>
      </c>
      <c r="O47" t="s">
        <v>27</v>
      </c>
      <c r="P47" s="1">
        <v>44804</v>
      </c>
      <c r="Q47">
        <f t="shared" si="0"/>
        <v>0</v>
      </c>
      <c r="R47">
        <f t="shared" si="1"/>
        <v>0</v>
      </c>
      <c r="S47">
        <f t="shared" si="2"/>
        <v>0</v>
      </c>
      <c r="T47" s="11">
        <f t="shared" si="3"/>
        <v>2019</v>
      </c>
      <c r="U47" s="11">
        <f t="shared" si="4"/>
        <v>35029</v>
      </c>
    </row>
    <row r="48" spans="1:21" x14ac:dyDescent="0.3">
      <c r="A48" t="s">
        <v>195</v>
      </c>
      <c r="B48">
        <v>2019</v>
      </c>
      <c r="C48" t="s">
        <v>29</v>
      </c>
      <c r="D48" t="s">
        <v>51</v>
      </c>
      <c r="E48">
        <v>31798</v>
      </c>
      <c r="F48" t="s">
        <v>44</v>
      </c>
      <c r="G48">
        <v>87700</v>
      </c>
      <c r="H48" t="s">
        <v>45</v>
      </c>
      <c r="I48" t="s">
        <v>21</v>
      </c>
      <c r="J48" t="s">
        <v>196</v>
      </c>
      <c r="K48" t="s">
        <v>23</v>
      </c>
      <c r="L48" t="s">
        <v>197</v>
      </c>
      <c r="M48" t="s">
        <v>198</v>
      </c>
      <c r="N48" t="s">
        <v>26</v>
      </c>
      <c r="O48" t="s">
        <v>27</v>
      </c>
      <c r="P48" s="1">
        <v>44804</v>
      </c>
      <c r="Q48">
        <f t="shared" si="0"/>
        <v>0</v>
      </c>
      <c r="R48">
        <f t="shared" si="1"/>
        <v>1</v>
      </c>
      <c r="S48">
        <f t="shared" si="2"/>
        <v>0</v>
      </c>
      <c r="T48" s="11">
        <f t="shared" si="3"/>
        <v>2019</v>
      </c>
      <c r="U48" s="11">
        <f t="shared" si="4"/>
        <v>31798</v>
      </c>
    </row>
    <row r="49" spans="1:21" x14ac:dyDescent="0.3">
      <c r="A49" t="s">
        <v>199</v>
      </c>
      <c r="B49">
        <v>2021</v>
      </c>
      <c r="C49" t="s">
        <v>17</v>
      </c>
      <c r="D49" t="s">
        <v>32</v>
      </c>
      <c r="E49">
        <v>4398</v>
      </c>
      <c r="F49" t="s">
        <v>19</v>
      </c>
      <c r="G49">
        <v>77500</v>
      </c>
      <c r="H49" t="s">
        <v>20</v>
      </c>
      <c r="I49" t="s">
        <v>78</v>
      </c>
      <c r="J49" t="s">
        <v>200</v>
      </c>
      <c r="K49" t="s">
        <v>23</v>
      </c>
      <c r="L49" t="s">
        <v>201</v>
      </c>
      <c r="M49" t="s">
        <v>202</v>
      </c>
      <c r="N49" t="s">
        <v>203</v>
      </c>
      <c r="O49" t="s">
        <v>27</v>
      </c>
      <c r="P49" s="1">
        <v>44804</v>
      </c>
      <c r="Q49">
        <f t="shared" si="0"/>
        <v>0</v>
      </c>
      <c r="R49">
        <f t="shared" si="1"/>
        <v>0</v>
      </c>
      <c r="S49">
        <f t="shared" si="2"/>
        <v>1</v>
      </c>
      <c r="T49" s="11">
        <f t="shared" si="3"/>
        <v>2021</v>
      </c>
      <c r="U49" s="11">
        <f t="shared" si="4"/>
        <v>4398</v>
      </c>
    </row>
    <row r="50" spans="1:21" x14ac:dyDescent="0.3">
      <c r="A50" t="s">
        <v>204</v>
      </c>
      <c r="B50">
        <v>2019</v>
      </c>
      <c r="C50" t="s">
        <v>56</v>
      </c>
      <c r="D50" t="s">
        <v>30</v>
      </c>
      <c r="E50">
        <v>27529</v>
      </c>
      <c r="F50" t="s">
        <v>65</v>
      </c>
      <c r="G50">
        <v>47000</v>
      </c>
      <c r="H50" t="s">
        <v>77</v>
      </c>
      <c r="I50" t="s">
        <v>78</v>
      </c>
      <c r="J50" t="s">
        <v>83</v>
      </c>
      <c r="K50" t="s">
        <v>23</v>
      </c>
      <c r="L50" t="s">
        <v>205</v>
      </c>
      <c r="M50" t="s">
        <v>42</v>
      </c>
      <c r="N50" t="s">
        <v>26</v>
      </c>
      <c r="O50" t="s">
        <v>27</v>
      </c>
      <c r="P50" s="1">
        <v>44804</v>
      </c>
      <c r="Q50">
        <f t="shared" si="0"/>
        <v>0</v>
      </c>
      <c r="R50">
        <f t="shared" si="1"/>
        <v>0</v>
      </c>
      <c r="S50">
        <f t="shared" si="2"/>
        <v>0</v>
      </c>
      <c r="T50" s="11">
        <f t="shared" si="3"/>
        <v>2019</v>
      </c>
      <c r="U50" s="11">
        <f t="shared" si="4"/>
        <v>27529</v>
      </c>
    </row>
    <row r="51" spans="1:21" x14ac:dyDescent="0.3">
      <c r="A51" t="s">
        <v>206</v>
      </c>
      <c r="B51">
        <v>2021</v>
      </c>
      <c r="C51" t="s">
        <v>17</v>
      </c>
      <c r="D51" t="s">
        <v>32</v>
      </c>
      <c r="E51">
        <v>23389</v>
      </c>
      <c r="F51" t="s">
        <v>207</v>
      </c>
      <c r="G51">
        <v>69400</v>
      </c>
      <c r="H51" t="s">
        <v>20</v>
      </c>
      <c r="I51" t="s">
        <v>21</v>
      </c>
      <c r="J51" t="s">
        <v>208</v>
      </c>
      <c r="K51" t="s">
        <v>23</v>
      </c>
      <c r="L51" t="s">
        <v>47</v>
      </c>
      <c r="M51" t="s">
        <v>48</v>
      </c>
      <c r="N51" t="s">
        <v>49</v>
      </c>
      <c r="O51" t="s">
        <v>27</v>
      </c>
      <c r="P51" s="1">
        <v>44804</v>
      </c>
      <c r="Q51">
        <f t="shared" si="0"/>
        <v>0</v>
      </c>
      <c r="R51">
        <f t="shared" si="1"/>
        <v>0</v>
      </c>
      <c r="S51">
        <f t="shared" si="2"/>
        <v>1</v>
      </c>
      <c r="T51" s="11">
        <f t="shared" si="3"/>
        <v>2021</v>
      </c>
      <c r="U51" s="11">
        <f t="shared" si="4"/>
        <v>23389</v>
      </c>
    </row>
    <row r="52" spans="1:21" x14ac:dyDescent="0.3">
      <c r="A52" t="s">
        <v>209</v>
      </c>
      <c r="B52">
        <v>2019</v>
      </c>
      <c r="C52" t="s">
        <v>56</v>
      </c>
      <c r="D52" t="s">
        <v>53</v>
      </c>
      <c r="E52">
        <v>55704</v>
      </c>
      <c r="F52" t="s">
        <v>65</v>
      </c>
      <c r="G52">
        <v>46900</v>
      </c>
      <c r="H52" t="s">
        <v>77</v>
      </c>
      <c r="I52" t="s">
        <v>58</v>
      </c>
      <c r="J52" t="s">
        <v>126</v>
      </c>
      <c r="K52" t="s">
        <v>23</v>
      </c>
      <c r="L52" t="s">
        <v>163</v>
      </c>
      <c r="M52" t="s">
        <v>164</v>
      </c>
      <c r="N52" t="s">
        <v>26</v>
      </c>
      <c r="O52" t="s">
        <v>27</v>
      </c>
      <c r="P52" s="1">
        <v>44804</v>
      </c>
      <c r="Q52">
        <f t="shared" si="0"/>
        <v>0</v>
      </c>
      <c r="R52">
        <f t="shared" si="1"/>
        <v>0</v>
      </c>
      <c r="S52">
        <f t="shared" si="2"/>
        <v>0</v>
      </c>
      <c r="T52" s="11">
        <f t="shared" si="3"/>
        <v>2019</v>
      </c>
      <c r="U52" s="11">
        <f t="shared" si="4"/>
        <v>55704</v>
      </c>
    </row>
    <row r="53" spans="1:21" x14ac:dyDescent="0.3">
      <c r="A53" t="s">
        <v>210</v>
      </c>
      <c r="B53">
        <v>2021</v>
      </c>
      <c r="C53" t="s">
        <v>37</v>
      </c>
      <c r="D53" t="s">
        <v>51</v>
      </c>
      <c r="E53">
        <v>8354</v>
      </c>
      <c r="F53" t="s">
        <v>211</v>
      </c>
      <c r="G53">
        <v>109700</v>
      </c>
      <c r="H53" t="s">
        <v>32</v>
      </c>
      <c r="I53" t="s">
        <v>39</v>
      </c>
      <c r="J53" t="s">
        <v>212</v>
      </c>
      <c r="K53" t="s">
        <v>23</v>
      </c>
      <c r="L53" t="s">
        <v>205</v>
      </c>
      <c r="M53" t="s">
        <v>42</v>
      </c>
      <c r="N53" t="s">
        <v>26</v>
      </c>
      <c r="O53" t="s">
        <v>27</v>
      </c>
      <c r="P53" s="1">
        <v>44804</v>
      </c>
      <c r="Q53">
        <f t="shared" si="0"/>
        <v>1</v>
      </c>
      <c r="R53">
        <f t="shared" si="1"/>
        <v>0</v>
      </c>
      <c r="S53">
        <f t="shared" si="2"/>
        <v>0</v>
      </c>
      <c r="T53" s="11">
        <f t="shared" si="3"/>
        <v>2021</v>
      </c>
      <c r="U53" s="11">
        <f t="shared" si="4"/>
        <v>8354</v>
      </c>
    </row>
    <row r="54" spans="1:21" x14ac:dyDescent="0.3">
      <c r="A54" t="s">
        <v>213</v>
      </c>
      <c r="B54">
        <v>2020</v>
      </c>
      <c r="C54" t="s">
        <v>56</v>
      </c>
      <c r="D54" t="s">
        <v>76</v>
      </c>
      <c r="E54">
        <v>18387</v>
      </c>
      <c r="F54" t="s">
        <v>71</v>
      </c>
      <c r="G54">
        <v>63700</v>
      </c>
      <c r="H54" t="s">
        <v>77</v>
      </c>
      <c r="I54" t="s">
        <v>21</v>
      </c>
      <c r="J54" t="s">
        <v>214</v>
      </c>
      <c r="K54" t="s">
        <v>23</v>
      </c>
      <c r="L54" t="s">
        <v>34</v>
      </c>
      <c r="N54" t="s">
        <v>35</v>
      </c>
      <c r="O54" t="s">
        <v>27</v>
      </c>
      <c r="P54" s="1">
        <v>44804</v>
      </c>
      <c r="Q54">
        <f t="shared" si="0"/>
        <v>0</v>
      </c>
      <c r="R54">
        <f t="shared" si="1"/>
        <v>0</v>
      </c>
      <c r="S54">
        <f t="shared" si="2"/>
        <v>0</v>
      </c>
      <c r="T54" s="11">
        <f t="shared" si="3"/>
        <v>2020</v>
      </c>
      <c r="U54" s="11">
        <f t="shared" si="4"/>
        <v>18387</v>
      </c>
    </row>
    <row r="55" spans="1:21" x14ac:dyDescent="0.3">
      <c r="A55" t="s">
        <v>215</v>
      </c>
      <c r="B55">
        <v>2017</v>
      </c>
      <c r="C55" t="s">
        <v>29</v>
      </c>
      <c r="D55" t="s">
        <v>32</v>
      </c>
      <c r="E55">
        <v>13499</v>
      </c>
      <c r="F55" t="s">
        <v>52</v>
      </c>
      <c r="G55">
        <v>88800</v>
      </c>
      <c r="H55" t="s">
        <v>45</v>
      </c>
      <c r="I55" t="s">
        <v>21</v>
      </c>
      <c r="J55" t="s">
        <v>216</v>
      </c>
      <c r="K55" t="s">
        <v>23</v>
      </c>
      <c r="L55" t="s">
        <v>34</v>
      </c>
      <c r="N55" t="s">
        <v>35</v>
      </c>
      <c r="O55" t="s">
        <v>27</v>
      </c>
      <c r="P55" s="1">
        <v>44804</v>
      </c>
      <c r="Q55">
        <f t="shared" si="0"/>
        <v>0</v>
      </c>
      <c r="R55">
        <f t="shared" si="1"/>
        <v>1</v>
      </c>
      <c r="S55">
        <f t="shared" si="2"/>
        <v>0</v>
      </c>
      <c r="T55" s="11">
        <f t="shared" si="3"/>
        <v>2017</v>
      </c>
      <c r="U55" s="11">
        <f t="shared" si="4"/>
        <v>13499</v>
      </c>
    </row>
    <row r="56" spans="1:21" x14ac:dyDescent="0.3">
      <c r="A56" t="s">
        <v>217</v>
      </c>
      <c r="B56">
        <v>2018</v>
      </c>
      <c r="C56" t="s">
        <v>56</v>
      </c>
      <c r="D56" t="s">
        <v>93</v>
      </c>
      <c r="E56">
        <v>54447</v>
      </c>
      <c r="F56" t="s">
        <v>57</v>
      </c>
      <c r="G56">
        <v>55200</v>
      </c>
      <c r="H56" t="s">
        <v>20</v>
      </c>
      <c r="I56" t="s">
        <v>78</v>
      </c>
      <c r="J56" t="s">
        <v>218</v>
      </c>
      <c r="K56" t="s">
        <v>23</v>
      </c>
      <c r="L56" t="s">
        <v>219</v>
      </c>
      <c r="M56" t="s">
        <v>220</v>
      </c>
      <c r="N56" t="s">
        <v>221</v>
      </c>
      <c r="O56" t="s">
        <v>27</v>
      </c>
      <c r="P56" s="1">
        <v>44804</v>
      </c>
      <c r="Q56">
        <f t="shared" si="0"/>
        <v>0</v>
      </c>
      <c r="R56">
        <f t="shared" si="1"/>
        <v>0</v>
      </c>
      <c r="S56">
        <f t="shared" si="2"/>
        <v>0</v>
      </c>
      <c r="T56" s="11">
        <f t="shared" si="3"/>
        <v>2018</v>
      </c>
      <c r="U56" s="11">
        <f t="shared" si="4"/>
        <v>54447</v>
      </c>
    </row>
    <row r="57" spans="1:21" x14ac:dyDescent="0.3">
      <c r="A57" t="s">
        <v>222</v>
      </c>
      <c r="B57">
        <v>2021</v>
      </c>
      <c r="C57" t="s">
        <v>56</v>
      </c>
      <c r="D57" t="s">
        <v>53</v>
      </c>
      <c r="E57">
        <v>16199</v>
      </c>
      <c r="F57" t="s">
        <v>143</v>
      </c>
      <c r="G57">
        <v>68400</v>
      </c>
      <c r="H57" t="s">
        <v>20</v>
      </c>
      <c r="J57" t="s">
        <v>223</v>
      </c>
      <c r="K57" t="s">
        <v>23</v>
      </c>
      <c r="L57" t="s">
        <v>224</v>
      </c>
      <c r="M57" t="s">
        <v>202</v>
      </c>
      <c r="N57" t="s">
        <v>203</v>
      </c>
      <c r="O57" t="s">
        <v>27</v>
      </c>
      <c r="P57" s="1">
        <v>44804</v>
      </c>
      <c r="Q57">
        <f t="shared" si="0"/>
        <v>0</v>
      </c>
      <c r="R57">
        <f t="shared" si="1"/>
        <v>0</v>
      </c>
      <c r="S57">
        <f t="shared" si="2"/>
        <v>0</v>
      </c>
      <c r="T57" s="11">
        <f t="shared" si="3"/>
        <v>2021</v>
      </c>
      <c r="U57" s="11">
        <f t="shared" si="4"/>
        <v>16199</v>
      </c>
    </row>
    <row r="58" spans="1:21" x14ac:dyDescent="0.3">
      <c r="A58" t="s">
        <v>225</v>
      </c>
      <c r="B58">
        <v>2018</v>
      </c>
      <c r="C58" t="s">
        <v>37</v>
      </c>
      <c r="D58" t="s">
        <v>51</v>
      </c>
      <c r="E58">
        <v>30082</v>
      </c>
      <c r="F58" t="s">
        <v>52</v>
      </c>
      <c r="G58">
        <v>71900</v>
      </c>
      <c r="H58" t="s">
        <v>53</v>
      </c>
      <c r="I58" t="s">
        <v>78</v>
      </c>
      <c r="J58" t="s">
        <v>226</v>
      </c>
      <c r="K58" t="s">
        <v>23</v>
      </c>
      <c r="L58" t="s">
        <v>183</v>
      </c>
      <c r="M58" t="s">
        <v>25</v>
      </c>
      <c r="N58" t="s">
        <v>26</v>
      </c>
      <c r="O58" t="s">
        <v>27</v>
      </c>
      <c r="P58" s="1">
        <v>44804</v>
      </c>
      <c r="Q58">
        <f t="shared" si="0"/>
        <v>1</v>
      </c>
      <c r="R58">
        <f t="shared" si="1"/>
        <v>0</v>
      </c>
      <c r="S58">
        <f t="shared" si="2"/>
        <v>0</v>
      </c>
      <c r="T58" s="11">
        <f t="shared" si="3"/>
        <v>2018</v>
      </c>
      <c r="U58" s="11">
        <f t="shared" si="4"/>
        <v>30082</v>
      </c>
    </row>
    <row r="59" spans="1:21" x14ac:dyDescent="0.3">
      <c r="A59" t="s">
        <v>227</v>
      </c>
      <c r="B59">
        <v>2019</v>
      </c>
      <c r="C59" t="s">
        <v>56</v>
      </c>
      <c r="D59" t="s">
        <v>53</v>
      </c>
      <c r="E59">
        <v>17904</v>
      </c>
      <c r="F59" t="s">
        <v>65</v>
      </c>
      <c r="G59">
        <v>44200</v>
      </c>
      <c r="H59" t="s">
        <v>20</v>
      </c>
      <c r="I59" t="s">
        <v>78</v>
      </c>
      <c r="J59" t="s">
        <v>187</v>
      </c>
      <c r="K59" t="s">
        <v>23</v>
      </c>
      <c r="L59" t="s">
        <v>228</v>
      </c>
      <c r="M59" t="s">
        <v>25</v>
      </c>
      <c r="N59" t="s">
        <v>26</v>
      </c>
      <c r="O59" t="s">
        <v>27</v>
      </c>
      <c r="P59" s="1">
        <v>44804</v>
      </c>
      <c r="Q59">
        <f t="shared" si="0"/>
        <v>0</v>
      </c>
      <c r="R59">
        <f t="shared" si="1"/>
        <v>0</v>
      </c>
      <c r="S59">
        <f t="shared" si="2"/>
        <v>0</v>
      </c>
      <c r="T59" s="11">
        <f t="shared" si="3"/>
        <v>2019</v>
      </c>
      <c r="U59" s="11">
        <f t="shared" si="4"/>
        <v>17904</v>
      </c>
    </row>
    <row r="60" spans="1:21" x14ac:dyDescent="0.3">
      <c r="A60" t="s">
        <v>229</v>
      </c>
      <c r="B60">
        <v>2019</v>
      </c>
      <c r="C60" t="s">
        <v>56</v>
      </c>
      <c r="D60" t="s">
        <v>53</v>
      </c>
      <c r="E60">
        <v>45030</v>
      </c>
      <c r="F60" t="s">
        <v>65</v>
      </c>
      <c r="G60">
        <v>44600</v>
      </c>
      <c r="H60" t="s">
        <v>20</v>
      </c>
      <c r="I60" t="s">
        <v>58</v>
      </c>
      <c r="J60" t="s">
        <v>66</v>
      </c>
      <c r="K60" t="s">
        <v>23</v>
      </c>
      <c r="L60" t="s">
        <v>230</v>
      </c>
      <c r="M60" t="s">
        <v>25</v>
      </c>
      <c r="N60" t="s">
        <v>26</v>
      </c>
      <c r="O60" t="s">
        <v>27</v>
      </c>
      <c r="P60" s="1">
        <v>44804</v>
      </c>
      <c r="Q60">
        <f t="shared" si="0"/>
        <v>0</v>
      </c>
      <c r="R60">
        <f t="shared" si="1"/>
        <v>0</v>
      </c>
      <c r="S60">
        <f t="shared" si="2"/>
        <v>0</v>
      </c>
      <c r="T60" s="11">
        <f t="shared" si="3"/>
        <v>2019</v>
      </c>
      <c r="U60" s="11">
        <f t="shared" si="4"/>
        <v>45030</v>
      </c>
    </row>
    <row r="61" spans="1:21" x14ac:dyDescent="0.3">
      <c r="A61" t="s">
        <v>231</v>
      </c>
      <c r="B61">
        <v>2019</v>
      </c>
      <c r="C61" t="s">
        <v>56</v>
      </c>
      <c r="D61" t="s">
        <v>93</v>
      </c>
      <c r="E61">
        <v>26461</v>
      </c>
      <c r="F61" t="s">
        <v>57</v>
      </c>
      <c r="G61">
        <v>57600</v>
      </c>
      <c r="H61" t="s">
        <v>77</v>
      </c>
      <c r="I61" t="s">
        <v>58</v>
      </c>
      <c r="J61" t="s">
        <v>232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  <c r="P61" s="1">
        <v>44804</v>
      </c>
      <c r="Q61">
        <f t="shared" si="0"/>
        <v>0</v>
      </c>
      <c r="R61">
        <f t="shared" si="1"/>
        <v>0</v>
      </c>
      <c r="S61">
        <f t="shared" si="2"/>
        <v>0</v>
      </c>
      <c r="T61" s="11">
        <f t="shared" si="3"/>
        <v>2019</v>
      </c>
      <c r="U61" s="11">
        <f t="shared" si="4"/>
        <v>26461</v>
      </c>
    </row>
    <row r="62" spans="1:21" x14ac:dyDescent="0.3">
      <c r="A62" t="s">
        <v>233</v>
      </c>
      <c r="B62">
        <v>2019</v>
      </c>
      <c r="C62" t="s">
        <v>56</v>
      </c>
      <c r="D62" t="s">
        <v>93</v>
      </c>
      <c r="E62">
        <v>30457</v>
      </c>
      <c r="F62" t="s">
        <v>234</v>
      </c>
      <c r="G62">
        <v>57800</v>
      </c>
      <c r="H62" t="s">
        <v>77</v>
      </c>
      <c r="I62" t="s">
        <v>58</v>
      </c>
      <c r="J62" t="s">
        <v>235</v>
      </c>
      <c r="K62" t="s">
        <v>23</v>
      </c>
      <c r="L62" t="s">
        <v>236</v>
      </c>
      <c r="M62" t="s">
        <v>25</v>
      </c>
      <c r="N62" t="s">
        <v>26</v>
      </c>
      <c r="O62" t="s">
        <v>27</v>
      </c>
      <c r="P62" s="1">
        <v>44804</v>
      </c>
      <c r="Q62">
        <f t="shared" si="0"/>
        <v>0</v>
      </c>
      <c r="R62">
        <f t="shared" si="1"/>
        <v>0</v>
      </c>
      <c r="S62">
        <f t="shared" si="2"/>
        <v>0</v>
      </c>
      <c r="T62" s="11">
        <f t="shared" si="3"/>
        <v>2019</v>
      </c>
      <c r="U62" s="11">
        <f t="shared" si="4"/>
        <v>30457</v>
      </c>
    </row>
    <row r="63" spans="1:21" x14ac:dyDescent="0.3">
      <c r="A63" t="s">
        <v>237</v>
      </c>
      <c r="B63">
        <v>2019</v>
      </c>
      <c r="C63" t="s">
        <v>29</v>
      </c>
      <c r="D63" t="s">
        <v>32</v>
      </c>
      <c r="E63">
        <v>50214</v>
      </c>
      <c r="F63" t="s">
        <v>44</v>
      </c>
      <c r="G63">
        <v>91000</v>
      </c>
      <c r="H63" t="s">
        <v>32</v>
      </c>
      <c r="I63" t="s">
        <v>21</v>
      </c>
      <c r="J63" t="s">
        <v>238</v>
      </c>
      <c r="K63" t="s">
        <v>23</v>
      </c>
      <c r="L63" t="s">
        <v>183</v>
      </c>
      <c r="M63" t="s">
        <v>25</v>
      </c>
      <c r="N63" t="s">
        <v>26</v>
      </c>
      <c r="O63" t="s">
        <v>27</v>
      </c>
      <c r="P63" s="1">
        <v>44804</v>
      </c>
      <c r="Q63">
        <f t="shared" si="0"/>
        <v>0</v>
      </c>
      <c r="R63">
        <f t="shared" si="1"/>
        <v>1</v>
      </c>
      <c r="S63">
        <f t="shared" si="2"/>
        <v>0</v>
      </c>
      <c r="T63" s="11">
        <f t="shared" si="3"/>
        <v>2019</v>
      </c>
      <c r="U63" s="11">
        <f t="shared" si="4"/>
        <v>50214</v>
      </c>
    </row>
    <row r="64" spans="1:21" x14ac:dyDescent="0.3">
      <c r="A64" t="s">
        <v>239</v>
      </c>
      <c r="B64">
        <v>2020</v>
      </c>
      <c r="C64" t="s">
        <v>29</v>
      </c>
      <c r="D64" t="s">
        <v>51</v>
      </c>
      <c r="E64">
        <v>11810</v>
      </c>
      <c r="F64" t="s">
        <v>177</v>
      </c>
      <c r="G64">
        <v>111600</v>
      </c>
      <c r="H64" t="s">
        <v>32</v>
      </c>
      <c r="I64" t="s">
        <v>110</v>
      </c>
      <c r="J64" t="s">
        <v>240</v>
      </c>
      <c r="K64" t="s">
        <v>23</v>
      </c>
      <c r="L64" t="s">
        <v>236</v>
      </c>
      <c r="M64" t="s">
        <v>25</v>
      </c>
      <c r="N64" t="s">
        <v>26</v>
      </c>
      <c r="O64" t="s">
        <v>27</v>
      </c>
      <c r="P64" s="1">
        <v>44804</v>
      </c>
      <c r="Q64">
        <f t="shared" si="0"/>
        <v>0</v>
      </c>
      <c r="R64">
        <f t="shared" si="1"/>
        <v>1</v>
      </c>
      <c r="S64">
        <f t="shared" si="2"/>
        <v>0</v>
      </c>
      <c r="T64" s="11">
        <f t="shared" si="3"/>
        <v>2020</v>
      </c>
      <c r="U64" s="11">
        <f t="shared" si="4"/>
        <v>11810</v>
      </c>
    </row>
    <row r="65" spans="1:21" x14ac:dyDescent="0.3">
      <c r="A65" t="s">
        <v>241</v>
      </c>
      <c r="B65">
        <v>2020</v>
      </c>
      <c r="C65" t="s">
        <v>17</v>
      </c>
      <c r="D65" t="s">
        <v>30</v>
      </c>
      <c r="E65">
        <v>19357</v>
      </c>
      <c r="F65" t="s">
        <v>207</v>
      </c>
      <c r="G65">
        <v>68800</v>
      </c>
      <c r="H65" t="s">
        <v>20</v>
      </c>
      <c r="I65" t="s">
        <v>78</v>
      </c>
      <c r="J65" t="s">
        <v>242</v>
      </c>
      <c r="K65" t="s">
        <v>23</v>
      </c>
      <c r="L65" t="s">
        <v>243</v>
      </c>
      <c r="M65" t="s">
        <v>244</v>
      </c>
      <c r="N65" t="s">
        <v>245</v>
      </c>
      <c r="O65" t="s">
        <v>27</v>
      </c>
      <c r="P65" s="1">
        <v>44803</v>
      </c>
      <c r="Q65">
        <f t="shared" si="0"/>
        <v>0</v>
      </c>
      <c r="R65">
        <f t="shared" si="1"/>
        <v>0</v>
      </c>
      <c r="S65">
        <f t="shared" si="2"/>
        <v>1</v>
      </c>
      <c r="T65" s="11">
        <f t="shared" si="3"/>
        <v>2020</v>
      </c>
      <c r="U65" s="11">
        <f t="shared" si="4"/>
        <v>19357</v>
      </c>
    </row>
    <row r="66" spans="1:21" x14ac:dyDescent="0.3">
      <c r="A66" t="s">
        <v>246</v>
      </c>
      <c r="B66">
        <v>2019</v>
      </c>
      <c r="C66" t="s">
        <v>56</v>
      </c>
      <c r="D66" t="s">
        <v>32</v>
      </c>
      <c r="E66">
        <v>13238</v>
      </c>
      <c r="F66" t="s">
        <v>57</v>
      </c>
      <c r="G66">
        <v>58800</v>
      </c>
      <c r="H66" t="s">
        <v>20</v>
      </c>
      <c r="I66" t="s">
        <v>58</v>
      </c>
      <c r="J66" t="s">
        <v>168</v>
      </c>
      <c r="K66" t="s">
        <v>23</v>
      </c>
      <c r="L66" t="s">
        <v>247</v>
      </c>
      <c r="M66" t="s">
        <v>248</v>
      </c>
      <c r="N66" t="s">
        <v>249</v>
      </c>
      <c r="O66" t="s">
        <v>27</v>
      </c>
      <c r="P66" s="1">
        <v>44803</v>
      </c>
      <c r="Q66">
        <f t="shared" ref="Q66:Q129" si="5">--(C66="ms")</f>
        <v>0</v>
      </c>
      <c r="R66">
        <f t="shared" ref="R66:R129" si="6">--(C66="mx")</f>
        <v>0</v>
      </c>
      <c r="S66">
        <f t="shared" ref="S66:S129" si="7">--(C66="my")</f>
        <v>0</v>
      </c>
      <c r="T66" s="11">
        <f t="shared" ref="T66:T129" si="8">B66</f>
        <v>2019</v>
      </c>
      <c r="U66" s="11">
        <f t="shared" ref="U66:U129" si="9">E66</f>
        <v>13238</v>
      </c>
    </row>
    <row r="67" spans="1:21" x14ac:dyDescent="0.3">
      <c r="A67" t="s">
        <v>250</v>
      </c>
      <c r="B67">
        <v>2021</v>
      </c>
      <c r="C67" t="s">
        <v>17</v>
      </c>
      <c r="D67" t="s">
        <v>18</v>
      </c>
      <c r="E67">
        <v>7406</v>
      </c>
      <c r="F67" t="s">
        <v>19</v>
      </c>
      <c r="G67">
        <v>80100</v>
      </c>
      <c r="H67" t="s">
        <v>77</v>
      </c>
      <c r="I67" t="s">
        <v>21</v>
      </c>
      <c r="J67" t="s">
        <v>251</v>
      </c>
      <c r="K67" t="s">
        <v>23</v>
      </c>
      <c r="L67" t="s">
        <v>47</v>
      </c>
      <c r="M67" t="s">
        <v>48</v>
      </c>
      <c r="N67" t="s">
        <v>49</v>
      </c>
      <c r="O67" t="s">
        <v>27</v>
      </c>
      <c r="P67" s="1">
        <v>44803</v>
      </c>
      <c r="Q67">
        <f t="shared" si="5"/>
        <v>0</v>
      </c>
      <c r="R67">
        <f t="shared" si="6"/>
        <v>0</v>
      </c>
      <c r="S67">
        <f t="shared" si="7"/>
        <v>1</v>
      </c>
      <c r="T67" s="11">
        <f t="shared" si="8"/>
        <v>2021</v>
      </c>
      <c r="U67" s="11">
        <f t="shared" si="9"/>
        <v>7406</v>
      </c>
    </row>
    <row r="68" spans="1:21" x14ac:dyDescent="0.3">
      <c r="A68" t="s">
        <v>252</v>
      </c>
      <c r="B68">
        <v>2018</v>
      </c>
      <c r="C68" t="s">
        <v>56</v>
      </c>
      <c r="D68" t="s">
        <v>18</v>
      </c>
      <c r="E68">
        <v>24771</v>
      </c>
      <c r="F68" t="s">
        <v>57</v>
      </c>
      <c r="G68">
        <v>53500</v>
      </c>
      <c r="H68" t="s">
        <v>20</v>
      </c>
      <c r="I68" t="s">
        <v>58</v>
      </c>
      <c r="J68" t="s">
        <v>253</v>
      </c>
      <c r="K68" t="s">
        <v>23</v>
      </c>
      <c r="L68" t="s">
        <v>254</v>
      </c>
      <c r="M68" t="s">
        <v>255</v>
      </c>
      <c r="N68" t="s">
        <v>256</v>
      </c>
      <c r="O68" t="s">
        <v>27</v>
      </c>
      <c r="P68" s="1">
        <v>44803</v>
      </c>
      <c r="Q68">
        <f t="shared" si="5"/>
        <v>0</v>
      </c>
      <c r="R68">
        <f t="shared" si="6"/>
        <v>0</v>
      </c>
      <c r="S68">
        <f t="shared" si="7"/>
        <v>0</v>
      </c>
      <c r="T68" s="11">
        <f t="shared" si="8"/>
        <v>2018</v>
      </c>
      <c r="U68" s="11">
        <f t="shared" si="9"/>
        <v>24771</v>
      </c>
    </row>
    <row r="69" spans="1:21" x14ac:dyDescent="0.3">
      <c r="A69" t="s">
        <v>257</v>
      </c>
      <c r="B69">
        <v>2022</v>
      </c>
      <c r="C69" t="s">
        <v>17</v>
      </c>
      <c r="D69" t="s">
        <v>32</v>
      </c>
      <c r="E69">
        <v>7898</v>
      </c>
      <c r="F69" t="s">
        <v>189</v>
      </c>
      <c r="G69">
        <v>78900</v>
      </c>
      <c r="H69" t="s">
        <v>20</v>
      </c>
      <c r="I69" t="s">
        <v>39</v>
      </c>
      <c r="J69" t="s">
        <v>258</v>
      </c>
      <c r="K69" t="s">
        <v>23</v>
      </c>
      <c r="L69" t="s">
        <v>34</v>
      </c>
      <c r="N69" t="s">
        <v>35</v>
      </c>
      <c r="O69" t="s">
        <v>27</v>
      </c>
      <c r="P69" s="1">
        <v>44803</v>
      </c>
      <c r="Q69">
        <f t="shared" si="5"/>
        <v>0</v>
      </c>
      <c r="R69">
        <f t="shared" si="6"/>
        <v>0</v>
      </c>
      <c r="S69">
        <f t="shared" si="7"/>
        <v>1</v>
      </c>
      <c r="T69" s="11">
        <f t="shared" si="8"/>
        <v>2022</v>
      </c>
      <c r="U69" s="11">
        <f t="shared" si="9"/>
        <v>7898</v>
      </c>
    </row>
    <row r="70" spans="1:21" x14ac:dyDescent="0.3">
      <c r="A70" t="s">
        <v>259</v>
      </c>
      <c r="B70">
        <v>2020</v>
      </c>
      <c r="C70" t="s">
        <v>56</v>
      </c>
      <c r="D70" t="s">
        <v>32</v>
      </c>
      <c r="E70">
        <v>27167</v>
      </c>
      <c r="F70" t="s">
        <v>65</v>
      </c>
      <c r="G70">
        <v>47900</v>
      </c>
      <c r="H70" t="s">
        <v>20</v>
      </c>
      <c r="I70" t="s">
        <v>58</v>
      </c>
      <c r="J70" t="s">
        <v>192</v>
      </c>
      <c r="K70" t="s">
        <v>23</v>
      </c>
      <c r="L70" t="s">
        <v>260</v>
      </c>
      <c r="M70" t="s">
        <v>261</v>
      </c>
      <c r="N70" t="s">
        <v>262</v>
      </c>
      <c r="O70" t="s">
        <v>27</v>
      </c>
      <c r="P70" s="1">
        <v>44803</v>
      </c>
      <c r="Q70">
        <f t="shared" si="5"/>
        <v>0</v>
      </c>
      <c r="R70">
        <f t="shared" si="6"/>
        <v>0</v>
      </c>
      <c r="S70">
        <f t="shared" si="7"/>
        <v>0</v>
      </c>
      <c r="T70" s="11">
        <f t="shared" si="8"/>
        <v>2020</v>
      </c>
      <c r="U70" s="11">
        <f t="shared" si="9"/>
        <v>27167</v>
      </c>
    </row>
    <row r="71" spans="1:21" x14ac:dyDescent="0.3">
      <c r="A71" t="s">
        <v>263</v>
      </c>
      <c r="B71">
        <v>2019</v>
      </c>
      <c r="C71" t="s">
        <v>29</v>
      </c>
      <c r="D71" t="s">
        <v>51</v>
      </c>
      <c r="E71">
        <v>9710</v>
      </c>
      <c r="F71" t="s">
        <v>52</v>
      </c>
      <c r="G71">
        <v>100600</v>
      </c>
      <c r="H71" t="s">
        <v>53</v>
      </c>
      <c r="I71" t="s">
        <v>21</v>
      </c>
      <c r="J71" t="s">
        <v>264</v>
      </c>
      <c r="K71" t="s">
        <v>23</v>
      </c>
      <c r="L71" t="s">
        <v>34</v>
      </c>
      <c r="N71" t="s">
        <v>35</v>
      </c>
      <c r="O71" t="s">
        <v>27</v>
      </c>
      <c r="P71" s="1">
        <v>44803</v>
      </c>
      <c r="Q71">
        <f t="shared" si="5"/>
        <v>0</v>
      </c>
      <c r="R71">
        <f t="shared" si="6"/>
        <v>1</v>
      </c>
      <c r="S71">
        <f t="shared" si="7"/>
        <v>0</v>
      </c>
      <c r="T71" s="11">
        <f t="shared" si="8"/>
        <v>2019</v>
      </c>
      <c r="U71" s="11">
        <f t="shared" si="9"/>
        <v>9710</v>
      </c>
    </row>
    <row r="72" spans="1:21" x14ac:dyDescent="0.3">
      <c r="A72" t="s">
        <v>265</v>
      </c>
      <c r="B72">
        <v>2019</v>
      </c>
      <c r="C72" t="s">
        <v>56</v>
      </c>
      <c r="D72" t="s">
        <v>32</v>
      </c>
      <c r="E72">
        <v>49594</v>
      </c>
      <c r="F72" t="s">
        <v>65</v>
      </c>
      <c r="G72">
        <v>47200</v>
      </c>
      <c r="H72" t="s">
        <v>77</v>
      </c>
      <c r="I72" t="s">
        <v>58</v>
      </c>
      <c r="J72" t="s">
        <v>266</v>
      </c>
      <c r="K72" t="s">
        <v>23</v>
      </c>
      <c r="L72" t="s">
        <v>47</v>
      </c>
      <c r="M72" t="s">
        <v>48</v>
      </c>
      <c r="N72" t="s">
        <v>49</v>
      </c>
      <c r="O72" t="s">
        <v>27</v>
      </c>
      <c r="P72" s="1">
        <v>44803</v>
      </c>
      <c r="Q72">
        <f t="shared" si="5"/>
        <v>0</v>
      </c>
      <c r="R72">
        <f t="shared" si="6"/>
        <v>0</v>
      </c>
      <c r="S72">
        <f t="shared" si="7"/>
        <v>0</v>
      </c>
      <c r="T72" s="11">
        <f t="shared" si="8"/>
        <v>2019</v>
      </c>
      <c r="U72" s="11">
        <f t="shared" si="9"/>
        <v>49594</v>
      </c>
    </row>
    <row r="73" spans="1:21" x14ac:dyDescent="0.3">
      <c r="A73" t="s">
        <v>267</v>
      </c>
      <c r="B73">
        <v>2020</v>
      </c>
      <c r="C73" t="s">
        <v>29</v>
      </c>
      <c r="D73" t="s">
        <v>32</v>
      </c>
      <c r="E73">
        <v>42459</v>
      </c>
      <c r="F73" t="s">
        <v>44</v>
      </c>
      <c r="G73">
        <v>86600</v>
      </c>
      <c r="H73" t="s">
        <v>53</v>
      </c>
      <c r="I73" t="s">
        <v>110</v>
      </c>
      <c r="J73" t="s">
        <v>268</v>
      </c>
      <c r="K73" t="s">
        <v>23</v>
      </c>
      <c r="L73" t="s">
        <v>47</v>
      </c>
      <c r="M73" t="s">
        <v>48</v>
      </c>
      <c r="N73" t="s">
        <v>49</v>
      </c>
      <c r="O73" t="s">
        <v>27</v>
      </c>
      <c r="P73" s="1">
        <v>44803</v>
      </c>
      <c r="Q73">
        <f t="shared" si="5"/>
        <v>0</v>
      </c>
      <c r="R73">
        <f t="shared" si="6"/>
        <v>1</v>
      </c>
      <c r="S73">
        <f t="shared" si="7"/>
        <v>0</v>
      </c>
      <c r="T73" s="11">
        <f t="shared" si="8"/>
        <v>2020</v>
      </c>
      <c r="U73" s="11">
        <f t="shared" si="9"/>
        <v>42459</v>
      </c>
    </row>
    <row r="74" spans="1:21" x14ac:dyDescent="0.3">
      <c r="A74" t="s">
        <v>269</v>
      </c>
      <c r="B74">
        <v>2017</v>
      </c>
      <c r="C74" t="s">
        <v>37</v>
      </c>
      <c r="D74" t="s">
        <v>51</v>
      </c>
      <c r="E74">
        <v>37701</v>
      </c>
      <c r="F74" t="s">
        <v>270</v>
      </c>
      <c r="G74">
        <v>74800</v>
      </c>
      <c r="H74" t="s">
        <v>53</v>
      </c>
      <c r="I74" t="s">
        <v>39</v>
      </c>
      <c r="J74" t="s">
        <v>271</v>
      </c>
      <c r="K74" t="s">
        <v>23</v>
      </c>
      <c r="L74" t="s">
        <v>84</v>
      </c>
      <c r="M74" t="s">
        <v>48</v>
      </c>
      <c r="N74" t="s">
        <v>69</v>
      </c>
      <c r="O74" t="s">
        <v>27</v>
      </c>
      <c r="P74" s="1">
        <v>44803</v>
      </c>
      <c r="Q74">
        <f t="shared" si="5"/>
        <v>1</v>
      </c>
      <c r="R74">
        <f t="shared" si="6"/>
        <v>0</v>
      </c>
      <c r="S74">
        <f t="shared" si="7"/>
        <v>0</v>
      </c>
      <c r="T74" s="11">
        <f t="shared" si="8"/>
        <v>2017</v>
      </c>
      <c r="U74" s="11">
        <f t="shared" si="9"/>
        <v>37701</v>
      </c>
    </row>
    <row r="75" spans="1:21" x14ac:dyDescent="0.3">
      <c r="A75" t="s">
        <v>272</v>
      </c>
      <c r="B75">
        <v>2020</v>
      </c>
      <c r="C75" t="s">
        <v>17</v>
      </c>
      <c r="D75" t="s">
        <v>53</v>
      </c>
      <c r="E75">
        <v>15715</v>
      </c>
      <c r="F75" t="s">
        <v>156</v>
      </c>
      <c r="G75">
        <v>74200</v>
      </c>
      <c r="H75" t="s">
        <v>77</v>
      </c>
      <c r="I75" t="s">
        <v>39</v>
      </c>
      <c r="J75" t="s">
        <v>273</v>
      </c>
      <c r="K75" t="s">
        <v>23</v>
      </c>
      <c r="L75" t="s">
        <v>112</v>
      </c>
      <c r="M75" t="s">
        <v>113</v>
      </c>
      <c r="N75" t="s">
        <v>114</v>
      </c>
      <c r="O75" t="s">
        <v>27</v>
      </c>
      <c r="P75" s="1">
        <v>44803</v>
      </c>
      <c r="Q75">
        <f t="shared" si="5"/>
        <v>0</v>
      </c>
      <c r="R75">
        <f t="shared" si="6"/>
        <v>0</v>
      </c>
      <c r="S75">
        <f t="shared" si="7"/>
        <v>1</v>
      </c>
      <c r="T75" s="11">
        <f t="shared" si="8"/>
        <v>2020</v>
      </c>
      <c r="U75" s="11">
        <f t="shared" si="9"/>
        <v>15715</v>
      </c>
    </row>
    <row r="76" spans="1:21" x14ac:dyDescent="0.3">
      <c r="A76" t="s">
        <v>274</v>
      </c>
      <c r="B76">
        <v>2019</v>
      </c>
      <c r="C76" t="s">
        <v>56</v>
      </c>
      <c r="D76" t="s">
        <v>32</v>
      </c>
      <c r="E76">
        <v>13184</v>
      </c>
      <c r="F76" t="s">
        <v>57</v>
      </c>
      <c r="G76">
        <v>57900</v>
      </c>
      <c r="H76" t="s">
        <v>20</v>
      </c>
      <c r="I76" t="s">
        <v>78</v>
      </c>
      <c r="J76" t="s">
        <v>275</v>
      </c>
      <c r="K76" t="s">
        <v>23</v>
      </c>
      <c r="L76" t="s">
        <v>95</v>
      </c>
      <c r="M76" t="s">
        <v>96</v>
      </c>
      <c r="N76" t="s">
        <v>89</v>
      </c>
      <c r="O76" t="s">
        <v>27</v>
      </c>
      <c r="P76" s="1">
        <v>44803</v>
      </c>
      <c r="Q76">
        <f t="shared" si="5"/>
        <v>0</v>
      </c>
      <c r="R76">
        <f t="shared" si="6"/>
        <v>0</v>
      </c>
      <c r="S76">
        <f t="shared" si="7"/>
        <v>0</v>
      </c>
      <c r="T76" s="11">
        <f t="shared" si="8"/>
        <v>2019</v>
      </c>
      <c r="U76" s="11">
        <f t="shared" si="9"/>
        <v>13184</v>
      </c>
    </row>
    <row r="77" spans="1:21" x14ac:dyDescent="0.3">
      <c r="A77" t="s">
        <v>276</v>
      </c>
      <c r="B77">
        <v>2022</v>
      </c>
      <c r="C77" t="s">
        <v>17</v>
      </c>
      <c r="D77" t="s">
        <v>32</v>
      </c>
      <c r="E77">
        <v>19439</v>
      </c>
      <c r="F77" t="s">
        <v>19</v>
      </c>
      <c r="G77">
        <v>74100</v>
      </c>
      <c r="H77" t="s">
        <v>77</v>
      </c>
      <c r="I77" t="s">
        <v>78</v>
      </c>
      <c r="J77" t="s">
        <v>277</v>
      </c>
      <c r="K77" t="s">
        <v>23</v>
      </c>
      <c r="L77" t="s">
        <v>278</v>
      </c>
      <c r="M77" t="s">
        <v>148</v>
      </c>
      <c r="N77" t="s">
        <v>149</v>
      </c>
      <c r="O77" t="s">
        <v>27</v>
      </c>
      <c r="P77" s="1">
        <v>44803</v>
      </c>
      <c r="Q77">
        <f t="shared" si="5"/>
        <v>0</v>
      </c>
      <c r="R77">
        <f t="shared" si="6"/>
        <v>0</v>
      </c>
      <c r="S77">
        <f t="shared" si="7"/>
        <v>1</v>
      </c>
      <c r="T77" s="11">
        <f t="shared" si="8"/>
        <v>2022</v>
      </c>
      <c r="U77" s="11">
        <f t="shared" si="9"/>
        <v>19439</v>
      </c>
    </row>
    <row r="78" spans="1:21" x14ac:dyDescent="0.3">
      <c r="A78" t="s">
        <v>279</v>
      </c>
      <c r="B78">
        <v>2019</v>
      </c>
      <c r="C78" t="s">
        <v>56</v>
      </c>
      <c r="D78" t="s">
        <v>93</v>
      </c>
      <c r="E78">
        <v>35481</v>
      </c>
      <c r="F78" t="s">
        <v>57</v>
      </c>
      <c r="G78">
        <v>57600</v>
      </c>
      <c r="H78" t="s">
        <v>77</v>
      </c>
      <c r="I78" t="s">
        <v>78</v>
      </c>
      <c r="J78" t="s">
        <v>280</v>
      </c>
      <c r="K78" t="s">
        <v>23</v>
      </c>
      <c r="L78" t="s">
        <v>95</v>
      </c>
      <c r="M78" t="s">
        <v>96</v>
      </c>
      <c r="N78" t="s">
        <v>89</v>
      </c>
      <c r="O78" t="s">
        <v>27</v>
      </c>
      <c r="P78" s="1">
        <v>44803</v>
      </c>
      <c r="Q78">
        <f t="shared" si="5"/>
        <v>0</v>
      </c>
      <c r="R78">
        <f t="shared" si="6"/>
        <v>0</v>
      </c>
      <c r="S78">
        <f t="shared" si="7"/>
        <v>0</v>
      </c>
      <c r="T78" s="11">
        <f t="shared" si="8"/>
        <v>2019</v>
      </c>
      <c r="U78" s="11">
        <f t="shared" si="9"/>
        <v>35481</v>
      </c>
    </row>
    <row r="79" spans="1:21" x14ac:dyDescent="0.3">
      <c r="A79" t="s">
        <v>281</v>
      </c>
      <c r="B79">
        <v>2021</v>
      </c>
      <c r="C79" t="s">
        <v>56</v>
      </c>
      <c r="D79" t="s">
        <v>93</v>
      </c>
      <c r="E79">
        <v>7997</v>
      </c>
      <c r="F79" t="s">
        <v>143</v>
      </c>
      <c r="G79">
        <v>65600</v>
      </c>
      <c r="H79" t="s">
        <v>20</v>
      </c>
      <c r="J79" t="s">
        <v>282</v>
      </c>
      <c r="K79" t="s">
        <v>23</v>
      </c>
      <c r="N79" t="s">
        <v>127</v>
      </c>
      <c r="O79" t="s">
        <v>27</v>
      </c>
      <c r="P79" s="1">
        <v>44803</v>
      </c>
      <c r="Q79">
        <f t="shared" si="5"/>
        <v>0</v>
      </c>
      <c r="R79">
        <f t="shared" si="6"/>
        <v>0</v>
      </c>
      <c r="S79">
        <f t="shared" si="7"/>
        <v>0</v>
      </c>
      <c r="T79" s="11">
        <f t="shared" si="8"/>
        <v>2021</v>
      </c>
      <c r="U79" s="11">
        <f t="shared" si="9"/>
        <v>7997</v>
      </c>
    </row>
    <row r="80" spans="1:21" x14ac:dyDescent="0.3">
      <c r="A80" t="s">
        <v>283</v>
      </c>
      <c r="B80">
        <v>2021</v>
      </c>
      <c r="C80" t="s">
        <v>56</v>
      </c>
      <c r="D80" t="s">
        <v>30</v>
      </c>
      <c r="E80">
        <v>10897</v>
      </c>
      <c r="F80" t="s">
        <v>57</v>
      </c>
      <c r="G80">
        <v>69700</v>
      </c>
      <c r="H80" t="s">
        <v>77</v>
      </c>
      <c r="I80" t="s">
        <v>58</v>
      </c>
      <c r="J80" t="s">
        <v>284</v>
      </c>
      <c r="K80" t="s">
        <v>23</v>
      </c>
      <c r="L80" t="s">
        <v>122</v>
      </c>
      <c r="M80" t="s">
        <v>113</v>
      </c>
      <c r="N80" t="s">
        <v>114</v>
      </c>
      <c r="O80" t="s">
        <v>27</v>
      </c>
      <c r="P80" s="1">
        <v>44803</v>
      </c>
      <c r="Q80">
        <f t="shared" si="5"/>
        <v>0</v>
      </c>
      <c r="R80">
        <f t="shared" si="6"/>
        <v>0</v>
      </c>
      <c r="S80">
        <f t="shared" si="7"/>
        <v>0</v>
      </c>
      <c r="T80" s="11">
        <f t="shared" si="8"/>
        <v>2021</v>
      </c>
      <c r="U80" s="11">
        <f t="shared" si="9"/>
        <v>10897</v>
      </c>
    </row>
    <row r="81" spans="1:21" x14ac:dyDescent="0.3">
      <c r="A81" t="s">
        <v>285</v>
      </c>
      <c r="B81">
        <v>2019</v>
      </c>
      <c r="C81" t="s">
        <v>56</v>
      </c>
      <c r="D81" t="s">
        <v>32</v>
      </c>
      <c r="E81">
        <v>44970</v>
      </c>
      <c r="F81" t="s">
        <v>71</v>
      </c>
      <c r="G81">
        <v>57400</v>
      </c>
      <c r="H81" t="s">
        <v>20</v>
      </c>
      <c r="I81" t="s">
        <v>21</v>
      </c>
      <c r="J81" t="s">
        <v>72</v>
      </c>
      <c r="K81" t="s">
        <v>23</v>
      </c>
      <c r="N81" t="s">
        <v>127</v>
      </c>
      <c r="O81" t="s">
        <v>27</v>
      </c>
      <c r="P81" s="1">
        <v>44803</v>
      </c>
      <c r="Q81">
        <f t="shared" si="5"/>
        <v>0</v>
      </c>
      <c r="R81">
        <f t="shared" si="6"/>
        <v>0</v>
      </c>
      <c r="S81">
        <f t="shared" si="7"/>
        <v>0</v>
      </c>
      <c r="T81" s="11">
        <f t="shared" si="8"/>
        <v>2019</v>
      </c>
      <c r="U81" s="11">
        <f t="shared" si="9"/>
        <v>44970</v>
      </c>
    </row>
    <row r="82" spans="1:21" x14ac:dyDescent="0.3">
      <c r="A82" t="s">
        <v>286</v>
      </c>
      <c r="B82">
        <v>2020</v>
      </c>
      <c r="C82" t="s">
        <v>56</v>
      </c>
      <c r="D82" t="s">
        <v>76</v>
      </c>
      <c r="E82">
        <v>23950</v>
      </c>
      <c r="F82" t="s">
        <v>71</v>
      </c>
      <c r="G82">
        <v>60700</v>
      </c>
      <c r="H82" t="s">
        <v>77</v>
      </c>
      <c r="I82" t="s">
        <v>21</v>
      </c>
      <c r="J82" t="s">
        <v>214</v>
      </c>
      <c r="K82" t="s">
        <v>23</v>
      </c>
      <c r="L82" t="s">
        <v>122</v>
      </c>
      <c r="M82" t="s">
        <v>113</v>
      </c>
      <c r="N82" t="s">
        <v>114</v>
      </c>
      <c r="O82" t="s">
        <v>27</v>
      </c>
      <c r="P82" s="1">
        <v>44803</v>
      </c>
      <c r="Q82">
        <f t="shared" si="5"/>
        <v>0</v>
      </c>
      <c r="R82">
        <f t="shared" si="6"/>
        <v>0</v>
      </c>
      <c r="S82">
        <f t="shared" si="7"/>
        <v>0</v>
      </c>
      <c r="T82" s="11">
        <f t="shared" si="8"/>
        <v>2020</v>
      </c>
      <c r="U82" s="11">
        <f t="shared" si="9"/>
        <v>23950</v>
      </c>
    </row>
    <row r="83" spans="1:21" x14ac:dyDescent="0.3">
      <c r="A83" t="s">
        <v>287</v>
      </c>
      <c r="B83">
        <v>2018</v>
      </c>
      <c r="C83" t="s">
        <v>56</v>
      </c>
      <c r="D83" t="s">
        <v>18</v>
      </c>
      <c r="E83">
        <v>58024</v>
      </c>
      <c r="F83" t="s">
        <v>234</v>
      </c>
      <c r="G83">
        <v>48100</v>
      </c>
      <c r="H83" t="s">
        <v>20</v>
      </c>
      <c r="I83" t="s">
        <v>58</v>
      </c>
      <c r="J83" t="s">
        <v>288</v>
      </c>
      <c r="K83" t="s">
        <v>23</v>
      </c>
      <c r="N83" t="s">
        <v>127</v>
      </c>
      <c r="O83" t="s">
        <v>27</v>
      </c>
      <c r="P83" s="1">
        <v>44803</v>
      </c>
      <c r="Q83">
        <f t="shared" si="5"/>
        <v>0</v>
      </c>
      <c r="R83">
        <f t="shared" si="6"/>
        <v>0</v>
      </c>
      <c r="S83">
        <f t="shared" si="7"/>
        <v>0</v>
      </c>
      <c r="T83" s="11">
        <f t="shared" si="8"/>
        <v>2018</v>
      </c>
      <c r="U83" s="11">
        <f t="shared" si="9"/>
        <v>58024</v>
      </c>
    </row>
    <row r="84" spans="1:21" x14ac:dyDescent="0.3">
      <c r="A84" t="s">
        <v>289</v>
      </c>
      <c r="B84">
        <v>2018</v>
      </c>
      <c r="C84" t="s">
        <v>56</v>
      </c>
      <c r="D84" t="s">
        <v>93</v>
      </c>
      <c r="E84">
        <v>29810</v>
      </c>
      <c r="F84" t="s">
        <v>234</v>
      </c>
      <c r="G84">
        <v>50700</v>
      </c>
      <c r="H84" t="s">
        <v>20</v>
      </c>
      <c r="I84" t="s">
        <v>78</v>
      </c>
      <c r="J84" t="s">
        <v>290</v>
      </c>
      <c r="K84" t="s">
        <v>23</v>
      </c>
      <c r="L84" t="s">
        <v>129</v>
      </c>
      <c r="M84" t="s">
        <v>113</v>
      </c>
      <c r="N84" t="s">
        <v>114</v>
      </c>
      <c r="O84" t="s">
        <v>27</v>
      </c>
      <c r="P84" s="1">
        <v>44803</v>
      </c>
      <c r="Q84">
        <f t="shared" si="5"/>
        <v>0</v>
      </c>
      <c r="R84">
        <f t="shared" si="6"/>
        <v>0</v>
      </c>
      <c r="S84">
        <f t="shared" si="7"/>
        <v>0</v>
      </c>
      <c r="T84" s="11">
        <f t="shared" si="8"/>
        <v>2018</v>
      </c>
      <c r="U84" s="11">
        <f t="shared" si="9"/>
        <v>29810</v>
      </c>
    </row>
    <row r="85" spans="1:21" x14ac:dyDescent="0.3">
      <c r="A85" t="s">
        <v>291</v>
      </c>
      <c r="B85">
        <v>2019</v>
      </c>
      <c r="C85" t="s">
        <v>29</v>
      </c>
      <c r="D85" t="s">
        <v>32</v>
      </c>
      <c r="E85">
        <v>24968</v>
      </c>
      <c r="F85" t="s">
        <v>177</v>
      </c>
      <c r="G85">
        <v>90800</v>
      </c>
      <c r="H85" t="s">
        <v>53</v>
      </c>
      <c r="I85" t="s">
        <v>110</v>
      </c>
      <c r="J85" t="s">
        <v>136</v>
      </c>
      <c r="K85" t="s">
        <v>23</v>
      </c>
      <c r="L85" t="s">
        <v>292</v>
      </c>
      <c r="M85" t="s">
        <v>172</v>
      </c>
      <c r="N85" t="s">
        <v>173</v>
      </c>
      <c r="O85" t="s">
        <v>27</v>
      </c>
      <c r="P85" s="1">
        <v>44803</v>
      </c>
      <c r="Q85">
        <f t="shared" si="5"/>
        <v>0</v>
      </c>
      <c r="R85">
        <f t="shared" si="6"/>
        <v>1</v>
      </c>
      <c r="S85">
        <f t="shared" si="7"/>
        <v>0</v>
      </c>
      <c r="T85" s="11">
        <f t="shared" si="8"/>
        <v>2019</v>
      </c>
      <c r="U85" s="11">
        <f t="shared" si="9"/>
        <v>24968</v>
      </c>
    </row>
    <row r="86" spans="1:21" x14ac:dyDescent="0.3">
      <c r="A86" t="s">
        <v>293</v>
      </c>
      <c r="B86">
        <v>2020</v>
      </c>
      <c r="C86" t="s">
        <v>56</v>
      </c>
      <c r="D86" t="s">
        <v>93</v>
      </c>
      <c r="E86">
        <v>11736</v>
      </c>
      <c r="F86" t="s">
        <v>65</v>
      </c>
      <c r="G86">
        <v>50600</v>
      </c>
      <c r="H86" t="s">
        <v>20</v>
      </c>
      <c r="I86" t="s">
        <v>58</v>
      </c>
      <c r="J86" t="s">
        <v>294</v>
      </c>
      <c r="K86" t="s">
        <v>23</v>
      </c>
      <c r="L86" t="s">
        <v>224</v>
      </c>
      <c r="M86" t="s">
        <v>202</v>
      </c>
      <c r="N86" t="s">
        <v>203</v>
      </c>
      <c r="O86" t="s">
        <v>27</v>
      </c>
      <c r="P86" s="1">
        <v>44803</v>
      </c>
      <c r="Q86">
        <f t="shared" si="5"/>
        <v>0</v>
      </c>
      <c r="R86">
        <f t="shared" si="6"/>
        <v>0</v>
      </c>
      <c r="S86">
        <f t="shared" si="7"/>
        <v>0</v>
      </c>
      <c r="T86" s="11">
        <f t="shared" si="8"/>
        <v>2020</v>
      </c>
      <c r="U86" s="11">
        <f t="shared" si="9"/>
        <v>11736</v>
      </c>
    </row>
    <row r="87" spans="1:21" x14ac:dyDescent="0.3">
      <c r="A87" t="s">
        <v>295</v>
      </c>
      <c r="B87">
        <v>2018</v>
      </c>
      <c r="C87" t="s">
        <v>29</v>
      </c>
      <c r="D87" t="s">
        <v>32</v>
      </c>
      <c r="E87">
        <v>35242</v>
      </c>
      <c r="F87" t="s">
        <v>270</v>
      </c>
      <c r="G87">
        <v>95700</v>
      </c>
      <c r="H87" t="s">
        <v>32</v>
      </c>
      <c r="I87" t="s">
        <v>110</v>
      </c>
      <c r="J87" t="s">
        <v>296</v>
      </c>
      <c r="K87" t="s">
        <v>23</v>
      </c>
      <c r="L87" t="s">
        <v>297</v>
      </c>
      <c r="N87" t="s">
        <v>298</v>
      </c>
      <c r="O87" t="s">
        <v>27</v>
      </c>
      <c r="P87" s="1">
        <v>44803</v>
      </c>
      <c r="Q87">
        <f t="shared" si="5"/>
        <v>0</v>
      </c>
      <c r="R87">
        <f t="shared" si="6"/>
        <v>1</v>
      </c>
      <c r="S87">
        <f t="shared" si="7"/>
        <v>0</v>
      </c>
      <c r="T87" s="11">
        <f t="shared" si="8"/>
        <v>2018</v>
      </c>
      <c r="U87" s="11">
        <f t="shared" si="9"/>
        <v>35242</v>
      </c>
    </row>
    <row r="88" spans="1:21" x14ac:dyDescent="0.3">
      <c r="A88" t="s">
        <v>299</v>
      </c>
      <c r="B88">
        <v>2018</v>
      </c>
      <c r="C88" t="s">
        <v>37</v>
      </c>
      <c r="D88" t="s">
        <v>51</v>
      </c>
      <c r="E88">
        <v>16921</v>
      </c>
      <c r="F88" t="s">
        <v>52</v>
      </c>
      <c r="G88">
        <v>76900</v>
      </c>
      <c r="H88" t="s">
        <v>53</v>
      </c>
      <c r="I88" t="s">
        <v>78</v>
      </c>
      <c r="J88" t="s">
        <v>226</v>
      </c>
      <c r="K88" t="s">
        <v>23</v>
      </c>
      <c r="L88" t="s">
        <v>183</v>
      </c>
      <c r="M88" t="s">
        <v>25</v>
      </c>
      <c r="N88" t="s">
        <v>26</v>
      </c>
      <c r="O88" t="s">
        <v>27</v>
      </c>
      <c r="P88" s="1">
        <v>44803</v>
      </c>
      <c r="Q88">
        <f t="shared" si="5"/>
        <v>1</v>
      </c>
      <c r="R88">
        <f t="shared" si="6"/>
        <v>0</v>
      </c>
      <c r="S88">
        <f t="shared" si="7"/>
        <v>0</v>
      </c>
      <c r="T88" s="11">
        <f t="shared" si="8"/>
        <v>2018</v>
      </c>
      <c r="U88" s="11">
        <f t="shared" si="9"/>
        <v>16921</v>
      </c>
    </row>
    <row r="89" spans="1:21" x14ac:dyDescent="0.3">
      <c r="A89" t="s">
        <v>300</v>
      </c>
      <c r="B89">
        <v>2019</v>
      </c>
      <c r="C89" t="s">
        <v>29</v>
      </c>
      <c r="D89" t="s">
        <v>32</v>
      </c>
      <c r="E89">
        <v>32629</v>
      </c>
      <c r="F89" t="s">
        <v>177</v>
      </c>
      <c r="G89">
        <v>93800</v>
      </c>
      <c r="H89" t="s">
        <v>32</v>
      </c>
      <c r="I89" t="s">
        <v>110</v>
      </c>
      <c r="J89" t="s">
        <v>301</v>
      </c>
      <c r="K89" t="s">
        <v>23</v>
      </c>
      <c r="L89" t="s">
        <v>137</v>
      </c>
      <c r="M89" t="s">
        <v>138</v>
      </c>
      <c r="N89" t="s">
        <v>139</v>
      </c>
      <c r="O89" t="s">
        <v>27</v>
      </c>
      <c r="P89" s="1">
        <v>44803</v>
      </c>
      <c r="Q89">
        <f t="shared" si="5"/>
        <v>0</v>
      </c>
      <c r="R89">
        <f t="shared" si="6"/>
        <v>1</v>
      </c>
      <c r="S89">
        <f t="shared" si="7"/>
        <v>0</v>
      </c>
      <c r="T89" s="11">
        <f t="shared" si="8"/>
        <v>2019</v>
      </c>
      <c r="U89" s="11">
        <f t="shared" si="9"/>
        <v>32629</v>
      </c>
    </row>
    <row r="90" spans="1:21" x14ac:dyDescent="0.3">
      <c r="A90" t="s">
        <v>302</v>
      </c>
      <c r="B90">
        <v>2020</v>
      </c>
      <c r="C90" t="s">
        <v>37</v>
      </c>
      <c r="D90" t="s">
        <v>32</v>
      </c>
      <c r="E90">
        <v>12518</v>
      </c>
      <c r="F90" t="s">
        <v>303</v>
      </c>
      <c r="G90">
        <v>90100</v>
      </c>
      <c r="H90" t="s">
        <v>53</v>
      </c>
      <c r="I90" t="s">
        <v>78</v>
      </c>
      <c r="J90" t="s">
        <v>304</v>
      </c>
      <c r="K90" t="s">
        <v>23</v>
      </c>
      <c r="L90" t="s">
        <v>183</v>
      </c>
      <c r="M90" t="s">
        <v>25</v>
      </c>
      <c r="N90" t="s">
        <v>26</v>
      </c>
      <c r="O90" t="s">
        <v>27</v>
      </c>
      <c r="P90" s="1">
        <v>44803</v>
      </c>
      <c r="Q90">
        <f t="shared" si="5"/>
        <v>1</v>
      </c>
      <c r="R90">
        <f t="shared" si="6"/>
        <v>0</v>
      </c>
      <c r="S90">
        <f t="shared" si="7"/>
        <v>0</v>
      </c>
      <c r="T90" s="11">
        <f t="shared" si="8"/>
        <v>2020</v>
      </c>
      <c r="U90" s="11">
        <f t="shared" si="9"/>
        <v>12518</v>
      </c>
    </row>
    <row r="91" spans="1:21" x14ac:dyDescent="0.3">
      <c r="A91" t="s">
        <v>305</v>
      </c>
      <c r="B91">
        <v>2017</v>
      </c>
      <c r="C91" t="s">
        <v>29</v>
      </c>
      <c r="D91" t="s">
        <v>30</v>
      </c>
      <c r="E91">
        <v>56827</v>
      </c>
      <c r="F91" t="s">
        <v>270</v>
      </c>
      <c r="G91">
        <v>77300</v>
      </c>
      <c r="H91" t="s">
        <v>306</v>
      </c>
      <c r="I91" t="s">
        <v>110</v>
      </c>
      <c r="J91" t="s">
        <v>307</v>
      </c>
      <c r="K91" t="s">
        <v>23</v>
      </c>
      <c r="L91" t="s">
        <v>137</v>
      </c>
      <c r="M91" t="s">
        <v>138</v>
      </c>
      <c r="N91" t="s">
        <v>139</v>
      </c>
      <c r="O91" t="s">
        <v>27</v>
      </c>
      <c r="P91" s="1">
        <v>44803</v>
      </c>
      <c r="Q91">
        <f t="shared" si="5"/>
        <v>0</v>
      </c>
      <c r="R91">
        <f t="shared" si="6"/>
        <v>1</v>
      </c>
      <c r="S91">
        <f t="shared" si="7"/>
        <v>0</v>
      </c>
      <c r="T91" s="11">
        <f t="shared" si="8"/>
        <v>2017</v>
      </c>
      <c r="U91" s="11">
        <f t="shared" si="9"/>
        <v>56827</v>
      </c>
    </row>
    <row r="92" spans="1:21" x14ac:dyDescent="0.3">
      <c r="A92" t="s">
        <v>308</v>
      </c>
      <c r="B92">
        <v>2018</v>
      </c>
      <c r="C92" t="s">
        <v>29</v>
      </c>
      <c r="D92" t="s">
        <v>32</v>
      </c>
      <c r="E92">
        <v>4198</v>
      </c>
      <c r="F92" t="s">
        <v>52</v>
      </c>
      <c r="G92">
        <v>93800</v>
      </c>
      <c r="H92" t="s">
        <v>32</v>
      </c>
      <c r="I92" t="s">
        <v>21</v>
      </c>
      <c r="J92" t="s">
        <v>309</v>
      </c>
      <c r="K92" t="s">
        <v>23</v>
      </c>
      <c r="L92" t="s">
        <v>236</v>
      </c>
      <c r="M92" t="s">
        <v>25</v>
      </c>
      <c r="N92" t="s">
        <v>26</v>
      </c>
      <c r="O92" t="s">
        <v>27</v>
      </c>
      <c r="P92" s="1">
        <v>44803</v>
      </c>
      <c r="Q92">
        <f t="shared" si="5"/>
        <v>0</v>
      </c>
      <c r="R92">
        <f t="shared" si="6"/>
        <v>1</v>
      </c>
      <c r="S92">
        <f t="shared" si="7"/>
        <v>0</v>
      </c>
      <c r="T92" s="11">
        <f t="shared" si="8"/>
        <v>2018</v>
      </c>
      <c r="U92" s="11">
        <f t="shared" si="9"/>
        <v>4198</v>
      </c>
    </row>
    <row r="93" spans="1:21" x14ac:dyDescent="0.3">
      <c r="A93" t="s">
        <v>310</v>
      </c>
      <c r="B93">
        <v>2018</v>
      </c>
      <c r="C93" t="s">
        <v>37</v>
      </c>
      <c r="D93" t="s">
        <v>53</v>
      </c>
      <c r="E93">
        <v>34506</v>
      </c>
      <c r="F93" t="s">
        <v>52</v>
      </c>
      <c r="G93">
        <v>82200</v>
      </c>
      <c r="H93" t="s">
        <v>32</v>
      </c>
      <c r="I93" t="s">
        <v>78</v>
      </c>
      <c r="J93" t="s">
        <v>311</v>
      </c>
      <c r="K93" t="s">
        <v>23</v>
      </c>
      <c r="L93" t="s">
        <v>236</v>
      </c>
      <c r="M93" t="s">
        <v>25</v>
      </c>
      <c r="N93" t="s">
        <v>26</v>
      </c>
      <c r="O93" t="s">
        <v>27</v>
      </c>
      <c r="P93" s="1">
        <v>44803</v>
      </c>
      <c r="Q93">
        <f t="shared" si="5"/>
        <v>1</v>
      </c>
      <c r="R93">
        <f t="shared" si="6"/>
        <v>0</v>
      </c>
      <c r="S93">
        <f t="shared" si="7"/>
        <v>0</v>
      </c>
      <c r="T93" s="11">
        <f t="shared" si="8"/>
        <v>2018</v>
      </c>
      <c r="U93" s="11">
        <f t="shared" si="9"/>
        <v>34506</v>
      </c>
    </row>
    <row r="94" spans="1:21" x14ac:dyDescent="0.3">
      <c r="A94" t="s">
        <v>312</v>
      </c>
      <c r="B94">
        <v>2020</v>
      </c>
      <c r="C94" t="s">
        <v>17</v>
      </c>
      <c r="D94" t="s">
        <v>30</v>
      </c>
      <c r="E94">
        <v>1</v>
      </c>
      <c r="F94" t="s">
        <v>207</v>
      </c>
      <c r="G94">
        <v>72200</v>
      </c>
      <c r="H94" t="s">
        <v>20</v>
      </c>
      <c r="I94" t="s">
        <v>78</v>
      </c>
      <c r="J94" t="s">
        <v>242</v>
      </c>
      <c r="K94" t="s">
        <v>23</v>
      </c>
      <c r="L94" t="s">
        <v>193</v>
      </c>
      <c r="M94" t="s">
        <v>194</v>
      </c>
      <c r="N94" t="s">
        <v>26</v>
      </c>
      <c r="O94" t="s">
        <v>27</v>
      </c>
      <c r="P94" s="1">
        <v>44803</v>
      </c>
      <c r="Q94">
        <f t="shared" si="5"/>
        <v>0</v>
      </c>
      <c r="R94">
        <f t="shared" si="6"/>
        <v>0</v>
      </c>
      <c r="S94">
        <f t="shared" si="7"/>
        <v>1</v>
      </c>
      <c r="T94" s="11">
        <f t="shared" si="8"/>
        <v>2020</v>
      </c>
      <c r="U94" s="11">
        <f t="shared" si="9"/>
        <v>1</v>
      </c>
    </row>
    <row r="95" spans="1:21" x14ac:dyDescent="0.3">
      <c r="A95" t="s">
        <v>313</v>
      </c>
      <c r="B95">
        <v>2020</v>
      </c>
      <c r="C95" t="s">
        <v>37</v>
      </c>
      <c r="D95" t="s">
        <v>32</v>
      </c>
      <c r="E95">
        <v>23147</v>
      </c>
      <c r="F95" t="s">
        <v>303</v>
      </c>
      <c r="G95">
        <v>93900</v>
      </c>
      <c r="H95" t="s">
        <v>32</v>
      </c>
      <c r="I95" t="s">
        <v>39</v>
      </c>
      <c r="J95" t="s">
        <v>40</v>
      </c>
      <c r="K95" t="s">
        <v>23</v>
      </c>
      <c r="L95" t="s">
        <v>183</v>
      </c>
      <c r="M95" t="s">
        <v>25</v>
      </c>
      <c r="N95" t="s">
        <v>26</v>
      </c>
      <c r="O95" t="s">
        <v>27</v>
      </c>
      <c r="P95" s="1">
        <v>44803</v>
      </c>
      <c r="Q95">
        <f t="shared" si="5"/>
        <v>1</v>
      </c>
      <c r="R95">
        <f t="shared" si="6"/>
        <v>0</v>
      </c>
      <c r="S95">
        <f t="shared" si="7"/>
        <v>0</v>
      </c>
      <c r="T95" s="11">
        <f t="shared" si="8"/>
        <v>2020</v>
      </c>
      <c r="U95" s="11">
        <f t="shared" si="9"/>
        <v>23147</v>
      </c>
    </row>
    <row r="96" spans="1:21" x14ac:dyDescent="0.3">
      <c r="A96" t="s">
        <v>314</v>
      </c>
      <c r="B96">
        <v>2021</v>
      </c>
      <c r="C96" t="s">
        <v>17</v>
      </c>
      <c r="D96" t="s">
        <v>18</v>
      </c>
      <c r="E96">
        <v>6091</v>
      </c>
      <c r="F96" t="s">
        <v>189</v>
      </c>
      <c r="G96">
        <v>80200</v>
      </c>
      <c r="H96" t="s">
        <v>20</v>
      </c>
      <c r="I96" t="s">
        <v>39</v>
      </c>
      <c r="J96" t="s">
        <v>315</v>
      </c>
      <c r="K96" t="s">
        <v>23</v>
      </c>
      <c r="L96" t="s">
        <v>228</v>
      </c>
      <c r="M96" t="s">
        <v>25</v>
      </c>
      <c r="N96" t="s">
        <v>26</v>
      </c>
      <c r="O96" t="s">
        <v>27</v>
      </c>
      <c r="P96" s="1">
        <v>44803</v>
      </c>
      <c r="Q96">
        <f t="shared" si="5"/>
        <v>0</v>
      </c>
      <c r="R96">
        <f t="shared" si="6"/>
        <v>0</v>
      </c>
      <c r="S96">
        <f t="shared" si="7"/>
        <v>1</v>
      </c>
      <c r="T96" s="11">
        <f t="shared" si="8"/>
        <v>2021</v>
      </c>
      <c r="U96" s="11">
        <f t="shared" si="9"/>
        <v>6091</v>
      </c>
    </row>
    <row r="97" spans="1:21" x14ac:dyDescent="0.3">
      <c r="A97" t="s">
        <v>316</v>
      </c>
      <c r="B97">
        <v>2019</v>
      </c>
      <c r="C97" t="s">
        <v>56</v>
      </c>
      <c r="D97" t="s">
        <v>32</v>
      </c>
      <c r="E97">
        <v>38849</v>
      </c>
      <c r="F97" t="s">
        <v>65</v>
      </c>
      <c r="G97">
        <v>48800</v>
      </c>
      <c r="H97" t="s">
        <v>20</v>
      </c>
      <c r="I97" t="s">
        <v>78</v>
      </c>
      <c r="J97" t="s">
        <v>317</v>
      </c>
      <c r="K97" t="s">
        <v>23</v>
      </c>
      <c r="L97" t="s">
        <v>205</v>
      </c>
      <c r="M97" t="s">
        <v>42</v>
      </c>
      <c r="N97" t="s">
        <v>26</v>
      </c>
      <c r="O97" t="s">
        <v>27</v>
      </c>
      <c r="P97" s="1">
        <v>44803</v>
      </c>
      <c r="Q97">
        <f t="shared" si="5"/>
        <v>0</v>
      </c>
      <c r="R97">
        <f t="shared" si="6"/>
        <v>0</v>
      </c>
      <c r="S97">
        <f t="shared" si="7"/>
        <v>0</v>
      </c>
      <c r="T97" s="11">
        <f t="shared" si="8"/>
        <v>2019</v>
      </c>
      <c r="U97" s="11">
        <f t="shared" si="9"/>
        <v>38849</v>
      </c>
    </row>
    <row r="98" spans="1:21" x14ac:dyDescent="0.3">
      <c r="A98" t="s">
        <v>318</v>
      </c>
      <c r="B98">
        <v>2021</v>
      </c>
      <c r="C98" t="s">
        <v>37</v>
      </c>
      <c r="D98" t="s">
        <v>51</v>
      </c>
      <c r="E98">
        <v>7555</v>
      </c>
      <c r="F98" t="s">
        <v>131</v>
      </c>
      <c r="G98">
        <v>119700</v>
      </c>
      <c r="H98" t="s">
        <v>53</v>
      </c>
      <c r="I98" t="s">
        <v>39</v>
      </c>
      <c r="J98" t="s">
        <v>319</v>
      </c>
      <c r="K98" t="s">
        <v>23</v>
      </c>
      <c r="L98" t="s">
        <v>163</v>
      </c>
      <c r="M98" t="s">
        <v>164</v>
      </c>
      <c r="N98" t="s">
        <v>26</v>
      </c>
      <c r="O98" t="s">
        <v>27</v>
      </c>
      <c r="P98" s="1">
        <v>44803</v>
      </c>
      <c r="Q98">
        <f t="shared" si="5"/>
        <v>1</v>
      </c>
      <c r="R98">
        <f t="shared" si="6"/>
        <v>0</v>
      </c>
      <c r="S98">
        <f t="shared" si="7"/>
        <v>0</v>
      </c>
      <c r="T98" s="11">
        <f t="shared" si="8"/>
        <v>2021</v>
      </c>
      <c r="U98" s="11">
        <f t="shared" si="9"/>
        <v>7555</v>
      </c>
    </row>
    <row r="99" spans="1:21" x14ac:dyDescent="0.3">
      <c r="A99" t="s">
        <v>320</v>
      </c>
      <c r="B99">
        <v>2022</v>
      </c>
      <c r="C99" t="s">
        <v>29</v>
      </c>
      <c r="D99" t="s">
        <v>53</v>
      </c>
      <c r="E99">
        <v>1998</v>
      </c>
      <c r="F99" t="s">
        <v>321</v>
      </c>
      <c r="G99">
        <v>159100</v>
      </c>
      <c r="H99" t="s">
        <v>32</v>
      </c>
      <c r="J99" t="s">
        <v>322</v>
      </c>
      <c r="K99" t="s">
        <v>23</v>
      </c>
      <c r="L99" t="s">
        <v>41</v>
      </c>
      <c r="M99" t="s">
        <v>42</v>
      </c>
      <c r="N99" t="s">
        <v>26</v>
      </c>
      <c r="O99" t="s">
        <v>27</v>
      </c>
      <c r="P99" s="1">
        <v>44803</v>
      </c>
      <c r="Q99">
        <f t="shared" si="5"/>
        <v>0</v>
      </c>
      <c r="R99">
        <f t="shared" si="6"/>
        <v>1</v>
      </c>
      <c r="S99">
        <f t="shared" si="7"/>
        <v>0</v>
      </c>
      <c r="T99" s="11">
        <f t="shared" si="8"/>
        <v>2022</v>
      </c>
      <c r="U99" s="11">
        <f t="shared" si="9"/>
        <v>1998</v>
      </c>
    </row>
    <row r="100" spans="1:21" x14ac:dyDescent="0.3">
      <c r="A100" t="s">
        <v>323</v>
      </c>
      <c r="B100">
        <v>2022</v>
      </c>
      <c r="C100" t="s">
        <v>56</v>
      </c>
      <c r="D100" t="s">
        <v>32</v>
      </c>
      <c r="E100">
        <v>1451</v>
      </c>
      <c r="F100" t="s">
        <v>143</v>
      </c>
      <c r="G100">
        <v>74300</v>
      </c>
      <c r="H100" t="s">
        <v>20</v>
      </c>
      <c r="J100" t="s">
        <v>324</v>
      </c>
      <c r="K100" t="s">
        <v>23</v>
      </c>
      <c r="L100" t="s">
        <v>163</v>
      </c>
      <c r="M100" t="s">
        <v>164</v>
      </c>
      <c r="N100" t="s">
        <v>26</v>
      </c>
      <c r="O100" t="s">
        <v>27</v>
      </c>
      <c r="P100" s="1">
        <v>44803</v>
      </c>
      <c r="Q100">
        <f t="shared" si="5"/>
        <v>0</v>
      </c>
      <c r="R100">
        <f t="shared" si="6"/>
        <v>0</v>
      </c>
      <c r="S100">
        <f t="shared" si="7"/>
        <v>0</v>
      </c>
      <c r="T100" s="11">
        <f t="shared" si="8"/>
        <v>2022</v>
      </c>
      <c r="U100" s="11">
        <f t="shared" si="9"/>
        <v>1451</v>
      </c>
    </row>
    <row r="101" spans="1:21" x14ac:dyDescent="0.3">
      <c r="A101" t="s">
        <v>325</v>
      </c>
      <c r="B101">
        <v>2020</v>
      </c>
      <c r="C101" t="s">
        <v>17</v>
      </c>
      <c r="D101" t="s">
        <v>18</v>
      </c>
      <c r="E101">
        <v>18663</v>
      </c>
      <c r="F101" t="s">
        <v>207</v>
      </c>
      <c r="G101">
        <v>69900</v>
      </c>
      <c r="H101" t="s">
        <v>20</v>
      </c>
      <c r="I101" t="s">
        <v>21</v>
      </c>
      <c r="J101" t="s">
        <v>326</v>
      </c>
      <c r="K101" t="s">
        <v>23</v>
      </c>
      <c r="L101" t="s">
        <v>205</v>
      </c>
      <c r="M101" t="s">
        <v>42</v>
      </c>
      <c r="N101" t="s">
        <v>26</v>
      </c>
      <c r="O101" t="s">
        <v>27</v>
      </c>
      <c r="P101" s="1">
        <v>44803</v>
      </c>
      <c r="Q101">
        <f t="shared" si="5"/>
        <v>0</v>
      </c>
      <c r="R101">
        <f t="shared" si="6"/>
        <v>0</v>
      </c>
      <c r="S101">
        <f t="shared" si="7"/>
        <v>1</v>
      </c>
      <c r="T101" s="11">
        <f t="shared" si="8"/>
        <v>2020</v>
      </c>
      <c r="U101" s="11">
        <f t="shared" si="9"/>
        <v>18663</v>
      </c>
    </row>
    <row r="102" spans="1:21" x14ac:dyDescent="0.3">
      <c r="A102" t="s">
        <v>327</v>
      </c>
      <c r="B102">
        <v>2021</v>
      </c>
      <c r="C102" t="s">
        <v>17</v>
      </c>
      <c r="D102" t="s">
        <v>32</v>
      </c>
      <c r="E102">
        <v>14732</v>
      </c>
      <c r="F102" t="s">
        <v>19</v>
      </c>
      <c r="G102">
        <v>75800</v>
      </c>
      <c r="H102" t="s">
        <v>77</v>
      </c>
      <c r="I102" t="s">
        <v>78</v>
      </c>
      <c r="J102" t="s">
        <v>277</v>
      </c>
      <c r="K102" t="s">
        <v>23</v>
      </c>
      <c r="L102" t="s">
        <v>197</v>
      </c>
      <c r="M102" t="s">
        <v>198</v>
      </c>
      <c r="N102" t="s">
        <v>26</v>
      </c>
      <c r="O102" t="s">
        <v>27</v>
      </c>
      <c r="P102" s="1">
        <v>44803</v>
      </c>
      <c r="Q102">
        <f t="shared" si="5"/>
        <v>0</v>
      </c>
      <c r="R102">
        <f t="shared" si="6"/>
        <v>0</v>
      </c>
      <c r="S102">
        <f t="shared" si="7"/>
        <v>1</v>
      </c>
      <c r="T102" s="11">
        <f t="shared" si="8"/>
        <v>2021</v>
      </c>
      <c r="U102" s="11">
        <f t="shared" si="9"/>
        <v>14732</v>
      </c>
    </row>
    <row r="103" spans="1:21" x14ac:dyDescent="0.3">
      <c r="A103" t="s">
        <v>328</v>
      </c>
      <c r="B103">
        <v>2022</v>
      </c>
      <c r="C103" t="s">
        <v>17</v>
      </c>
      <c r="D103" t="s">
        <v>32</v>
      </c>
      <c r="E103">
        <v>1695</v>
      </c>
      <c r="F103" t="s">
        <v>189</v>
      </c>
      <c r="G103">
        <v>80800</v>
      </c>
      <c r="H103" t="s">
        <v>20</v>
      </c>
      <c r="I103" t="s">
        <v>39</v>
      </c>
      <c r="J103" t="s">
        <v>258</v>
      </c>
      <c r="K103" t="s">
        <v>23</v>
      </c>
      <c r="L103" t="s">
        <v>205</v>
      </c>
      <c r="M103" t="s">
        <v>42</v>
      </c>
      <c r="N103" t="s">
        <v>26</v>
      </c>
      <c r="O103" t="s">
        <v>27</v>
      </c>
      <c r="P103" s="1">
        <v>44803</v>
      </c>
      <c r="Q103">
        <f t="shared" si="5"/>
        <v>0</v>
      </c>
      <c r="R103">
        <f t="shared" si="6"/>
        <v>0</v>
      </c>
      <c r="S103">
        <f t="shared" si="7"/>
        <v>1</v>
      </c>
      <c r="T103" s="11">
        <f t="shared" si="8"/>
        <v>2022</v>
      </c>
      <c r="U103" s="11">
        <f t="shared" si="9"/>
        <v>1695</v>
      </c>
    </row>
    <row r="104" spans="1:21" x14ac:dyDescent="0.3">
      <c r="A104" t="s">
        <v>329</v>
      </c>
      <c r="B104">
        <v>2022</v>
      </c>
      <c r="C104" t="s">
        <v>17</v>
      </c>
      <c r="D104" t="s">
        <v>18</v>
      </c>
      <c r="E104">
        <v>11056</v>
      </c>
      <c r="F104" t="s">
        <v>19</v>
      </c>
      <c r="G104">
        <v>81300</v>
      </c>
      <c r="H104" t="s">
        <v>20</v>
      </c>
      <c r="I104" t="s">
        <v>21</v>
      </c>
      <c r="J104" t="s">
        <v>326</v>
      </c>
      <c r="K104" t="s">
        <v>23</v>
      </c>
      <c r="L104" t="s">
        <v>330</v>
      </c>
      <c r="M104" t="s">
        <v>42</v>
      </c>
      <c r="N104" t="s">
        <v>26</v>
      </c>
      <c r="O104" t="s">
        <v>27</v>
      </c>
      <c r="P104" s="1">
        <v>44803</v>
      </c>
      <c r="Q104">
        <f t="shared" si="5"/>
        <v>0</v>
      </c>
      <c r="R104">
        <f t="shared" si="6"/>
        <v>0</v>
      </c>
      <c r="S104">
        <f t="shared" si="7"/>
        <v>1</v>
      </c>
      <c r="T104" s="11">
        <f t="shared" si="8"/>
        <v>2022</v>
      </c>
      <c r="U104" s="11">
        <f t="shared" si="9"/>
        <v>11056</v>
      </c>
    </row>
    <row r="105" spans="1:21" x14ac:dyDescent="0.3">
      <c r="A105" t="s">
        <v>331</v>
      </c>
      <c r="B105">
        <v>2018</v>
      </c>
      <c r="C105" t="s">
        <v>56</v>
      </c>
      <c r="D105" t="s">
        <v>93</v>
      </c>
      <c r="E105">
        <v>30433</v>
      </c>
      <c r="F105" t="s">
        <v>71</v>
      </c>
      <c r="G105">
        <v>58700</v>
      </c>
      <c r="H105" t="s">
        <v>20</v>
      </c>
      <c r="I105" t="s">
        <v>21</v>
      </c>
      <c r="J105" t="s">
        <v>332</v>
      </c>
      <c r="K105" t="s">
        <v>23</v>
      </c>
      <c r="L105" t="s">
        <v>297</v>
      </c>
      <c r="N105" t="s">
        <v>298</v>
      </c>
      <c r="O105" t="s">
        <v>27</v>
      </c>
      <c r="P105" s="1">
        <v>44803</v>
      </c>
      <c r="Q105">
        <f t="shared" si="5"/>
        <v>0</v>
      </c>
      <c r="R105">
        <f t="shared" si="6"/>
        <v>0</v>
      </c>
      <c r="S105">
        <f t="shared" si="7"/>
        <v>0</v>
      </c>
      <c r="T105" s="11">
        <f t="shared" si="8"/>
        <v>2018</v>
      </c>
      <c r="U105" s="11">
        <f t="shared" si="9"/>
        <v>30433</v>
      </c>
    </row>
    <row r="106" spans="1:21" x14ac:dyDescent="0.3">
      <c r="A106" t="s">
        <v>333</v>
      </c>
      <c r="B106">
        <v>2020</v>
      </c>
      <c r="C106" t="s">
        <v>17</v>
      </c>
      <c r="D106" t="s">
        <v>76</v>
      </c>
      <c r="E106">
        <v>25866</v>
      </c>
      <c r="F106" t="s">
        <v>156</v>
      </c>
      <c r="G106">
        <v>71900</v>
      </c>
      <c r="H106" t="s">
        <v>20</v>
      </c>
      <c r="I106" t="s">
        <v>39</v>
      </c>
      <c r="J106" t="s">
        <v>334</v>
      </c>
      <c r="K106" t="s">
        <v>23</v>
      </c>
      <c r="L106" t="s">
        <v>292</v>
      </c>
      <c r="M106" t="s">
        <v>172</v>
      </c>
      <c r="N106" t="s">
        <v>173</v>
      </c>
      <c r="O106" t="s">
        <v>27</v>
      </c>
      <c r="P106" s="1">
        <v>44803</v>
      </c>
      <c r="Q106">
        <f t="shared" si="5"/>
        <v>0</v>
      </c>
      <c r="R106">
        <f t="shared" si="6"/>
        <v>0</v>
      </c>
      <c r="S106">
        <f t="shared" si="7"/>
        <v>1</v>
      </c>
      <c r="T106" s="11">
        <f t="shared" si="8"/>
        <v>2020</v>
      </c>
      <c r="U106" s="11">
        <f t="shared" si="9"/>
        <v>25866</v>
      </c>
    </row>
    <row r="107" spans="1:21" x14ac:dyDescent="0.3">
      <c r="A107" t="s">
        <v>335</v>
      </c>
      <c r="B107">
        <v>2017</v>
      </c>
      <c r="C107" t="s">
        <v>29</v>
      </c>
      <c r="D107" t="s">
        <v>53</v>
      </c>
      <c r="E107">
        <v>89095</v>
      </c>
      <c r="F107" t="s">
        <v>270</v>
      </c>
      <c r="G107">
        <v>72900</v>
      </c>
      <c r="H107" t="s">
        <v>53</v>
      </c>
      <c r="I107" t="s">
        <v>110</v>
      </c>
      <c r="J107" t="s">
        <v>336</v>
      </c>
      <c r="K107" t="s">
        <v>23</v>
      </c>
      <c r="N107" t="s">
        <v>127</v>
      </c>
      <c r="O107" t="s">
        <v>27</v>
      </c>
      <c r="P107" s="1">
        <v>44803</v>
      </c>
      <c r="Q107">
        <f t="shared" si="5"/>
        <v>0</v>
      </c>
      <c r="R107">
        <f t="shared" si="6"/>
        <v>1</v>
      </c>
      <c r="S107">
        <f t="shared" si="7"/>
        <v>0</v>
      </c>
      <c r="T107" s="11">
        <f t="shared" si="8"/>
        <v>2017</v>
      </c>
      <c r="U107" s="11">
        <f t="shared" si="9"/>
        <v>89095</v>
      </c>
    </row>
    <row r="108" spans="1:21" x14ac:dyDescent="0.3">
      <c r="A108" t="s">
        <v>337</v>
      </c>
      <c r="B108">
        <v>2022</v>
      </c>
      <c r="C108" t="s">
        <v>17</v>
      </c>
      <c r="D108" t="s">
        <v>32</v>
      </c>
      <c r="E108">
        <v>1386</v>
      </c>
      <c r="F108" t="s">
        <v>19</v>
      </c>
      <c r="G108">
        <v>84300</v>
      </c>
      <c r="H108" t="s">
        <v>77</v>
      </c>
      <c r="I108" t="s">
        <v>21</v>
      </c>
      <c r="J108" t="s">
        <v>338</v>
      </c>
      <c r="K108" t="s">
        <v>23</v>
      </c>
      <c r="N108" t="s">
        <v>127</v>
      </c>
      <c r="O108" t="s">
        <v>27</v>
      </c>
      <c r="P108" s="1">
        <v>44803</v>
      </c>
      <c r="Q108">
        <f t="shared" si="5"/>
        <v>0</v>
      </c>
      <c r="R108">
        <f t="shared" si="6"/>
        <v>0</v>
      </c>
      <c r="S108">
        <f t="shared" si="7"/>
        <v>1</v>
      </c>
      <c r="T108" s="11">
        <f t="shared" si="8"/>
        <v>2022</v>
      </c>
      <c r="U108" s="11">
        <f t="shared" si="9"/>
        <v>1386</v>
      </c>
    </row>
    <row r="109" spans="1:21" x14ac:dyDescent="0.3">
      <c r="A109" t="s">
        <v>339</v>
      </c>
      <c r="B109">
        <v>2020</v>
      </c>
      <c r="C109" t="s">
        <v>17</v>
      </c>
      <c r="D109" t="s">
        <v>18</v>
      </c>
      <c r="E109">
        <v>17476</v>
      </c>
      <c r="F109" t="s">
        <v>207</v>
      </c>
      <c r="G109">
        <v>73000</v>
      </c>
      <c r="H109" t="s">
        <v>20</v>
      </c>
      <c r="I109" t="s">
        <v>21</v>
      </c>
      <c r="J109" t="s">
        <v>326</v>
      </c>
      <c r="K109" t="s">
        <v>23</v>
      </c>
      <c r="L109" t="s">
        <v>278</v>
      </c>
      <c r="M109" t="s">
        <v>148</v>
      </c>
      <c r="N109" t="s">
        <v>149</v>
      </c>
      <c r="O109" t="s">
        <v>27</v>
      </c>
      <c r="P109" s="1">
        <v>44803</v>
      </c>
      <c r="Q109">
        <f t="shared" si="5"/>
        <v>0</v>
      </c>
      <c r="R109">
        <f t="shared" si="6"/>
        <v>0</v>
      </c>
      <c r="S109">
        <f t="shared" si="7"/>
        <v>1</v>
      </c>
      <c r="T109" s="11">
        <f t="shared" si="8"/>
        <v>2020</v>
      </c>
      <c r="U109" s="11">
        <f t="shared" si="9"/>
        <v>17476</v>
      </c>
    </row>
    <row r="110" spans="1:21" x14ac:dyDescent="0.3">
      <c r="A110" t="s">
        <v>340</v>
      </c>
      <c r="B110">
        <v>2021</v>
      </c>
      <c r="C110" t="s">
        <v>37</v>
      </c>
      <c r="D110" t="s">
        <v>51</v>
      </c>
      <c r="E110">
        <v>7437</v>
      </c>
      <c r="F110" t="s">
        <v>211</v>
      </c>
      <c r="G110">
        <v>104400</v>
      </c>
      <c r="H110" t="s">
        <v>45</v>
      </c>
      <c r="I110" t="s">
        <v>78</v>
      </c>
      <c r="J110" t="s">
        <v>341</v>
      </c>
      <c r="K110" t="s">
        <v>23</v>
      </c>
      <c r="L110" t="s">
        <v>342</v>
      </c>
      <c r="M110" t="s">
        <v>244</v>
      </c>
      <c r="N110" t="s">
        <v>245</v>
      </c>
      <c r="O110" t="s">
        <v>27</v>
      </c>
      <c r="P110" s="1">
        <v>44803</v>
      </c>
      <c r="Q110">
        <f t="shared" si="5"/>
        <v>1</v>
      </c>
      <c r="R110">
        <f t="shared" si="6"/>
        <v>0</v>
      </c>
      <c r="S110">
        <f t="shared" si="7"/>
        <v>0</v>
      </c>
      <c r="T110" s="11">
        <f t="shared" si="8"/>
        <v>2021</v>
      </c>
      <c r="U110" s="11">
        <f t="shared" si="9"/>
        <v>7437</v>
      </c>
    </row>
    <row r="111" spans="1:21" x14ac:dyDescent="0.3">
      <c r="A111" t="s">
        <v>343</v>
      </c>
      <c r="B111">
        <v>2019</v>
      </c>
      <c r="C111" t="s">
        <v>29</v>
      </c>
      <c r="D111" t="s">
        <v>51</v>
      </c>
      <c r="E111">
        <v>22150</v>
      </c>
      <c r="F111" t="s">
        <v>44</v>
      </c>
      <c r="G111">
        <v>87700</v>
      </c>
      <c r="H111" t="s">
        <v>53</v>
      </c>
      <c r="I111" t="s">
        <v>21</v>
      </c>
      <c r="J111" t="s">
        <v>344</v>
      </c>
      <c r="K111" t="s">
        <v>23</v>
      </c>
      <c r="L111" t="s">
        <v>345</v>
      </c>
      <c r="M111" t="s">
        <v>48</v>
      </c>
      <c r="N111" t="s">
        <v>69</v>
      </c>
      <c r="O111" t="s">
        <v>27</v>
      </c>
      <c r="P111" s="1">
        <v>44803</v>
      </c>
      <c r="Q111">
        <f t="shared" si="5"/>
        <v>0</v>
      </c>
      <c r="R111">
        <f t="shared" si="6"/>
        <v>1</v>
      </c>
      <c r="S111">
        <f t="shared" si="7"/>
        <v>0</v>
      </c>
      <c r="T111" s="11">
        <f t="shared" si="8"/>
        <v>2019</v>
      </c>
      <c r="U111" s="11">
        <f t="shared" si="9"/>
        <v>22150</v>
      </c>
    </row>
    <row r="112" spans="1:21" x14ac:dyDescent="0.3">
      <c r="A112" t="s">
        <v>346</v>
      </c>
      <c r="B112">
        <v>2019</v>
      </c>
      <c r="C112" t="s">
        <v>56</v>
      </c>
      <c r="D112" t="s">
        <v>76</v>
      </c>
      <c r="E112">
        <v>28356</v>
      </c>
      <c r="F112" t="s">
        <v>57</v>
      </c>
      <c r="G112">
        <v>60100</v>
      </c>
      <c r="H112" t="s">
        <v>20</v>
      </c>
      <c r="I112" t="s">
        <v>78</v>
      </c>
      <c r="J112" t="s">
        <v>347</v>
      </c>
      <c r="K112" t="s">
        <v>23</v>
      </c>
      <c r="L112" t="s">
        <v>345</v>
      </c>
      <c r="M112" t="s">
        <v>48</v>
      </c>
      <c r="N112" t="s">
        <v>69</v>
      </c>
      <c r="O112" t="s">
        <v>27</v>
      </c>
      <c r="P112" s="1">
        <v>44803</v>
      </c>
      <c r="Q112">
        <f t="shared" si="5"/>
        <v>0</v>
      </c>
      <c r="R112">
        <f t="shared" si="6"/>
        <v>0</v>
      </c>
      <c r="S112">
        <f t="shared" si="7"/>
        <v>0</v>
      </c>
      <c r="T112" s="11">
        <f t="shared" si="8"/>
        <v>2019</v>
      </c>
      <c r="U112" s="11">
        <f t="shared" si="9"/>
        <v>28356</v>
      </c>
    </row>
    <row r="113" spans="1:21" x14ac:dyDescent="0.3">
      <c r="A113" t="s">
        <v>348</v>
      </c>
      <c r="B113">
        <v>2018</v>
      </c>
      <c r="C113" t="s">
        <v>56</v>
      </c>
      <c r="D113" t="s">
        <v>18</v>
      </c>
      <c r="E113">
        <v>48195</v>
      </c>
      <c r="F113" t="s">
        <v>234</v>
      </c>
      <c r="G113">
        <v>47900</v>
      </c>
      <c r="H113" t="s">
        <v>20</v>
      </c>
      <c r="I113" t="s">
        <v>58</v>
      </c>
      <c r="J113" t="s">
        <v>288</v>
      </c>
      <c r="K113" t="s">
        <v>23</v>
      </c>
      <c r="N113" t="s">
        <v>127</v>
      </c>
      <c r="O113" t="s">
        <v>27</v>
      </c>
      <c r="P113" s="1">
        <v>44802</v>
      </c>
      <c r="Q113">
        <f t="shared" si="5"/>
        <v>0</v>
      </c>
      <c r="R113">
        <f t="shared" si="6"/>
        <v>0</v>
      </c>
      <c r="S113">
        <f t="shared" si="7"/>
        <v>0</v>
      </c>
      <c r="T113" s="11">
        <f t="shared" si="8"/>
        <v>2018</v>
      </c>
      <c r="U113" s="11">
        <f t="shared" si="9"/>
        <v>48195</v>
      </c>
    </row>
    <row r="114" spans="1:21" x14ac:dyDescent="0.3">
      <c r="A114" t="s">
        <v>349</v>
      </c>
      <c r="B114">
        <v>2018</v>
      </c>
      <c r="C114" t="s">
        <v>37</v>
      </c>
      <c r="D114" t="s">
        <v>18</v>
      </c>
      <c r="E114">
        <v>35257</v>
      </c>
      <c r="F114" t="s">
        <v>52</v>
      </c>
      <c r="G114">
        <v>69800</v>
      </c>
      <c r="H114" t="s">
        <v>53</v>
      </c>
      <c r="I114" t="s">
        <v>78</v>
      </c>
      <c r="J114" t="s">
        <v>350</v>
      </c>
      <c r="K114" t="s">
        <v>23</v>
      </c>
      <c r="L114" t="s">
        <v>292</v>
      </c>
      <c r="M114" t="s">
        <v>172</v>
      </c>
      <c r="N114" t="s">
        <v>173</v>
      </c>
      <c r="O114" t="s">
        <v>27</v>
      </c>
      <c r="P114" s="1">
        <v>44802</v>
      </c>
      <c r="Q114">
        <f t="shared" si="5"/>
        <v>1</v>
      </c>
      <c r="R114">
        <f t="shared" si="6"/>
        <v>0</v>
      </c>
      <c r="S114">
        <f t="shared" si="7"/>
        <v>0</v>
      </c>
      <c r="T114" s="11">
        <f t="shared" si="8"/>
        <v>2018</v>
      </c>
      <c r="U114" s="11">
        <f t="shared" si="9"/>
        <v>35257</v>
      </c>
    </row>
    <row r="115" spans="1:21" x14ac:dyDescent="0.3">
      <c r="A115" t="s">
        <v>351</v>
      </c>
      <c r="B115">
        <v>2021</v>
      </c>
      <c r="C115" t="s">
        <v>56</v>
      </c>
      <c r="D115" t="s">
        <v>32</v>
      </c>
      <c r="E115">
        <v>7468</v>
      </c>
      <c r="F115" t="s">
        <v>57</v>
      </c>
      <c r="G115">
        <v>68400</v>
      </c>
      <c r="H115" t="s">
        <v>20</v>
      </c>
      <c r="I115" t="s">
        <v>78</v>
      </c>
      <c r="J115" t="s">
        <v>275</v>
      </c>
      <c r="K115" t="s">
        <v>23</v>
      </c>
      <c r="L115" t="s">
        <v>137</v>
      </c>
      <c r="M115" t="s">
        <v>138</v>
      </c>
      <c r="N115" t="s">
        <v>139</v>
      </c>
      <c r="O115" t="s">
        <v>27</v>
      </c>
      <c r="P115" s="1">
        <v>44802</v>
      </c>
      <c r="Q115">
        <f t="shared" si="5"/>
        <v>0</v>
      </c>
      <c r="R115">
        <f t="shared" si="6"/>
        <v>0</v>
      </c>
      <c r="S115">
        <f t="shared" si="7"/>
        <v>0</v>
      </c>
      <c r="T115" s="11">
        <f t="shared" si="8"/>
        <v>2021</v>
      </c>
      <c r="U115" s="11">
        <f t="shared" si="9"/>
        <v>7468</v>
      </c>
    </row>
    <row r="116" spans="1:21" x14ac:dyDescent="0.3">
      <c r="A116" t="s">
        <v>352</v>
      </c>
      <c r="B116">
        <v>2021</v>
      </c>
      <c r="C116" t="s">
        <v>17</v>
      </c>
      <c r="D116" t="s">
        <v>18</v>
      </c>
      <c r="E116">
        <v>26352</v>
      </c>
      <c r="F116" t="s">
        <v>207</v>
      </c>
      <c r="G116">
        <v>71700</v>
      </c>
      <c r="H116" t="s">
        <v>20</v>
      </c>
      <c r="I116" t="s">
        <v>21</v>
      </c>
      <c r="J116" t="s">
        <v>326</v>
      </c>
      <c r="K116" t="s">
        <v>23</v>
      </c>
      <c r="L116" t="s">
        <v>205</v>
      </c>
      <c r="M116" t="s">
        <v>42</v>
      </c>
      <c r="N116" t="s">
        <v>26</v>
      </c>
      <c r="O116" t="s">
        <v>27</v>
      </c>
      <c r="P116" s="1">
        <v>44802</v>
      </c>
      <c r="Q116">
        <f t="shared" si="5"/>
        <v>0</v>
      </c>
      <c r="R116">
        <f t="shared" si="6"/>
        <v>0</v>
      </c>
      <c r="S116">
        <f t="shared" si="7"/>
        <v>1</v>
      </c>
      <c r="T116" s="11">
        <f t="shared" si="8"/>
        <v>2021</v>
      </c>
      <c r="U116" s="11">
        <f t="shared" si="9"/>
        <v>26352</v>
      </c>
    </row>
    <row r="117" spans="1:21" x14ac:dyDescent="0.3">
      <c r="A117" t="s">
        <v>353</v>
      </c>
      <c r="B117">
        <v>2019</v>
      </c>
      <c r="C117" t="s">
        <v>56</v>
      </c>
      <c r="D117" t="s">
        <v>32</v>
      </c>
      <c r="E117">
        <v>46410</v>
      </c>
      <c r="F117" t="s">
        <v>71</v>
      </c>
      <c r="G117">
        <v>55400</v>
      </c>
      <c r="H117" t="s">
        <v>20</v>
      </c>
      <c r="I117" t="s">
        <v>21</v>
      </c>
      <c r="J117" t="s">
        <v>72</v>
      </c>
      <c r="K117" t="s">
        <v>23</v>
      </c>
      <c r="L117" t="s">
        <v>205</v>
      </c>
      <c r="M117" t="s">
        <v>42</v>
      </c>
      <c r="N117" t="s">
        <v>26</v>
      </c>
      <c r="O117" t="s">
        <v>27</v>
      </c>
      <c r="P117" s="1">
        <v>44802</v>
      </c>
      <c r="Q117">
        <f t="shared" si="5"/>
        <v>0</v>
      </c>
      <c r="R117">
        <f t="shared" si="6"/>
        <v>0</v>
      </c>
      <c r="S117">
        <f t="shared" si="7"/>
        <v>0</v>
      </c>
      <c r="T117" s="11">
        <f t="shared" si="8"/>
        <v>2019</v>
      </c>
      <c r="U117" s="11">
        <f t="shared" si="9"/>
        <v>46410</v>
      </c>
    </row>
    <row r="118" spans="1:21" x14ac:dyDescent="0.3">
      <c r="A118" t="s">
        <v>354</v>
      </c>
      <c r="B118">
        <v>2020</v>
      </c>
      <c r="C118" t="s">
        <v>56</v>
      </c>
      <c r="D118" t="s">
        <v>32</v>
      </c>
      <c r="E118">
        <v>21750</v>
      </c>
      <c r="F118" t="s">
        <v>65</v>
      </c>
      <c r="G118">
        <v>53500</v>
      </c>
      <c r="H118" t="s">
        <v>77</v>
      </c>
      <c r="I118" t="s">
        <v>58</v>
      </c>
      <c r="J118" t="s">
        <v>266</v>
      </c>
      <c r="K118" t="s">
        <v>23</v>
      </c>
      <c r="L118" t="s">
        <v>163</v>
      </c>
      <c r="M118" t="s">
        <v>164</v>
      </c>
      <c r="N118" t="s">
        <v>26</v>
      </c>
      <c r="O118" t="s">
        <v>27</v>
      </c>
      <c r="P118" s="1">
        <v>44802</v>
      </c>
      <c r="Q118">
        <f t="shared" si="5"/>
        <v>0</v>
      </c>
      <c r="R118">
        <f t="shared" si="6"/>
        <v>0</v>
      </c>
      <c r="S118">
        <f t="shared" si="7"/>
        <v>0</v>
      </c>
      <c r="T118" s="11">
        <f t="shared" si="8"/>
        <v>2020</v>
      </c>
      <c r="U118" s="11">
        <f t="shared" si="9"/>
        <v>21750</v>
      </c>
    </row>
    <row r="119" spans="1:21" x14ac:dyDescent="0.3">
      <c r="A119" t="s">
        <v>355</v>
      </c>
      <c r="B119">
        <v>2019</v>
      </c>
      <c r="C119" t="s">
        <v>29</v>
      </c>
      <c r="D119" t="s">
        <v>51</v>
      </c>
      <c r="E119">
        <v>49961</v>
      </c>
      <c r="F119" t="s">
        <v>44</v>
      </c>
      <c r="G119">
        <v>89800</v>
      </c>
      <c r="H119" t="s">
        <v>53</v>
      </c>
      <c r="I119" t="s">
        <v>110</v>
      </c>
      <c r="J119" t="s">
        <v>356</v>
      </c>
      <c r="K119" t="s">
        <v>23</v>
      </c>
      <c r="L119" t="s">
        <v>183</v>
      </c>
      <c r="M119" t="s">
        <v>25</v>
      </c>
      <c r="N119" t="s">
        <v>26</v>
      </c>
      <c r="O119" t="s">
        <v>27</v>
      </c>
      <c r="P119" s="1">
        <v>44802</v>
      </c>
      <c r="Q119">
        <f t="shared" si="5"/>
        <v>0</v>
      </c>
      <c r="R119">
        <f t="shared" si="6"/>
        <v>1</v>
      </c>
      <c r="S119">
        <f t="shared" si="7"/>
        <v>0</v>
      </c>
      <c r="T119" s="11">
        <f t="shared" si="8"/>
        <v>2019</v>
      </c>
      <c r="U119" s="11">
        <f t="shared" si="9"/>
        <v>49961</v>
      </c>
    </row>
    <row r="120" spans="1:21" x14ac:dyDescent="0.3">
      <c r="A120" t="s">
        <v>357</v>
      </c>
      <c r="B120">
        <v>2018</v>
      </c>
      <c r="C120" t="s">
        <v>56</v>
      </c>
      <c r="D120" t="s">
        <v>76</v>
      </c>
      <c r="E120">
        <v>50712</v>
      </c>
      <c r="F120" t="s">
        <v>234</v>
      </c>
      <c r="G120">
        <v>49600</v>
      </c>
      <c r="H120" t="s">
        <v>20</v>
      </c>
      <c r="I120" t="s">
        <v>78</v>
      </c>
      <c r="J120" t="s">
        <v>358</v>
      </c>
      <c r="K120" t="s">
        <v>23</v>
      </c>
      <c r="L120" t="s">
        <v>24</v>
      </c>
      <c r="M120" t="s">
        <v>25</v>
      </c>
      <c r="N120" t="s">
        <v>26</v>
      </c>
      <c r="O120" t="s">
        <v>27</v>
      </c>
      <c r="P120" s="1">
        <v>44802</v>
      </c>
      <c r="Q120">
        <f t="shared" si="5"/>
        <v>0</v>
      </c>
      <c r="R120">
        <f t="shared" si="6"/>
        <v>0</v>
      </c>
      <c r="S120">
        <f t="shared" si="7"/>
        <v>0</v>
      </c>
      <c r="T120" s="11">
        <f t="shared" si="8"/>
        <v>2018</v>
      </c>
      <c r="U120" s="11">
        <f t="shared" si="9"/>
        <v>50712</v>
      </c>
    </row>
    <row r="121" spans="1:21" x14ac:dyDescent="0.3">
      <c r="A121" t="s">
        <v>359</v>
      </c>
      <c r="B121">
        <v>2019</v>
      </c>
      <c r="C121" t="s">
        <v>56</v>
      </c>
      <c r="D121" t="s">
        <v>53</v>
      </c>
      <c r="E121">
        <v>27414</v>
      </c>
      <c r="F121" t="s">
        <v>65</v>
      </c>
      <c r="G121">
        <v>47800</v>
      </c>
      <c r="H121" t="s">
        <v>20</v>
      </c>
      <c r="I121" t="s">
        <v>58</v>
      </c>
      <c r="J121" t="s">
        <v>66</v>
      </c>
      <c r="K121" t="s">
        <v>23</v>
      </c>
      <c r="L121" t="s">
        <v>228</v>
      </c>
      <c r="M121" t="s">
        <v>25</v>
      </c>
      <c r="N121" t="s">
        <v>26</v>
      </c>
      <c r="O121" t="s">
        <v>27</v>
      </c>
      <c r="P121" s="1">
        <v>44802</v>
      </c>
      <c r="Q121">
        <f t="shared" si="5"/>
        <v>0</v>
      </c>
      <c r="R121">
        <f t="shared" si="6"/>
        <v>0</v>
      </c>
      <c r="S121">
        <f t="shared" si="7"/>
        <v>0</v>
      </c>
      <c r="T121" s="11">
        <f t="shared" si="8"/>
        <v>2019</v>
      </c>
      <c r="U121" s="11">
        <f t="shared" si="9"/>
        <v>27414</v>
      </c>
    </row>
    <row r="122" spans="1:21" x14ac:dyDescent="0.3">
      <c r="A122" t="s">
        <v>360</v>
      </c>
      <c r="B122">
        <v>2019</v>
      </c>
      <c r="C122" t="s">
        <v>56</v>
      </c>
      <c r="D122" t="s">
        <v>32</v>
      </c>
      <c r="E122">
        <v>27506</v>
      </c>
      <c r="F122" t="s">
        <v>57</v>
      </c>
      <c r="G122">
        <v>62000</v>
      </c>
      <c r="H122" t="s">
        <v>20</v>
      </c>
      <c r="I122" t="s">
        <v>58</v>
      </c>
      <c r="J122" t="s">
        <v>168</v>
      </c>
      <c r="K122" t="s">
        <v>23</v>
      </c>
      <c r="L122" t="s">
        <v>219</v>
      </c>
      <c r="M122" t="s">
        <v>220</v>
      </c>
      <c r="N122" t="s">
        <v>221</v>
      </c>
      <c r="O122" t="s">
        <v>27</v>
      </c>
      <c r="P122" s="1">
        <v>44802</v>
      </c>
      <c r="Q122">
        <f t="shared" si="5"/>
        <v>0</v>
      </c>
      <c r="R122">
        <f t="shared" si="6"/>
        <v>0</v>
      </c>
      <c r="S122">
        <f t="shared" si="7"/>
        <v>0</v>
      </c>
      <c r="T122" s="11">
        <f t="shared" si="8"/>
        <v>2019</v>
      </c>
      <c r="U122" s="11">
        <f t="shared" si="9"/>
        <v>27506</v>
      </c>
    </row>
    <row r="123" spans="1:21" x14ac:dyDescent="0.3">
      <c r="A123" t="s">
        <v>361</v>
      </c>
      <c r="B123">
        <v>2021</v>
      </c>
      <c r="C123" t="s">
        <v>17</v>
      </c>
      <c r="D123" t="s">
        <v>76</v>
      </c>
      <c r="E123">
        <v>19062</v>
      </c>
      <c r="F123" t="s">
        <v>207</v>
      </c>
      <c r="G123">
        <v>77100</v>
      </c>
      <c r="H123" t="s">
        <v>20</v>
      </c>
      <c r="I123" t="s">
        <v>78</v>
      </c>
      <c r="J123" t="s">
        <v>362</v>
      </c>
      <c r="K123" t="s">
        <v>23</v>
      </c>
      <c r="L123" t="s">
        <v>363</v>
      </c>
      <c r="M123" t="s">
        <v>364</v>
      </c>
      <c r="N123" t="s">
        <v>245</v>
      </c>
      <c r="O123" t="s">
        <v>27</v>
      </c>
      <c r="P123" s="1">
        <v>44802</v>
      </c>
      <c r="Q123">
        <f t="shared" si="5"/>
        <v>0</v>
      </c>
      <c r="R123">
        <f t="shared" si="6"/>
        <v>0</v>
      </c>
      <c r="S123">
        <f t="shared" si="7"/>
        <v>1</v>
      </c>
      <c r="T123" s="11">
        <f t="shared" si="8"/>
        <v>2021</v>
      </c>
      <c r="U123" s="11">
        <f t="shared" si="9"/>
        <v>19062</v>
      </c>
    </row>
    <row r="124" spans="1:21" x14ac:dyDescent="0.3">
      <c r="A124" t="s">
        <v>365</v>
      </c>
      <c r="B124">
        <v>2021</v>
      </c>
      <c r="C124" t="s">
        <v>56</v>
      </c>
      <c r="D124" t="s">
        <v>32</v>
      </c>
      <c r="E124">
        <v>13523</v>
      </c>
      <c r="F124" t="s">
        <v>366</v>
      </c>
      <c r="G124">
        <v>58100</v>
      </c>
      <c r="H124" t="s">
        <v>20</v>
      </c>
      <c r="I124" t="s">
        <v>78</v>
      </c>
      <c r="J124" t="s">
        <v>317</v>
      </c>
      <c r="K124" t="s">
        <v>23</v>
      </c>
      <c r="L124" t="s">
        <v>367</v>
      </c>
      <c r="M124" t="s">
        <v>244</v>
      </c>
      <c r="N124" t="s">
        <v>245</v>
      </c>
      <c r="O124" t="s">
        <v>27</v>
      </c>
      <c r="P124" s="1">
        <v>44802</v>
      </c>
      <c r="Q124">
        <f t="shared" si="5"/>
        <v>0</v>
      </c>
      <c r="R124">
        <f t="shared" si="6"/>
        <v>0</v>
      </c>
      <c r="S124">
        <f t="shared" si="7"/>
        <v>0</v>
      </c>
      <c r="T124" s="11">
        <f t="shared" si="8"/>
        <v>2021</v>
      </c>
      <c r="U124" s="11">
        <f t="shared" si="9"/>
        <v>13523</v>
      </c>
    </row>
    <row r="125" spans="1:21" x14ac:dyDescent="0.3">
      <c r="A125" t="s">
        <v>368</v>
      </c>
      <c r="B125">
        <v>2019</v>
      </c>
      <c r="C125" t="s">
        <v>56</v>
      </c>
      <c r="D125" t="s">
        <v>32</v>
      </c>
      <c r="E125">
        <v>20347</v>
      </c>
      <c r="F125" t="s">
        <v>71</v>
      </c>
      <c r="G125">
        <v>57900</v>
      </c>
      <c r="H125" t="s">
        <v>77</v>
      </c>
      <c r="I125" t="s">
        <v>21</v>
      </c>
      <c r="J125" t="s">
        <v>121</v>
      </c>
      <c r="K125" t="s">
        <v>23</v>
      </c>
      <c r="L125" t="s">
        <v>84</v>
      </c>
      <c r="M125" t="s">
        <v>48</v>
      </c>
      <c r="N125" t="s">
        <v>69</v>
      </c>
      <c r="O125" t="s">
        <v>27</v>
      </c>
      <c r="P125" s="1">
        <v>44802</v>
      </c>
      <c r="Q125">
        <f t="shared" si="5"/>
        <v>0</v>
      </c>
      <c r="R125">
        <f t="shared" si="6"/>
        <v>0</v>
      </c>
      <c r="S125">
        <f t="shared" si="7"/>
        <v>0</v>
      </c>
      <c r="T125" s="11">
        <f t="shared" si="8"/>
        <v>2019</v>
      </c>
      <c r="U125" s="11">
        <f t="shared" si="9"/>
        <v>20347</v>
      </c>
    </row>
    <row r="126" spans="1:21" x14ac:dyDescent="0.3">
      <c r="A126" t="s">
        <v>369</v>
      </c>
      <c r="B126">
        <v>2019</v>
      </c>
      <c r="C126" t="s">
        <v>56</v>
      </c>
      <c r="D126" t="s">
        <v>93</v>
      </c>
      <c r="E126">
        <v>25397</v>
      </c>
      <c r="F126" t="s">
        <v>71</v>
      </c>
      <c r="G126">
        <v>56100</v>
      </c>
      <c r="H126" t="s">
        <v>77</v>
      </c>
      <c r="I126" t="s">
        <v>58</v>
      </c>
      <c r="J126" t="s">
        <v>235</v>
      </c>
      <c r="K126" t="s">
        <v>23</v>
      </c>
      <c r="L126" t="s">
        <v>47</v>
      </c>
      <c r="M126" t="s">
        <v>48</v>
      </c>
      <c r="N126" t="s">
        <v>49</v>
      </c>
      <c r="O126" t="s">
        <v>27</v>
      </c>
      <c r="P126" s="1">
        <v>44802</v>
      </c>
      <c r="Q126">
        <f t="shared" si="5"/>
        <v>0</v>
      </c>
      <c r="R126">
        <f t="shared" si="6"/>
        <v>0</v>
      </c>
      <c r="S126">
        <f t="shared" si="7"/>
        <v>0</v>
      </c>
      <c r="T126" s="11">
        <f t="shared" si="8"/>
        <v>2019</v>
      </c>
      <c r="U126" s="11">
        <f t="shared" si="9"/>
        <v>25397</v>
      </c>
    </row>
    <row r="127" spans="1:21" x14ac:dyDescent="0.3">
      <c r="A127" t="s">
        <v>370</v>
      </c>
      <c r="B127">
        <v>2019</v>
      </c>
      <c r="C127" t="s">
        <v>56</v>
      </c>
      <c r="D127" t="s">
        <v>32</v>
      </c>
      <c r="E127">
        <v>36324</v>
      </c>
      <c r="F127" t="s">
        <v>57</v>
      </c>
      <c r="G127">
        <v>56000</v>
      </c>
      <c r="H127" t="s">
        <v>20</v>
      </c>
      <c r="I127" t="s">
        <v>58</v>
      </c>
      <c r="J127" t="s">
        <v>168</v>
      </c>
      <c r="K127" t="s">
        <v>23</v>
      </c>
      <c r="L127" t="s">
        <v>371</v>
      </c>
      <c r="M127" t="s">
        <v>48</v>
      </c>
      <c r="N127" t="s">
        <v>49</v>
      </c>
      <c r="O127" t="s">
        <v>27</v>
      </c>
      <c r="P127" s="1">
        <v>44802</v>
      </c>
      <c r="Q127">
        <f t="shared" si="5"/>
        <v>0</v>
      </c>
      <c r="R127">
        <f t="shared" si="6"/>
        <v>0</v>
      </c>
      <c r="S127">
        <f t="shared" si="7"/>
        <v>0</v>
      </c>
      <c r="T127" s="11">
        <f t="shared" si="8"/>
        <v>2019</v>
      </c>
      <c r="U127" s="11">
        <f t="shared" si="9"/>
        <v>36324</v>
      </c>
    </row>
    <row r="128" spans="1:21" x14ac:dyDescent="0.3">
      <c r="A128" t="s">
        <v>372</v>
      </c>
      <c r="B128">
        <v>2019</v>
      </c>
      <c r="C128" t="s">
        <v>56</v>
      </c>
      <c r="D128" t="s">
        <v>32</v>
      </c>
      <c r="E128">
        <v>40496</v>
      </c>
      <c r="F128" t="s">
        <v>71</v>
      </c>
      <c r="G128">
        <v>52900</v>
      </c>
      <c r="H128" t="s">
        <v>20</v>
      </c>
      <c r="I128" t="s">
        <v>58</v>
      </c>
      <c r="J128" t="s">
        <v>373</v>
      </c>
      <c r="K128" t="s">
        <v>23</v>
      </c>
      <c r="L128" t="s">
        <v>84</v>
      </c>
      <c r="M128" t="s">
        <v>48</v>
      </c>
      <c r="N128" t="s">
        <v>69</v>
      </c>
      <c r="O128" t="s">
        <v>27</v>
      </c>
      <c r="P128" s="1">
        <v>44802</v>
      </c>
      <c r="Q128">
        <f t="shared" si="5"/>
        <v>0</v>
      </c>
      <c r="R128">
        <f t="shared" si="6"/>
        <v>0</v>
      </c>
      <c r="S128">
        <f t="shared" si="7"/>
        <v>0</v>
      </c>
      <c r="T128" s="11">
        <f t="shared" si="8"/>
        <v>2019</v>
      </c>
      <c r="U128" s="11">
        <f t="shared" si="9"/>
        <v>40496</v>
      </c>
    </row>
    <row r="129" spans="1:21" x14ac:dyDescent="0.3">
      <c r="A129" t="s">
        <v>374</v>
      </c>
      <c r="B129">
        <v>2018</v>
      </c>
      <c r="C129" t="s">
        <v>56</v>
      </c>
      <c r="D129" t="s">
        <v>53</v>
      </c>
      <c r="E129">
        <v>39947</v>
      </c>
      <c r="F129" t="s">
        <v>57</v>
      </c>
      <c r="G129">
        <v>55100</v>
      </c>
      <c r="H129" t="s">
        <v>20</v>
      </c>
      <c r="I129" t="s">
        <v>58</v>
      </c>
      <c r="J129" t="s">
        <v>59</v>
      </c>
      <c r="K129" t="s">
        <v>23</v>
      </c>
      <c r="L129" t="s">
        <v>224</v>
      </c>
      <c r="M129" t="s">
        <v>202</v>
      </c>
      <c r="N129" t="s">
        <v>203</v>
      </c>
      <c r="O129" t="s">
        <v>27</v>
      </c>
      <c r="P129" s="1">
        <v>44802</v>
      </c>
      <c r="Q129">
        <f t="shared" si="5"/>
        <v>0</v>
      </c>
      <c r="R129">
        <f t="shared" si="6"/>
        <v>0</v>
      </c>
      <c r="S129">
        <f t="shared" si="7"/>
        <v>0</v>
      </c>
      <c r="T129" s="11">
        <f t="shared" si="8"/>
        <v>2018</v>
      </c>
      <c r="U129" s="11">
        <f t="shared" si="9"/>
        <v>39947</v>
      </c>
    </row>
    <row r="130" spans="1:21" x14ac:dyDescent="0.3">
      <c r="A130" t="s">
        <v>375</v>
      </c>
      <c r="B130">
        <v>2019</v>
      </c>
      <c r="C130" t="s">
        <v>56</v>
      </c>
      <c r="D130" t="s">
        <v>53</v>
      </c>
      <c r="E130">
        <v>37004</v>
      </c>
      <c r="F130" t="s">
        <v>71</v>
      </c>
      <c r="G130">
        <v>57100</v>
      </c>
      <c r="H130" t="s">
        <v>20</v>
      </c>
      <c r="I130" t="s">
        <v>21</v>
      </c>
      <c r="J130" t="s">
        <v>376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  <c r="P130" s="1">
        <v>44802</v>
      </c>
      <c r="Q130">
        <f t="shared" ref="Q130:Q193" si="10">--(C130="ms")</f>
        <v>0</v>
      </c>
      <c r="R130">
        <f t="shared" ref="R130:R193" si="11">--(C130="mx")</f>
        <v>0</v>
      </c>
      <c r="S130">
        <f t="shared" ref="S130:S193" si="12">--(C130="my")</f>
        <v>0</v>
      </c>
      <c r="T130" s="11">
        <f t="shared" ref="T130:T193" si="13">B130</f>
        <v>2019</v>
      </c>
      <c r="U130" s="11">
        <f t="shared" ref="U130:U193" si="14">E130</f>
        <v>37004</v>
      </c>
    </row>
    <row r="131" spans="1:21" x14ac:dyDescent="0.3">
      <c r="A131" t="s">
        <v>377</v>
      </c>
      <c r="B131">
        <v>2019</v>
      </c>
      <c r="C131" t="s">
        <v>56</v>
      </c>
      <c r="D131" t="s">
        <v>76</v>
      </c>
      <c r="E131">
        <v>27102</v>
      </c>
      <c r="F131" t="s">
        <v>65</v>
      </c>
      <c r="G131">
        <v>48100</v>
      </c>
      <c r="H131" t="s">
        <v>77</v>
      </c>
      <c r="I131" t="s">
        <v>58</v>
      </c>
      <c r="J131" t="s">
        <v>378</v>
      </c>
      <c r="K131" t="s">
        <v>23</v>
      </c>
      <c r="L131" t="s">
        <v>197</v>
      </c>
      <c r="M131" t="s">
        <v>198</v>
      </c>
      <c r="N131" t="s">
        <v>26</v>
      </c>
      <c r="O131" t="s">
        <v>27</v>
      </c>
      <c r="P131" s="1">
        <v>44802</v>
      </c>
      <c r="Q131">
        <f t="shared" si="10"/>
        <v>0</v>
      </c>
      <c r="R131">
        <f t="shared" si="11"/>
        <v>0</v>
      </c>
      <c r="S131">
        <f t="shared" si="12"/>
        <v>0</v>
      </c>
      <c r="T131" s="11">
        <f t="shared" si="13"/>
        <v>2019</v>
      </c>
      <c r="U131" s="11">
        <f t="shared" si="14"/>
        <v>27102</v>
      </c>
    </row>
    <row r="132" spans="1:21" x14ac:dyDescent="0.3">
      <c r="A132" t="s">
        <v>379</v>
      </c>
      <c r="B132">
        <v>2021</v>
      </c>
      <c r="C132" t="s">
        <v>56</v>
      </c>
      <c r="D132" t="s">
        <v>32</v>
      </c>
      <c r="E132">
        <v>11888</v>
      </c>
      <c r="F132" t="s">
        <v>65</v>
      </c>
      <c r="G132">
        <v>53100</v>
      </c>
      <c r="H132" t="s">
        <v>20</v>
      </c>
      <c r="I132" t="s">
        <v>58</v>
      </c>
      <c r="J132" t="s">
        <v>192</v>
      </c>
      <c r="K132" t="s">
        <v>23</v>
      </c>
      <c r="L132" t="s">
        <v>41</v>
      </c>
      <c r="M132" t="s">
        <v>42</v>
      </c>
      <c r="N132" t="s">
        <v>26</v>
      </c>
      <c r="O132" t="s">
        <v>27</v>
      </c>
      <c r="P132" s="1">
        <v>44802</v>
      </c>
      <c r="Q132">
        <f t="shared" si="10"/>
        <v>0</v>
      </c>
      <c r="R132">
        <f t="shared" si="11"/>
        <v>0</v>
      </c>
      <c r="S132">
        <f t="shared" si="12"/>
        <v>0</v>
      </c>
      <c r="T132" s="11">
        <f t="shared" si="13"/>
        <v>2021</v>
      </c>
      <c r="U132" s="11">
        <f t="shared" si="14"/>
        <v>11888</v>
      </c>
    </row>
    <row r="133" spans="1:21" x14ac:dyDescent="0.3">
      <c r="A133" t="s">
        <v>380</v>
      </c>
      <c r="B133">
        <v>2019</v>
      </c>
      <c r="C133" t="s">
        <v>56</v>
      </c>
      <c r="D133" t="s">
        <v>32</v>
      </c>
      <c r="E133">
        <v>22525</v>
      </c>
      <c r="F133" t="s">
        <v>71</v>
      </c>
      <c r="G133">
        <v>58000</v>
      </c>
      <c r="H133" t="s">
        <v>20</v>
      </c>
      <c r="I133" t="s">
        <v>21</v>
      </c>
      <c r="J133" t="s">
        <v>72</v>
      </c>
      <c r="K133" t="s">
        <v>23</v>
      </c>
      <c r="L133" t="s">
        <v>381</v>
      </c>
      <c r="M133" t="s">
        <v>382</v>
      </c>
      <c r="N133" t="s">
        <v>26</v>
      </c>
      <c r="O133" t="s">
        <v>27</v>
      </c>
      <c r="P133" s="1">
        <v>44802</v>
      </c>
      <c r="Q133">
        <f t="shared" si="10"/>
        <v>0</v>
      </c>
      <c r="R133">
        <f t="shared" si="11"/>
        <v>0</v>
      </c>
      <c r="S133">
        <f t="shared" si="12"/>
        <v>0</v>
      </c>
      <c r="T133" s="11">
        <f t="shared" si="13"/>
        <v>2019</v>
      </c>
      <c r="U133" s="11">
        <f t="shared" si="14"/>
        <v>22525</v>
      </c>
    </row>
    <row r="134" spans="1:21" x14ac:dyDescent="0.3">
      <c r="A134" t="s">
        <v>383</v>
      </c>
      <c r="B134">
        <v>2019</v>
      </c>
      <c r="C134" t="s">
        <v>56</v>
      </c>
      <c r="D134" t="s">
        <v>30</v>
      </c>
      <c r="E134">
        <v>20142</v>
      </c>
      <c r="F134" t="s">
        <v>71</v>
      </c>
      <c r="G134">
        <v>58000</v>
      </c>
      <c r="H134" t="s">
        <v>20</v>
      </c>
      <c r="I134" t="s">
        <v>21</v>
      </c>
      <c r="J134" t="s">
        <v>384</v>
      </c>
      <c r="K134" t="s">
        <v>23</v>
      </c>
      <c r="L134" t="s">
        <v>381</v>
      </c>
      <c r="M134" t="s">
        <v>382</v>
      </c>
      <c r="N134" t="s">
        <v>26</v>
      </c>
      <c r="O134" t="s">
        <v>27</v>
      </c>
      <c r="P134" s="1">
        <v>44802</v>
      </c>
      <c r="Q134">
        <f t="shared" si="10"/>
        <v>0</v>
      </c>
      <c r="R134">
        <f t="shared" si="11"/>
        <v>0</v>
      </c>
      <c r="S134">
        <f t="shared" si="12"/>
        <v>0</v>
      </c>
      <c r="T134" s="11">
        <f t="shared" si="13"/>
        <v>2019</v>
      </c>
      <c r="U134" s="11">
        <f t="shared" si="14"/>
        <v>20142</v>
      </c>
    </row>
    <row r="135" spans="1:21" x14ac:dyDescent="0.3">
      <c r="A135" t="s">
        <v>385</v>
      </c>
      <c r="B135">
        <v>2021</v>
      </c>
      <c r="C135" t="s">
        <v>17</v>
      </c>
      <c r="D135" t="s">
        <v>32</v>
      </c>
      <c r="E135">
        <v>10289</v>
      </c>
      <c r="F135" t="s">
        <v>19</v>
      </c>
      <c r="G135">
        <v>71300</v>
      </c>
      <c r="H135" t="s">
        <v>20</v>
      </c>
      <c r="I135" t="s">
        <v>78</v>
      </c>
      <c r="J135" t="s">
        <v>386</v>
      </c>
      <c r="K135" t="s">
        <v>23</v>
      </c>
      <c r="N135" t="s">
        <v>127</v>
      </c>
      <c r="O135" t="s">
        <v>27</v>
      </c>
      <c r="P135" s="1">
        <v>44802</v>
      </c>
      <c r="Q135">
        <f t="shared" si="10"/>
        <v>0</v>
      </c>
      <c r="R135">
        <f t="shared" si="11"/>
        <v>0</v>
      </c>
      <c r="S135">
        <f t="shared" si="12"/>
        <v>1</v>
      </c>
      <c r="T135" s="11">
        <f t="shared" si="13"/>
        <v>2021</v>
      </c>
      <c r="U135" s="11">
        <f t="shared" si="14"/>
        <v>10289</v>
      </c>
    </row>
    <row r="136" spans="1:21" x14ac:dyDescent="0.3">
      <c r="A136" t="s">
        <v>387</v>
      </c>
      <c r="B136">
        <v>2020</v>
      </c>
      <c r="C136" t="s">
        <v>56</v>
      </c>
      <c r="D136" t="s">
        <v>32</v>
      </c>
      <c r="E136">
        <v>11024</v>
      </c>
      <c r="F136" t="s">
        <v>65</v>
      </c>
      <c r="G136">
        <v>54700</v>
      </c>
      <c r="H136" t="s">
        <v>77</v>
      </c>
      <c r="I136" t="s">
        <v>78</v>
      </c>
      <c r="J136" t="s">
        <v>388</v>
      </c>
      <c r="K136" t="s">
        <v>23</v>
      </c>
      <c r="L136" t="s">
        <v>95</v>
      </c>
      <c r="M136" t="s">
        <v>96</v>
      </c>
      <c r="N136" t="s">
        <v>89</v>
      </c>
      <c r="O136" t="s">
        <v>27</v>
      </c>
      <c r="P136" s="1">
        <v>44802</v>
      </c>
      <c r="Q136">
        <f t="shared" si="10"/>
        <v>0</v>
      </c>
      <c r="R136">
        <f t="shared" si="11"/>
        <v>0</v>
      </c>
      <c r="S136">
        <f t="shared" si="12"/>
        <v>0</v>
      </c>
      <c r="T136" s="11">
        <f t="shared" si="13"/>
        <v>2020</v>
      </c>
      <c r="U136" s="11">
        <f t="shared" si="14"/>
        <v>11024</v>
      </c>
    </row>
    <row r="137" spans="1:21" x14ac:dyDescent="0.3">
      <c r="A137" t="s">
        <v>389</v>
      </c>
      <c r="B137">
        <v>2020</v>
      </c>
      <c r="C137" t="s">
        <v>56</v>
      </c>
      <c r="D137" t="s">
        <v>30</v>
      </c>
      <c r="E137">
        <v>14467</v>
      </c>
      <c r="F137" t="s">
        <v>57</v>
      </c>
      <c r="G137">
        <v>60500</v>
      </c>
      <c r="H137" t="s">
        <v>20</v>
      </c>
      <c r="I137" t="s">
        <v>78</v>
      </c>
      <c r="J137" t="s">
        <v>124</v>
      </c>
      <c r="K137" t="s">
        <v>23</v>
      </c>
      <c r="L137" t="s">
        <v>95</v>
      </c>
      <c r="M137" t="s">
        <v>96</v>
      </c>
      <c r="N137" t="s">
        <v>89</v>
      </c>
      <c r="O137" t="s">
        <v>27</v>
      </c>
      <c r="P137" s="1">
        <v>44802</v>
      </c>
      <c r="Q137">
        <f t="shared" si="10"/>
        <v>0</v>
      </c>
      <c r="R137">
        <f t="shared" si="11"/>
        <v>0</v>
      </c>
      <c r="S137">
        <f t="shared" si="12"/>
        <v>0</v>
      </c>
      <c r="T137" s="11">
        <f t="shared" si="13"/>
        <v>2020</v>
      </c>
      <c r="U137" s="11">
        <f t="shared" si="14"/>
        <v>14467</v>
      </c>
    </row>
    <row r="138" spans="1:21" x14ac:dyDescent="0.3">
      <c r="A138" t="s">
        <v>390</v>
      </c>
      <c r="B138">
        <v>2017</v>
      </c>
      <c r="C138" t="s">
        <v>29</v>
      </c>
      <c r="D138" t="s">
        <v>32</v>
      </c>
      <c r="E138">
        <v>27905</v>
      </c>
      <c r="F138" t="s">
        <v>270</v>
      </c>
      <c r="G138">
        <v>90900</v>
      </c>
      <c r="H138" t="s">
        <v>32</v>
      </c>
      <c r="I138" t="s">
        <v>110</v>
      </c>
      <c r="J138" t="s">
        <v>391</v>
      </c>
      <c r="K138" t="s">
        <v>23</v>
      </c>
      <c r="L138" t="s">
        <v>95</v>
      </c>
      <c r="M138" t="s">
        <v>96</v>
      </c>
      <c r="N138" t="s">
        <v>89</v>
      </c>
      <c r="O138" t="s">
        <v>27</v>
      </c>
      <c r="P138" s="1">
        <v>44802</v>
      </c>
      <c r="Q138">
        <f t="shared" si="10"/>
        <v>0</v>
      </c>
      <c r="R138">
        <f t="shared" si="11"/>
        <v>1</v>
      </c>
      <c r="S138">
        <f t="shared" si="12"/>
        <v>0</v>
      </c>
      <c r="T138" s="11">
        <f t="shared" si="13"/>
        <v>2017</v>
      </c>
      <c r="U138" s="11">
        <f t="shared" si="14"/>
        <v>27905</v>
      </c>
    </row>
    <row r="139" spans="1:21" x14ac:dyDescent="0.3">
      <c r="A139" t="s">
        <v>392</v>
      </c>
      <c r="B139">
        <v>2022</v>
      </c>
      <c r="C139" t="s">
        <v>29</v>
      </c>
      <c r="D139" t="s">
        <v>32</v>
      </c>
      <c r="E139">
        <v>927</v>
      </c>
      <c r="F139" t="s">
        <v>393</v>
      </c>
      <c r="G139">
        <v>143100</v>
      </c>
      <c r="H139" t="s">
        <v>32</v>
      </c>
      <c r="J139" t="s">
        <v>394</v>
      </c>
      <c r="K139" t="s">
        <v>23</v>
      </c>
      <c r="L139" t="s">
        <v>95</v>
      </c>
      <c r="M139" t="s">
        <v>96</v>
      </c>
      <c r="N139" t="s">
        <v>89</v>
      </c>
      <c r="O139" t="s">
        <v>27</v>
      </c>
      <c r="P139" s="1">
        <v>44802</v>
      </c>
      <c r="Q139">
        <f t="shared" si="10"/>
        <v>0</v>
      </c>
      <c r="R139">
        <f t="shared" si="11"/>
        <v>1</v>
      </c>
      <c r="S139">
        <f t="shared" si="12"/>
        <v>0</v>
      </c>
      <c r="T139" s="11">
        <f t="shared" si="13"/>
        <v>2022</v>
      </c>
      <c r="U139" s="11">
        <f t="shared" si="14"/>
        <v>927</v>
      </c>
    </row>
    <row r="140" spans="1:21" x14ac:dyDescent="0.3">
      <c r="A140" t="s">
        <v>395</v>
      </c>
      <c r="B140">
        <v>2018</v>
      </c>
      <c r="C140" t="s">
        <v>37</v>
      </c>
      <c r="D140" t="s">
        <v>30</v>
      </c>
      <c r="E140">
        <v>63259</v>
      </c>
      <c r="F140" t="s">
        <v>52</v>
      </c>
      <c r="G140">
        <v>73900</v>
      </c>
      <c r="H140" t="s">
        <v>45</v>
      </c>
      <c r="I140" t="s">
        <v>78</v>
      </c>
      <c r="J140" t="s">
        <v>396</v>
      </c>
      <c r="K140" t="s">
        <v>23</v>
      </c>
      <c r="L140" t="s">
        <v>34</v>
      </c>
      <c r="N140" t="s">
        <v>35</v>
      </c>
      <c r="O140" t="s">
        <v>27</v>
      </c>
      <c r="P140" s="1">
        <v>44802</v>
      </c>
      <c r="Q140">
        <f t="shared" si="10"/>
        <v>1</v>
      </c>
      <c r="R140">
        <f t="shared" si="11"/>
        <v>0</v>
      </c>
      <c r="S140">
        <f t="shared" si="12"/>
        <v>0</v>
      </c>
      <c r="T140" s="11">
        <f t="shared" si="13"/>
        <v>2018</v>
      </c>
      <c r="U140" s="11">
        <f t="shared" si="14"/>
        <v>63259</v>
      </c>
    </row>
    <row r="141" spans="1:21" x14ac:dyDescent="0.3">
      <c r="A141" t="s">
        <v>397</v>
      </c>
      <c r="B141">
        <v>2019</v>
      </c>
      <c r="C141" t="s">
        <v>29</v>
      </c>
      <c r="D141" t="s">
        <v>32</v>
      </c>
      <c r="E141">
        <v>47842</v>
      </c>
      <c r="F141" t="s">
        <v>177</v>
      </c>
      <c r="G141">
        <v>90800</v>
      </c>
      <c r="H141" t="s">
        <v>32</v>
      </c>
      <c r="I141" t="s">
        <v>110</v>
      </c>
      <c r="J141" t="s">
        <v>301</v>
      </c>
      <c r="K141" t="s">
        <v>23</v>
      </c>
      <c r="L141" t="s">
        <v>84</v>
      </c>
      <c r="M141" t="s">
        <v>48</v>
      </c>
      <c r="N141" t="s">
        <v>69</v>
      </c>
      <c r="O141" t="s">
        <v>27</v>
      </c>
      <c r="P141" s="1">
        <v>44802</v>
      </c>
      <c r="Q141">
        <f t="shared" si="10"/>
        <v>0</v>
      </c>
      <c r="R141">
        <f t="shared" si="11"/>
        <v>1</v>
      </c>
      <c r="S141">
        <f t="shared" si="12"/>
        <v>0</v>
      </c>
      <c r="T141" s="11">
        <f t="shared" si="13"/>
        <v>2019</v>
      </c>
      <c r="U141" s="11">
        <f t="shared" si="14"/>
        <v>47842</v>
      </c>
    </row>
    <row r="142" spans="1:21" x14ac:dyDescent="0.3">
      <c r="A142" t="s">
        <v>398</v>
      </c>
      <c r="B142">
        <v>2020</v>
      </c>
      <c r="C142" t="s">
        <v>56</v>
      </c>
      <c r="D142" t="s">
        <v>76</v>
      </c>
      <c r="E142">
        <v>11891</v>
      </c>
      <c r="F142" t="s">
        <v>65</v>
      </c>
      <c r="G142">
        <v>52000</v>
      </c>
      <c r="H142" t="s">
        <v>20</v>
      </c>
      <c r="I142" t="s">
        <v>58</v>
      </c>
      <c r="J142" t="s">
        <v>399</v>
      </c>
      <c r="K142" t="s">
        <v>23</v>
      </c>
      <c r="L142" t="s">
        <v>371</v>
      </c>
      <c r="M142" t="s">
        <v>48</v>
      </c>
      <c r="N142" t="s">
        <v>49</v>
      </c>
      <c r="O142" t="s">
        <v>27</v>
      </c>
      <c r="P142" s="1">
        <v>44802</v>
      </c>
      <c r="Q142">
        <f t="shared" si="10"/>
        <v>0</v>
      </c>
      <c r="R142">
        <f t="shared" si="11"/>
        <v>0</v>
      </c>
      <c r="S142">
        <f t="shared" si="12"/>
        <v>0</v>
      </c>
      <c r="T142" s="11">
        <f t="shared" si="13"/>
        <v>2020</v>
      </c>
      <c r="U142" s="11">
        <f t="shared" si="14"/>
        <v>11891</v>
      </c>
    </row>
    <row r="143" spans="1:21" x14ac:dyDescent="0.3">
      <c r="A143" t="s">
        <v>400</v>
      </c>
      <c r="B143">
        <v>2019</v>
      </c>
      <c r="C143" t="s">
        <v>29</v>
      </c>
      <c r="D143" t="s">
        <v>53</v>
      </c>
      <c r="E143">
        <v>30695</v>
      </c>
      <c r="F143" t="s">
        <v>44</v>
      </c>
      <c r="G143">
        <v>94100</v>
      </c>
      <c r="H143" t="s">
        <v>53</v>
      </c>
      <c r="I143" t="s">
        <v>110</v>
      </c>
      <c r="J143" t="s">
        <v>401</v>
      </c>
      <c r="K143" t="s">
        <v>23</v>
      </c>
      <c r="L143" t="s">
        <v>117</v>
      </c>
      <c r="M143" t="s">
        <v>118</v>
      </c>
      <c r="N143" t="s">
        <v>119</v>
      </c>
      <c r="O143" t="s">
        <v>27</v>
      </c>
      <c r="P143" s="1">
        <v>44802</v>
      </c>
      <c r="Q143">
        <f t="shared" si="10"/>
        <v>0</v>
      </c>
      <c r="R143">
        <f t="shared" si="11"/>
        <v>1</v>
      </c>
      <c r="S143">
        <f t="shared" si="12"/>
        <v>0</v>
      </c>
      <c r="T143" s="11">
        <f t="shared" si="13"/>
        <v>2019</v>
      </c>
      <c r="U143" s="11">
        <f t="shared" si="14"/>
        <v>30695</v>
      </c>
    </row>
    <row r="144" spans="1:21" x14ac:dyDescent="0.3">
      <c r="A144" t="s">
        <v>402</v>
      </c>
      <c r="B144">
        <v>2018</v>
      </c>
      <c r="C144" t="s">
        <v>56</v>
      </c>
      <c r="D144" t="s">
        <v>53</v>
      </c>
      <c r="E144">
        <v>85453</v>
      </c>
      <c r="F144" t="s">
        <v>234</v>
      </c>
      <c r="G144">
        <v>46400</v>
      </c>
      <c r="H144" t="s">
        <v>20</v>
      </c>
      <c r="I144" t="s">
        <v>78</v>
      </c>
      <c r="J144" t="s">
        <v>403</v>
      </c>
      <c r="K144" t="s">
        <v>23</v>
      </c>
      <c r="L144" t="s">
        <v>404</v>
      </c>
      <c r="M144" t="s">
        <v>405</v>
      </c>
      <c r="N144" t="s">
        <v>406</v>
      </c>
      <c r="O144" t="s">
        <v>27</v>
      </c>
      <c r="P144" s="1">
        <v>44802</v>
      </c>
      <c r="Q144">
        <f t="shared" si="10"/>
        <v>0</v>
      </c>
      <c r="R144">
        <f t="shared" si="11"/>
        <v>0</v>
      </c>
      <c r="S144">
        <f t="shared" si="12"/>
        <v>0</v>
      </c>
      <c r="T144" s="11">
        <f t="shared" si="13"/>
        <v>2018</v>
      </c>
      <c r="U144" s="11">
        <f t="shared" si="14"/>
        <v>85453</v>
      </c>
    </row>
    <row r="145" spans="1:21" x14ac:dyDescent="0.3">
      <c r="A145" t="s">
        <v>407</v>
      </c>
      <c r="B145">
        <v>2021</v>
      </c>
      <c r="C145" t="s">
        <v>37</v>
      </c>
      <c r="D145" t="s">
        <v>51</v>
      </c>
      <c r="E145">
        <v>5893</v>
      </c>
      <c r="F145" t="s">
        <v>131</v>
      </c>
      <c r="G145">
        <v>119200</v>
      </c>
      <c r="H145" t="s">
        <v>53</v>
      </c>
      <c r="I145" t="s">
        <v>78</v>
      </c>
      <c r="J145" t="s">
        <v>408</v>
      </c>
      <c r="K145" t="s">
        <v>23</v>
      </c>
      <c r="L145" t="s">
        <v>404</v>
      </c>
      <c r="M145" t="s">
        <v>405</v>
      </c>
      <c r="N145" t="s">
        <v>406</v>
      </c>
      <c r="O145" t="s">
        <v>27</v>
      </c>
      <c r="P145" s="1">
        <v>44802</v>
      </c>
      <c r="Q145">
        <f t="shared" si="10"/>
        <v>1</v>
      </c>
      <c r="R145">
        <f t="shared" si="11"/>
        <v>0</v>
      </c>
      <c r="S145">
        <f t="shared" si="12"/>
        <v>0</v>
      </c>
      <c r="T145" s="11">
        <f t="shared" si="13"/>
        <v>2021</v>
      </c>
      <c r="U145" s="11">
        <f t="shared" si="14"/>
        <v>5893</v>
      </c>
    </row>
    <row r="146" spans="1:21" x14ac:dyDescent="0.3">
      <c r="A146" t="s">
        <v>409</v>
      </c>
      <c r="B146">
        <v>2021</v>
      </c>
      <c r="C146" t="s">
        <v>56</v>
      </c>
      <c r="D146" t="s">
        <v>32</v>
      </c>
      <c r="E146">
        <v>29567</v>
      </c>
      <c r="F146" t="s">
        <v>143</v>
      </c>
      <c r="G146">
        <v>62500</v>
      </c>
      <c r="H146" t="s">
        <v>20</v>
      </c>
      <c r="J146" t="s">
        <v>324</v>
      </c>
      <c r="K146" t="s">
        <v>23</v>
      </c>
      <c r="N146" t="s">
        <v>127</v>
      </c>
      <c r="O146" t="s">
        <v>27</v>
      </c>
      <c r="P146" s="1">
        <v>44802</v>
      </c>
      <c r="Q146">
        <f t="shared" si="10"/>
        <v>0</v>
      </c>
      <c r="R146">
        <f t="shared" si="11"/>
        <v>0</v>
      </c>
      <c r="S146">
        <f t="shared" si="12"/>
        <v>0</v>
      </c>
      <c r="T146" s="11">
        <f t="shared" si="13"/>
        <v>2021</v>
      </c>
      <c r="U146" s="11">
        <f t="shared" si="14"/>
        <v>29567</v>
      </c>
    </row>
    <row r="147" spans="1:21" x14ac:dyDescent="0.3">
      <c r="A147" t="s">
        <v>410</v>
      </c>
      <c r="B147">
        <v>2021</v>
      </c>
      <c r="C147" t="s">
        <v>56</v>
      </c>
      <c r="D147" t="s">
        <v>32</v>
      </c>
      <c r="E147">
        <v>16669</v>
      </c>
      <c r="F147" t="s">
        <v>57</v>
      </c>
      <c r="G147">
        <v>67500</v>
      </c>
      <c r="H147" t="s">
        <v>77</v>
      </c>
      <c r="I147" t="s">
        <v>58</v>
      </c>
      <c r="J147" t="s">
        <v>411</v>
      </c>
      <c r="K147" t="s">
        <v>23</v>
      </c>
      <c r="L147" t="s">
        <v>367</v>
      </c>
      <c r="M147" t="s">
        <v>244</v>
      </c>
      <c r="N147" t="s">
        <v>245</v>
      </c>
      <c r="O147" t="s">
        <v>27</v>
      </c>
      <c r="P147" s="1">
        <v>44801</v>
      </c>
      <c r="Q147">
        <f t="shared" si="10"/>
        <v>0</v>
      </c>
      <c r="R147">
        <f t="shared" si="11"/>
        <v>0</v>
      </c>
      <c r="S147">
        <f t="shared" si="12"/>
        <v>0</v>
      </c>
      <c r="T147" s="11">
        <f t="shared" si="13"/>
        <v>2021</v>
      </c>
      <c r="U147" s="11">
        <f t="shared" si="14"/>
        <v>16669</v>
      </c>
    </row>
    <row r="148" spans="1:21" x14ac:dyDescent="0.3">
      <c r="A148" t="s">
        <v>412</v>
      </c>
      <c r="B148">
        <v>2020</v>
      </c>
      <c r="C148" t="s">
        <v>56</v>
      </c>
      <c r="D148" t="s">
        <v>30</v>
      </c>
      <c r="E148">
        <v>15887</v>
      </c>
      <c r="F148" t="s">
        <v>57</v>
      </c>
      <c r="G148">
        <v>60800</v>
      </c>
      <c r="H148" t="s">
        <v>20</v>
      </c>
      <c r="I148" t="s">
        <v>58</v>
      </c>
      <c r="J148" t="s">
        <v>413</v>
      </c>
      <c r="K148" t="s">
        <v>23</v>
      </c>
      <c r="L148" t="s">
        <v>371</v>
      </c>
      <c r="M148" t="s">
        <v>48</v>
      </c>
      <c r="N148" t="s">
        <v>49</v>
      </c>
      <c r="O148" t="s">
        <v>27</v>
      </c>
      <c r="P148" s="1">
        <v>44801</v>
      </c>
      <c r="Q148">
        <f t="shared" si="10"/>
        <v>0</v>
      </c>
      <c r="R148">
        <f t="shared" si="11"/>
        <v>0</v>
      </c>
      <c r="S148">
        <f t="shared" si="12"/>
        <v>0</v>
      </c>
      <c r="T148" s="11">
        <f t="shared" si="13"/>
        <v>2020</v>
      </c>
      <c r="U148" s="11">
        <f t="shared" si="14"/>
        <v>15887</v>
      </c>
    </row>
    <row r="149" spans="1:21" x14ac:dyDescent="0.3">
      <c r="A149" t="s">
        <v>414</v>
      </c>
      <c r="B149">
        <v>2021</v>
      </c>
      <c r="C149" t="s">
        <v>37</v>
      </c>
      <c r="D149" t="s">
        <v>53</v>
      </c>
      <c r="E149">
        <v>18597</v>
      </c>
      <c r="F149" t="s">
        <v>131</v>
      </c>
      <c r="G149">
        <v>116500</v>
      </c>
      <c r="H149" t="s">
        <v>45</v>
      </c>
      <c r="I149" t="s">
        <v>78</v>
      </c>
      <c r="J149" t="s">
        <v>415</v>
      </c>
      <c r="K149" t="s">
        <v>23</v>
      </c>
      <c r="L149" t="s">
        <v>416</v>
      </c>
      <c r="M149" t="s">
        <v>417</v>
      </c>
      <c r="N149" t="s">
        <v>245</v>
      </c>
      <c r="O149" t="s">
        <v>27</v>
      </c>
      <c r="P149" s="1">
        <v>44801</v>
      </c>
      <c r="Q149">
        <f t="shared" si="10"/>
        <v>1</v>
      </c>
      <c r="R149">
        <f t="shared" si="11"/>
        <v>0</v>
      </c>
      <c r="S149">
        <f t="shared" si="12"/>
        <v>0</v>
      </c>
      <c r="T149" s="11">
        <f t="shared" si="13"/>
        <v>2021</v>
      </c>
      <c r="U149" s="11">
        <f t="shared" si="14"/>
        <v>18597</v>
      </c>
    </row>
    <row r="150" spans="1:21" x14ac:dyDescent="0.3">
      <c r="A150" t="s">
        <v>418</v>
      </c>
      <c r="B150">
        <v>2020</v>
      </c>
      <c r="C150" t="s">
        <v>37</v>
      </c>
      <c r="D150" t="s">
        <v>51</v>
      </c>
      <c r="E150">
        <v>28018</v>
      </c>
      <c r="F150" t="s">
        <v>303</v>
      </c>
      <c r="G150">
        <v>92000</v>
      </c>
      <c r="H150" t="s">
        <v>53</v>
      </c>
      <c r="I150" t="s">
        <v>39</v>
      </c>
      <c r="J150" t="s">
        <v>81</v>
      </c>
      <c r="K150" t="s">
        <v>23</v>
      </c>
      <c r="L150" t="s">
        <v>95</v>
      </c>
      <c r="M150" t="s">
        <v>96</v>
      </c>
      <c r="N150" t="s">
        <v>89</v>
      </c>
      <c r="O150" t="s">
        <v>27</v>
      </c>
      <c r="P150" s="1">
        <v>44801</v>
      </c>
      <c r="Q150">
        <f t="shared" si="10"/>
        <v>1</v>
      </c>
      <c r="R150">
        <f t="shared" si="11"/>
        <v>0</v>
      </c>
      <c r="S150">
        <f t="shared" si="12"/>
        <v>0</v>
      </c>
      <c r="T150" s="11">
        <f t="shared" si="13"/>
        <v>2020</v>
      </c>
      <c r="U150" s="11">
        <f t="shared" si="14"/>
        <v>28018</v>
      </c>
    </row>
    <row r="151" spans="1:21" x14ac:dyDescent="0.3">
      <c r="A151" t="s">
        <v>419</v>
      </c>
      <c r="B151">
        <v>2021</v>
      </c>
      <c r="C151" t="s">
        <v>37</v>
      </c>
      <c r="D151" t="s">
        <v>30</v>
      </c>
      <c r="E151">
        <v>18581</v>
      </c>
      <c r="F151" t="s">
        <v>131</v>
      </c>
      <c r="G151">
        <v>113200</v>
      </c>
      <c r="H151" t="s">
        <v>45</v>
      </c>
      <c r="I151" t="s">
        <v>39</v>
      </c>
      <c r="J151" t="s">
        <v>420</v>
      </c>
      <c r="K151" t="s">
        <v>23</v>
      </c>
      <c r="L151" t="s">
        <v>243</v>
      </c>
      <c r="M151" t="s">
        <v>244</v>
      </c>
      <c r="N151" t="s">
        <v>245</v>
      </c>
      <c r="O151" t="s">
        <v>27</v>
      </c>
      <c r="P151" s="1">
        <v>44801</v>
      </c>
      <c r="Q151">
        <f t="shared" si="10"/>
        <v>1</v>
      </c>
      <c r="R151">
        <f t="shared" si="11"/>
        <v>0</v>
      </c>
      <c r="S151">
        <f t="shared" si="12"/>
        <v>0</v>
      </c>
      <c r="T151" s="11">
        <f t="shared" si="13"/>
        <v>2021</v>
      </c>
      <c r="U151" s="11">
        <f t="shared" si="14"/>
        <v>18581</v>
      </c>
    </row>
    <row r="152" spans="1:21" x14ac:dyDescent="0.3">
      <c r="A152" t="s">
        <v>421</v>
      </c>
      <c r="B152">
        <v>2020</v>
      </c>
      <c r="C152" t="s">
        <v>17</v>
      </c>
      <c r="D152" t="s">
        <v>53</v>
      </c>
      <c r="E152">
        <v>24744</v>
      </c>
      <c r="F152" t="s">
        <v>207</v>
      </c>
      <c r="G152">
        <v>66900</v>
      </c>
      <c r="H152" t="s">
        <v>77</v>
      </c>
      <c r="I152" t="s">
        <v>21</v>
      </c>
      <c r="J152" t="s">
        <v>422</v>
      </c>
      <c r="K152" t="s">
        <v>23</v>
      </c>
      <c r="L152" t="s">
        <v>112</v>
      </c>
      <c r="M152" t="s">
        <v>113</v>
      </c>
      <c r="N152" t="s">
        <v>114</v>
      </c>
      <c r="O152" t="s">
        <v>27</v>
      </c>
      <c r="P152" s="1">
        <v>44801</v>
      </c>
      <c r="Q152">
        <f t="shared" si="10"/>
        <v>0</v>
      </c>
      <c r="R152">
        <f t="shared" si="11"/>
        <v>0</v>
      </c>
      <c r="S152">
        <f t="shared" si="12"/>
        <v>1</v>
      </c>
      <c r="T152" s="11">
        <f t="shared" si="13"/>
        <v>2020</v>
      </c>
      <c r="U152" s="11">
        <f t="shared" si="14"/>
        <v>24744</v>
      </c>
    </row>
    <row r="153" spans="1:21" x14ac:dyDescent="0.3">
      <c r="A153" t="s">
        <v>423</v>
      </c>
      <c r="B153">
        <v>2020</v>
      </c>
      <c r="C153" t="s">
        <v>29</v>
      </c>
      <c r="D153" t="s">
        <v>51</v>
      </c>
      <c r="E153">
        <v>15630</v>
      </c>
      <c r="F153" t="s">
        <v>31</v>
      </c>
      <c r="G153">
        <v>103000</v>
      </c>
      <c r="H153" t="s">
        <v>45</v>
      </c>
      <c r="I153" t="s">
        <v>110</v>
      </c>
      <c r="J153" t="s">
        <v>424</v>
      </c>
      <c r="K153" t="s">
        <v>23</v>
      </c>
      <c r="L153" t="s">
        <v>425</v>
      </c>
      <c r="M153" t="s">
        <v>426</v>
      </c>
      <c r="N153" t="s">
        <v>427</v>
      </c>
      <c r="O153" t="s">
        <v>27</v>
      </c>
      <c r="P153" s="1">
        <v>44801</v>
      </c>
      <c r="Q153">
        <f t="shared" si="10"/>
        <v>0</v>
      </c>
      <c r="R153">
        <f t="shared" si="11"/>
        <v>1</v>
      </c>
      <c r="S153">
        <f t="shared" si="12"/>
        <v>0</v>
      </c>
      <c r="T153" s="11">
        <f t="shared" si="13"/>
        <v>2020</v>
      </c>
      <c r="U153" s="11">
        <f t="shared" si="14"/>
        <v>15630</v>
      </c>
    </row>
    <row r="154" spans="1:21" x14ac:dyDescent="0.3">
      <c r="A154" t="s">
        <v>428</v>
      </c>
      <c r="B154">
        <v>2021</v>
      </c>
      <c r="C154" t="s">
        <v>17</v>
      </c>
      <c r="D154" t="s">
        <v>32</v>
      </c>
      <c r="E154">
        <v>16936</v>
      </c>
      <c r="F154" t="s">
        <v>207</v>
      </c>
      <c r="G154">
        <v>69600</v>
      </c>
      <c r="H154" t="s">
        <v>20</v>
      </c>
      <c r="I154" t="s">
        <v>21</v>
      </c>
      <c r="J154" t="s">
        <v>429</v>
      </c>
      <c r="K154" t="s">
        <v>23</v>
      </c>
      <c r="N154" t="s">
        <v>127</v>
      </c>
      <c r="O154" t="s">
        <v>27</v>
      </c>
      <c r="P154" s="1">
        <v>44801</v>
      </c>
      <c r="Q154">
        <f t="shared" si="10"/>
        <v>0</v>
      </c>
      <c r="R154">
        <f t="shared" si="11"/>
        <v>0</v>
      </c>
      <c r="S154">
        <f t="shared" si="12"/>
        <v>1</v>
      </c>
      <c r="T154" s="11">
        <f t="shared" si="13"/>
        <v>2021</v>
      </c>
      <c r="U154" s="11">
        <f t="shared" si="14"/>
        <v>16936</v>
      </c>
    </row>
    <row r="155" spans="1:21" x14ac:dyDescent="0.3">
      <c r="A155" t="s">
        <v>430</v>
      </c>
      <c r="B155">
        <v>2019</v>
      </c>
      <c r="C155" t="s">
        <v>29</v>
      </c>
      <c r="D155" t="s">
        <v>53</v>
      </c>
      <c r="E155">
        <v>19530</v>
      </c>
      <c r="F155" t="s">
        <v>177</v>
      </c>
      <c r="G155">
        <v>95000</v>
      </c>
      <c r="H155" t="s">
        <v>53</v>
      </c>
      <c r="I155" t="s">
        <v>21</v>
      </c>
      <c r="J155" t="s">
        <v>431</v>
      </c>
      <c r="K155" t="s">
        <v>23</v>
      </c>
      <c r="L155" t="s">
        <v>47</v>
      </c>
      <c r="M155" t="s">
        <v>48</v>
      </c>
      <c r="N155" t="s">
        <v>49</v>
      </c>
      <c r="O155" t="s">
        <v>27</v>
      </c>
      <c r="P155" s="1">
        <v>44801</v>
      </c>
      <c r="Q155">
        <f t="shared" si="10"/>
        <v>0</v>
      </c>
      <c r="R155">
        <f t="shared" si="11"/>
        <v>1</v>
      </c>
      <c r="S155">
        <f t="shared" si="12"/>
        <v>0</v>
      </c>
      <c r="T155" s="11">
        <f t="shared" si="13"/>
        <v>2019</v>
      </c>
      <c r="U155" s="11">
        <f t="shared" si="14"/>
        <v>19530</v>
      </c>
    </row>
    <row r="156" spans="1:21" x14ac:dyDescent="0.3">
      <c r="A156" t="s">
        <v>432</v>
      </c>
      <c r="B156">
        <v>2021</v>
      </c>
      <c r="C156" t="s">
        <v>17</v>
      </c>
      <c r="D156" t="s">
        <v>32</v>
      </c>
      <c r="E156">
        <v>29733</v>
      </c>
      <c r="F156" t="s">
        <v>207</v>
      </c>
      <c r="G156">
        <v>68400</v>
      </c>
      <c r="H156" t="s">
        <v>20</v>
      </c>
      <c r="I156" t="s">
        <v>78</v>
      </c>
      <c r="J156" t="s">
        <v>200</v>
      </c>
      <c r="K156" t="s">
        <v>23</v>
      </c>
      <c r="L156" t="s">
        <v>179</v>
      </c>
      <c r="M156" t="s">
        <v>180</v>
      </c>
      <c r="N156" t="s">
        <v>173</v>
      </c>
      <c r="O156" t="s">
        <v>27</v>
      </c>
      <c r="P156" s="1">
        <v>44801</v>
      </c>
      <c r="Q156">
        <f t="shared" si="10"/>
        <v>0</v>
      </c>
      <c r="R156">
        <f t="shared" si="11"/>
        <v>0</v>
      </c>
      <c r="S156">
        <f t="shared" si="12"/>
        <v>1</v>
      </c>
      <c r="T156" s="11">
        <f t="shared" si="13"/>
        <v>2021</v>
      </c>
      <c r="U156" s="11">
        <f t="shared" si="14"/>
        <v>29733</v>
      </c>
    </row>
    <row r="157" spans="1:21" x14ac:dyDescent="0.3">
      <c r="A157" t="s">
        <v>433</v>
      </c>
      <c r="B157">
        <v>2018</v>
      </c>
      <c r="C157" t="s">
        <v>29</v>
      </c>
      <c r="D157" t="s">
        <v>51</v>
      </c>
      <c r="E157">
        <v>45485</v>
      </c>
      <c r="F157" t="s">
        <v>104</v>
      </c>
      <c r="G157">
        <v>76800</v>
      </c>
      <c r="H157" t="s">
        <v>32</v>
      </c>
      <c r="I157" t="s">
        <v>21</v>
      </c>
      <c r="J157" t="s">
        <v>434</v>
      </c>
      <c r="K157" t="s">
        <v>23</v>
      </c>
      <c r="L157" t="s">
        <v>34</v>
      </c>
      <c r="N157" t="s">
        <v>35</v>
      </c>
      <c r="O157" t="s">
        <v>27</v>
      </c>
      <c r="P157" s="1">
        <v>44801</v>
      </c>
      <c r="Q157">
        <f t="shared" si="10"/>
        <v>0</v>
      </c>
      <c r="R157">
        <f t="shared" si="11"/>
        <v>1</v>
      </c>
      <c r="S157">
        <f t="shared" si="12"/>
        <v>0</v>
      </c>
      <c r="T157" s="11">
        <f t="shared" si="13"/>
        <v>2018</v>
      </c>
      <c r="U157" s="11">
        <f t="shared" si="14"/>
        <v>45485</v>
      </c>
    </row>
    <row r="158" spans="1:21" x14ac:dyDescent="0.3">
      <c r="A158" t="s">
        <v>435</v>
      </c>
      <c r="B158">
        <v>2021</v>
      </c>
      <c r="C158" t="s">
        <v>56</v>
      </c>
      <c r="D158" t="s">
        <v>53</v>
      </c>
      <c r="E158">
        <v>17499</v>
      </c>
      <c r="F158" t="s">
        <v>57</v>
      </c>
      <c r="G158">
        <v>70700</v>
      </c>
      <c r="H158" t="s">
        <v>20</v>
      </c>
      <c r="I158" t="s">
        <v>58</v>
      </c>
      <c r="J158" t="s">
        <v>59</v>
      </c>
      <c r="K158" t="s">
        <v>23</v>
      </c>
      <c r="L158" t="s">
        <v>436</v>
      </c>
      <c r="M158" t="s">
        <v>172</v>
      </c>
      <c r="N158" t="s">
        <v>173</v>
      </c>
      <c r="O158" t="s">
        <v>27</v>
      </c>
      <c r="P158" s="1">
        <v>44801</v>
      </c>
      <c r="Q158">
        <f t="shared" si="10"/>
        <v>0</v>
      </c>
      <c r="R158">
        <f t="shared" si="11"/>
        <v>0</v>
      </c>
      <c r="S158">
        <f t="shared" si="12"/>
        <v>0</v>
      </c>
      <c r="T158" s="11">
        <f t="shared" si="13"/>
        <v>2021</v>
      </c>
      <c r="U158" s="11">
        <f t="shared" si="14"/>
        <v>17499</v>
      </c>
    </row>
    <row r="159" spans="1:21" x14ac:dyDescent="0.3">
      <c r="A159" t="s">
        <v>437</v>
      </c>
      <c r="B159">
        <v>2018</v>
      </c>
      <c r="C159" t="s">
        <v>29</v>
      </c>
      <c r="D159" t="s">
        <v>32</v>
      </c>
      <c r="E159">
        <v>48007</v>
      </c>
      <c r="F159" t="s">
        <v>104</v>
      </c>
      <c r="G159">
        <v>74700</v>
      </c>
      <c r="H159" t="s">
        <v>32</v>
      </c>
      <c r="I159" t="s">
        <v>21</v>
      </c>
      <c r="J159" t="s">
        <v>438</v>
      </c>
      <c r="K159" t="s">
        <v>23</v>
      </c>
      <c r="L159" t="s">
        <v>34</v>
      </c>
      <c r="N159" t="s">
        <v>35</v>
      </c>
      <c r="O159" t="s">
        <v>27</v>
      </c>
      <c r="P159" s="1">
        <v>44801</v>
      </c>
      <c r="Q159">
        <f t="shared" si="10"/>
        <v>0</v>
      </c>
      <c r="R159">
        <f t="shared" si="11"/>
        <v>1</v>
      </c>
      <c r="S159">
        <f t="shared" si="12"/>
        <v>0</v>
      </c>
      <c r="T159" s="11">
        <f t="shared" si="13"/>
        <v>2018</v>
      </c>
      <c r="U159" s="11">
        <f t="shared" si="14"/>
        <v>48007</v>
      </c>
    </row>
    <row r="160" spans="1:21" x14ac:dyDescent="0.3">
      <c r="A160" t="s">
        <v>439</v>
      </c>
      <c r="B160">
        <v>2019</v>
      </c>
      <c r="C160" t="s">
        <v>37</v>
      </c>
      <c r="D160" t="s">
        <v>32</v>
      </c>
      <c r="E160">
        <v>26298</v>
      </c>
      <c r="F160" t="s">
        <v>52</v>
      </c>
      <c r="G160">
        <v>88300</v>
      </c>
      <c r="H160" t="s">
        <v>53</v>
      </c>
      <c r="I160" t="s">
        <v>78</v>
      </c>
      <c r="J160" t="s">
        <v>440</v>
      </c>
      <c r="K160" t="s">
        <v>23</v>
      </c>
      <c r="L160" t="s">
        <v>171</v>
      </c>
      <c r="M160" t="s">
        <v>172</v>
      </c>
      <c r="N160" t="s">
        <v>173</v>
      </c>
      <c r="O160" t="s">
        <v>27</v>
      </c>
      <c r="P160" s="1">
        <v>44801</v>
      </c>
      <c r="Q160">
        <f t="shared" si="10"/>
        <v>1</v>
      </c>
      <c r="R160">
        <f t="shared" si="11"/>
        <v>0</v>
      </c>
      <c r="S160">
        <f t="shared" si="12"/>
        <v>0</v>
      </c>
      <c r="T160" s="11">
        <f t="shared" si="13"/>
        <v>2019</v>
      </c>
      <c r="U160" s="11">
        <f t="shared" si="14"/>
        <v>26298</v>
      </c>
    </row>
    <row r="161" spans="1:21" x14ac:dyDescent="0.3">
      <c r="A161" t="s">
        <v>441</v>
      </c>
      <c r="B161">
        <v>2020</v>
      </c>
      <c r="C161" t="s">
        <v>56</v>
      </c>
      <c r="D161" t="s">
        <v>53</v>
      </c>
      <c r="E161">
        <v>31154</v>
      </c>
      <c r="F161" t="s">
        <v>57</v>
      </c>
      <c r="G161">
        <v>62600</v>
      </c>
      <c r="H161" t="s">
        <v>20</v>
      </c>
      <c r="I161" t="s">
        <v>58</v>
      </c>
      <c r="J161" t="s">
        <v>59</v>
      </c>
      <c r="K161" t="s">
        <v>23</v>
      </c>
      <c r="L161" t="s">
        <v>67</v>
      </c>
      <c r="M161" t="s">
        <v>68</v>
      </c>
      <c r="N161" t="s">
        <v>69</v>
      </c>
      <c r="O161" t="s">
        <v>27</v>
      </c>
      <c r="P161" s="1">
        <v>44801</v>
      </c>
      <c r="Q161">
        <f t="shared" si="10"/>
        <v>0</v>
      </c>
      <c r="R161">
        <f t="shared" si="11"/>
        <v>0</v>
      </c>
      <c r="S161">
        <f t="shared" si="12"/>
        <v>0</v>
      </c>
      <c r="T161" s="11">
        <f t="shared" si="13"/>
        <v>2020</v>
      </c>
      <c r="U161" s="11">
        <f t="shared" si="14"/>
        <v>31154</v>
      </c>
    </row>
    <row r="162" spans="1:21" x14ac:dyDescent="0.3">
      <c r="A162" t="s">
        <v>442</v>
      </c>
      <c r="B162">
        <v>2019</v>
      </c>
      <c r="C162" t="s">
        <v>56</v>
      </c>
      <c r="D162" t="s">
        <v>32</v>
      </c>
      <c r="E162">
        <v>36546</v>
      </c>
      <c r="F162" t="s">
        <v>65</v>
      </c>
      <c r="G162">
        <v>44300</v>
      </c>
      <c r="H162" t="s">
        <v>20</v>
      </c>
      <c r="I162" t="s">
        <v>78</v>
      </c>
      <c r="J162" t="s">
        <v>317</v>
      </c>
      <c r="K162" t="s">
        <v>23</v>
      </c>
      <c r="L162" t="s">
        <v>137</v>
      </c>
      <c r="M162" t="s">
        <v>138</v>
      </c>
      <c r="N162" t="s">
        <v>139</v>
      </c>
      <c r="O162" t="s">
        <v>27</v>
      </c>
      <c r="P162" s="1">
        <v>44801</v>
      </c>
      <c r="Q162">
        <f t="shared" si="10"/>
        <v>0</v>
      </c>
      <c r="R162">
        <f t="shared" si="11"/>
        <v>0</v>
      </c>
      <c r="S162">
        <f t="shared" si="12"/>
        <v>0</v>
      </c>
      <c r="T162" s="11">
        <f t="shared" si="13"/>
        <v>2019</v>
      </c>
      <c r="U162" s="11">
        <f t="shared" si="14"/>
        <v>36546</v>
      </c>
    </row>
    <row r="163" spans="1:21" x14ac:dyDescent="0.3">
      <c r="A163" t="s">
        <v>443</v>
      </c>
      <c r="B163">
        <v>2019</v>
      </c>
      <c r="C163" t="s">
        <v>56</v>
      </c>
      <c r="D163" t="s">
        <v>30</v>
      </c>
      <c r="E163">
        <v>31336</v>
      </c>
      <c r="F163" t="s">
        <v>71</v>
      </c>
      <c r="G163">
        <v>58500</v>
      </c>
      <c r="H163" t="s">
        <v>77</v>
      </c>
      <c r="I163" t="s">
        <v>21</v>
      </c>
      <c r="J163" t="s">
        <v>444</v>
      </c>
      <c r="K163" t="s">
        <v>23</v>
      </c>
      <c r="L163" t="s">
        <v>345</v>
      </c>
      <c r="M163" t="s">
        <v>48</v>
      </c>
      <c r="N163" t="s">
        <v>69</v>
      </c>
      <c r="O163" t="s">
        <v>27</v>
      </c>
      <c r="P163" s="1">
        <v>44801</v>
      </c>
      <c r="Q163">
        <f t="shared" si="10"/>
        <v>0</v>
      </c>
      <c r="R163">
        <f t="shared" si="11"/>
        <v>0</v>
      </c>
      <c r="S163">
        <f t="shared" si="12"/>
        <v>0</v>
      </c>
      <c r="T163" s="11">
        <f t="shared" si="13"/>
        <v>2019</v>
      </c>
      <c r="U163" s="11">
        <f t="shared" si="14"/>
        <v>31336</v>
      </c>
    </row>
    <row r="164" spans="1:21" x14ac:dyDescent="0.3">
      <c r="A164" t="s">
        <v>445</v>
      </c>
      <c r="B164">
        <v>2021</v>
      </c>
      <c r="C164" t="s">
        <v>17</v>
      </c>
      <c r="D164" t="s">
        <v>18</v>
      </c>
      <c r="E164">
        <v>10937</v>
      </c>
      <c r="F164" t="s">
        <v>207</v>
      </c>
      <c r="G164">
        <v>74700</v>
      </c>
      <c r="H164" t="s">
        <v>20</v>
      </c>
      <c r="I164" t="s">
        <v>21</v>
      </c>
      <c r="J164" t="s">
        <v>326</v>
      </c>
      <c r="K164" t="s">
        <v>23</v>
      </c>
      <c r="L164" t="s">
        <v>330</v>
      </c>
      <c r="M164" t="s">
        <v>42</v>
      </c>
      <c r="N164" t="s">
        <v>26</v>
      </c>
      <c r="O164" t="s">
        <v>27</v>
      </c>
      <c r="P164" s="1">
        <v>44801</v>
      </c>
      <c r="Q164">
        <f t="shared" si="10"/>
        <v>0</v>
      </c>
      <c r="R164">
        <f t="shared" si="11"/>
        <v>0</v>
      </c>
      <c r="S164">
        <f t="shared" si="12"/>
        <v>1</v>
      </c>
      <c r="T164" s="11">
        <f t="shared" si="13"/>
        <v>2021</v>
      </c>
      <c r="U164" s="11">
        <f t="shared" si="14"/>
        <v>10937</v>
      </c>
    </row>
    <row r="165" spans="1:21" x14ac:dyDescent="0.3">
      <c r="A165" t="s">
        <v>446</v>
      </c>
      <c r="B165">
        <v>2021</v>
      </c>
      <c r="C165" t="s">
        <v>17</v>
      </c>
      <c r="D165" t="s">
        <v>30</v>
      </c>
      <c r="E165">
        <v>29473</v>
      </c>
      <c r="F165" t="s">
        <v>207</v>
      </c>
      <c r="G165">
        <v>66100</v>
      </c>
      <c r="H165" t="s">
        <v>20</v>
      </c>
      <c r="I165" t="s">
        <v>78</v>
      </c>
      <c r="J165" t="s">
        <v>242</v>
      </c>
      <c r="K165" t="s">
        <v>23</v>
      </c>
      <c r="L165" t="s">
        <v>447</v>
      </c>
      <c r="N165" t="s">
        <v>203</v>
      </c>
      <c r="O165" t="s">
        <v>27</v>
      </c>
      <c r="P165" s="1">
        <v>44801</v>
      </c>
      <c r="Q165">
        <f t="shared" si="10"/>
        <v>0</v>
      </c>
      <c r="R165">
        <f t="shared" si="11"/>
        <v>0</v>
      </c>
      <c r="S165">
        <f t="shared" si="12"/>
        <v>1</v>
      </c>
      <c r="T165" s="11">
        <f t="shared" si="13"/>
        <v>2021</v>
      </c>
      <c r="U165" s="11">
        <f t="shared" si="14"/>
        <v>29473</v>
      </c>
    </row>
    <row r="166" spans="1:21" x14ac:dyDescent="0.3">
      <c r="A166" t="s">
        <v>448</v>
      </c>
      <c r="B166">
        <v>2020</v>
      </c>
      <c r="C166" t="s">
        <v>56</v>
      </c>
      <c r="D166" t="s">
        <v>32</v>
      </c>
      <c r="E166">
        <v>21850</v>
      </c>
      <c r="F166" t="s">
        <v>71</v>
      </c>
      <c r="G166">
        <v>59800</v>
      </c>
      <c r="H166" t="s">
        <v>20</v>
      </c>
      <c r="I166" t="s">
        <v>21</v>
      </c>
      <c r="J166" t="s">
        <v>449</v>
      </c>
      <c r="K166" t="s">
        <v>23</v>
      </c>
      <c r="L166" t="s">
        <v>330</v>
      </c>
      <c r="M166" t="s">
        <v>42</v>
      </c>
      <c r="N166" t="s">
        <v>26</v>
      </c>
      <c r="O166" t="s">
        <v>27</v>
      </c>
      <c r="P166" s="1">
        <v>44801</v>
      </c>
      <c r="Q166">
        <f t="shared" si="10"/>
        <v>0</v>
      </c>
      <c r="R166">
        <f t="shared" si="11"/>
        <v>0</v>
      </c>
      <c r="S166">
        <f t="shared" si="12"/>
        <v>0</v>
      </c>
      <c r="T166" s="11">
        <f t="shared" si="13"/>
        <v>2020</v>
      </c>
      <c r="U166" s="11">
        <f t="shared" si="14"/>
        <v>21850</v>
      </c>
    </row>
    <row r="167" spans="1:21" x14ac:dyDescent="0.3">
      <c r="A167" t="s">
        <v>450</v>
      </c>
      <c r="B167">
        <v>2019</v>
      </c>
      <c r="C167" t="s">
        <v>56</v>
      </c>
      <c r="D167" t="s">
        <v>53</v>
      </c>
      <c r="E167">
        <v>35954</v>
      </c>
      <c r="F167" t="s">
        <v>65</v>
      </c>
      <c r="G167">
        <v>45100</v>
      </c>
      <c r="H167" t="s">
        <v>20</v>
      </c>
      <c r="I167" t="s">
        <v>58</v>
      </c>
      <c r="J167" t="s">
        <v>66</v>
      </c>
      <c r="K167" t="s">
        <v>23</v>
      </c>
      <c r="L167" t="s">
        <v>183</v>
      </c>
      <c r="M167" t="s">
        <v>25</v>
      </c>
      <c r="N167" t="s">
        <v>26</v>
      </c>
      <c r="O167" t="s">
        <v>27</v>
      </c>
      <c r="P167" s="1">
        <v>44801</v>
      </c>
      <c r="Q167">
        <f t="shared" si="10"/>
        <v>0</v>
      </c>
      <c r="R167">
        <f t="shared" si="11"/>
        <v>0</v>
      </c>
      <c r="S167">
        <f t="shared" si="12"/>
        <v>0</v>
      </c>
      <c r="T167" s="11">
        <f t="shared" si="13"/>
        <v>2019</v>
      </c>
      <c r="U167" s="11">
        <f t="shared" si="14"/>
        <v>35954</v>
      </c>
    </row>
    <row r="168" spans="1:21" x14ac:dyDescent="0.3">
      <c r="A168" t="s">
        <v>451</v>
      </c>
      <c r="B168">
        <v>2019</v>
      </c>
      <c r="C168" t="s">
        <v>37</v>
      </c>
      <c r="D168" t="s">
        <v>51</v>
      </c>
      <c r="E168">
        <v>45106</v>
      </c>
      <c r="F168" t="s">
        <v>38</v>
      </c>
      <c r="G168">
        <v>74700</v>
      </c>
      <c r="H168" t="s">
        <v>45</v>
      </c>
      <c r="I168" t="s">
        <v>78</v>
      </c>
      <c r="J168" t="s">
        <v>452</v>
      </c>
      <c r="K168" t="s">
        <v>23</v>
      </c>
      <c r="L168" t="s">
        <v>175</v>
      </c>
      <c r="M168" t="s">
        <v>42</v>
      </c>
      <c r="N168" t="s">
        <v>26</v>
      </c>
      <c r="O168" t="s">
        <v>27</v>
      </c>
      <c r="P168" s="1">
        <v>44801</v>
      </c>
      <c r="Q168">
        <f t="shared" si="10"/>
        <v>1</v>
      </c>
      <c r="R168">
        <f t="shared" si="11"/>
        <v>0</v>
      </c>
      <c r="S168">
        <f t="shared" si="12"/>
        <v>0</v>
      </c>
      <c r="T168" s="11">
        <f t="shared" si="13"/>
        <v>2019</v>
      </c>
      <c r="U168" s="11">
        <f t="shared" si="14"/>
        <v>45106</v>
      </c>
    </row>
    <row r="169" spans="1:21" x14ac:dyDescent="0.3">
      <c r="A169" t="s">
        <v>453</v>
      </c>
      <c r="B169">
        <v>2020</v>
      </c>
      <c r="C169" t="s">
        <v>56</v>
      </c>
      <c r="D169" t="s">
        <v>93</v>
      </c>
      <c r="E169">
        <v>33507</v>
      </c>
      <c r="F169" t="s">
        <v>65</v>
      </c>
      <c r="G169">
        <v>48600</v>
      </c>
      <c r="H169" t="s">
        <v>20</v>
      </c>
      <c r="I169" t="s">
        <v>58</v>
      </c>
      <c r="J169" t="s">
        <v>294</v>
      </c>
      <c r="K169" t="s">
        <v>23</v>
      </c>
      <c r="L169" t="s">
        <v>183</v>
      </c>
      <c r="M169" t="s">
        <v>25</v>
      </c>
      <c r="N169" t="s">
        <v>26</v>
      </c>
      <c r="O169" t="s">
        <v>27</v>
      </c>
      <c r="P169" s="1">
        <v>44801</v>
      </c>
      <c r="Q169">
        <f t="shared" si="10"/>
        <v>0</v>
      </c>
      <c r="R169">
        <f t="shared" si="11"/>
        <v>0</v>
      </c>
      <c r="S169">
        <f t="shared" si="12"/>
        <v>0</v>
      </c>
      <c r="T169" s="11">
        <f t="shared" si="13"/>
        <v>2020</v>
      </c>
      <c r="U169" s="11">
        <f t="shared" si="14"/>
        <v>33507</v>
      </c>
    </row>
    <row r="170" spans="1:21" x14ac:dyDescent="0.3">
      <c r="A170" t="s">
        <v>454</v>
      </c>
      <c r="B170">
        <v>2018</v>
      </c>
      <c r="C170" t="s">
        <v>37</v>
      </c>
      <c r="D170" t="s">
        <v>53</v>
      </c>
      <c r="E170">
        <v>45403</v>
      </c>
      <c r="F170" t="s">
        <v>104</v>
      </c>
      <c r="G170">
        <v>66400</v>
      </c>
      <c r="H170" t="s">
        <v>53</v>
      </c>
      <c r="I170" t="s">
        <v>78</v>
      </c>
      <c r="J170" t="s">
        <v>455</v>
      </c>
      <c r="K170" t="s">
        <v>23</v>
      </c>
      <c r="L170" t="s">
        <v>456</v>
      </c>
      <c r="M170" t="s">
        <v>164</v>
      </c>
      <c r="N170" t="s">
        <v>26</v>
      </c>
      <c r="O170" t="s">
        <v>27</v>
      </c>
      <c r="P170" s="1">
        <v>44801</v>
      </c>
      <c r="Q170">
        <f t="shared" si="10"/>
        <v>1</v>
      </c>
      <c r="R170">
        <f t="shared" si="11"/>
        <v>0</v>
      </c>
      <c r="S170">
        <f t="shared" si="12"/>
        <v>0</v>
      </c>
      <c r="T170" s="11">
        <f t="shared" si="13"/>
        <v>2018</v>
      </c>
      <c r="U170" s="11">
        <f t="shared" si="14"/>
        <v>45403</v>
      </c>
    </row>
    <row r="171" spans="1:21" x14ac:dyDescent="0.3">
      <c r="A171" t="s">
        <v>457</v>
      </c>
      <c r="B171">
        <v>2019</v>
      </c>
      <c r="C171" t="s">
        <v>56</v>
      </c>
      <c r="D171" t="s">
        <v>53</v>
      </c>
      <c r="E171">
        <v>17052</v>
      </c>
      <c r="F171" t="s">
        <v>65</v>
      </c>
      <c r="G171">
        <v>48900</v>
      </c>
      <c r="H171" t="s">
        <v>20</v>
      </c>
      <c r="I171" t="s">
        <v>58</v>
      </c>
      <c r="J171" t="s">
        <v>66</v>
      </c>
      <c r="K171" t="s">
        <v>23</v>
      </c>
      <c r="L171" t="s">
        <v>183</v>
      </c>
      <c r="M171" t="s">
        <v>25</v>
      </c>
      <c r="N171" t="s">
        <v>26</v>
      </c>
      <c r="O171" t="s">
        <v>27</v>
      </c>
      <c r="P171" s="1">
        <v>44801</v>
      </c>
      <c r="Q171">
        <f t="shared" si="10"/>
        <v>0</v>
      </c>
      <c r="R171">
        <f t="shared" si="11"/>
        <v>0</v>
      </c>
      <c r="S171">
        <f t="shared" si="12"/>
        <v>0</v>
      </c>
      <c r="T171" s="11">
        <f t="shared" si="13"/>
        <v>2019</v>
      </c>
      <c r="U171" s="11">
        <f t="shared" si="14"/>
        <v>17052</v>
      </c>
    </row>
    <row r="172" spans="1:21" x14ac:dyDescent="0.3">
      <c r="A172" t="s">
        <v>458</v>
      </c>
      <c r="B172">
        <v>2022</v>
      </c>
      <c r="C172" t="s">
        <v>17</v>
      </c>
      <c r="D172" t="s">
        <v>32</v>
      </c>
      <c r="E172">
        <v>3821</v>
      </c>
      <c r="F172" t="s">
        <v>19</v>
      </c>
      <c r="G172">
        <v>78200</v>
      </c>
      <c r="H172" t="s">
        <v>20</v>
      </c>
      <c r="I172" t="s">
        <v>78</v>
      </c>
      <c r="J172" t="s">
        <v>200</v>
      </c>
      <c r="K172" t="s">
        <v>23</v>
      </c>
      <c r="L172" t="s">
        <v>459</v>
      </c>
      <c r="M172" t="s">
        <v>25</v>
      </c>
      <c r="N172" t="s">
        <v>26</v>
      </c>
      <c r="O172" t="s">
        <v>27</v>
      </c>
      <c r="P172" s="1">
        <v>44801</v>
      </c>
      <c r="Q172">
        <f t="shared" si="10"/>
        <v>0</v>
      </c>
      <c r="R172">
        <f t="shared" si="11"/>
        <v>0</v>
      </c>
      <c r="S172">
        <f t="shared" si="12"/>
        <v>1</v>
      </c>
      <c r="T172" s="11">
        <f t="shared" si="13"/>
        <v>2022</v>
      </c>
      <c r="U172" s="11">
        <f t="shared" si="14"/>
        <v>3821</v>
      </c>
    </row>
    <row r="173" spans="1:21" x14ac:dyDescent="0.3">
      <c r="A173" t="s">
        <v>460</v>
      </c>
      <c r="B173">
        <v>2019</v>
      </c>
      <c r="C173" t="s">
        <v>56</v>
      </c>
      <c r="D173" t="s">
        <v>76</v>
      </c>
      <c r="E173">
        <v>19061</v>
      </c>
      <c r="F173" t="s">
        <v>57</v>
      </c>
      <c r="G173">
        <v>62000</v>
      </c>
      <c r="H173" t="s">
        <v>20</v>
      </c>
      <c r="I173" t="s">
        <v>78</v>
      </c>
      <c r="J173" t="s">
        <v>347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  <c r="P173" s="1">
        <v>44801</v>
      </c>
      <c r="Q173">
        <f t="shared" si="10"/>
        <v>0</v>
      </c>
      <c r="R173">
        <f t="shared" si="11"/>
        <v>0</v>
      </c>
      <c r="S173">
        <f t="shared" si="12"/>
        <v>0</v>
      </c>
      <c r="T173" s="11">
        <f t="shared" si="13"/>
        <v>2019</v>
      </c>
      <c r="U173" s="11">
        <f t="shared" si="14"/>
        <v>19061</v>
      </c>
    </row>
    <row r="174" spans="1:21" x14ac:dyDescent="0.3">
      <c r="A174" t="s">
        <v>461</v>
      </c>
      <c r="B174">
        <v>2017</v>
      </c>
      <c r="C174" t="s">
        <v>29</v>
      </c>
      <c r="D174" t="s">
        <v>32</v>
      </c>
      <c r="E174">
        <v>30498</v>
      </c>
      <c r="F174" t="s">
        <v>52</v>
      </c>
      <c r="G174">
        <v>79300</v>
      </c>
      <c r="H174" t="s">
        <v>53</v>
      </c>
      <c r="I174" t="s">
        <v>21</v>
      </c>
      <c r="J174" t="s">
        <v>462</v>
      </c>
      <c r="K174" t="s">
        <v>23</v>
      </c>
      <c r="L174" t="s">
        <v>183</v>
      </c>
      <c r="M174" t="s">
        <v>25</v>
      </c>
      <c r="N174" t="s">
        <v>26</v>
      </c>
      <c r="O174" t="s">
        <v>27</v>
      </c>
      <c r="P174" s="1">
        <v>44801</v>
      </c>
      <c r="Q174">
        <f t="shared" si="10"/>
        <v>0</v>
      </c>
      <c r="R174">
        <f t="shared" si="11"/>
        <v>1</v>
      </c>
      <c r="S174">
        <f t="shared" si="12"/>
        <v>0</v>
      </c>
      <c r="T174" s="11">
        <f t="shared" si="13"/>
        <v>2017</v>
      </c>
      <c r="U174" s="11">
        <f t="shared" si="14"/>
        <v>30498</v>
      </c>
    </row>
    <row r="175" spans="1:21" x14ac:dyDescent="0.3">
      <c r="A175" t="s">
        <v>463</v>
      </c>
      <c r="B175">
        <v>2020</v>
      </c>
      <c r="C175" t="s">
        <v>56</v>
      </c>
      <c r="D175" t="s">
        <v>32</v>
      </c>
      <c r="E175">
        <v>23793</v>
      </c>
      <c r="F175" t="s">
        <v>65</v>
      </c>
      <c r="G175">
        <v>51300</v>
      </c>
      <c r="H175" t="s">
        <v>20</v>
      </c>
      <c r="I175" t="s">
        <v>78</v>
      </c>
      <c r="J175" t="s">
        <v>317</v>
      </c>
      <c r="K175" t="s">
        <v>23</v>
      </c>
      <c r="L175" t="s">
        <v>197</v>
      </c>
      <c r="M175" t="s">
        <v>198</v>
      </c>
      <c r="N175" t="s">
        <v>26</v>
      </c>
      <c r="O175" t="s">
        <v>27</v>
      </c>
      <c r="P175" s="1">
        <v>44801</v>
      </c>
      <c r="Q175">
        <f t="shared" si="10"/>
        <v>0</v>
      </c>
      <c r="R175">
        <f t="shared" si="11"/>
        <v>0</v>
      </c>
      <c r="S175">
        <f t="shared" si="12"/>
        <v>0</v>
      </c>
      <c r="T175" s="11">
        <f t="shared" si="13"/>
        <v>2020</v>
      </c>
      <c r="U175" s="11">
        <f t="shared" si="14"/>
        <v>23793</v>
      </c>
    </row>
    <row r="176" spans="1:21" x14ac:dyDescent="0.3">
      <c r="A176" t="s">
        <v>464</v>
      </c>
      <c r="B176">
        <v>2020</v>
      </c>
      <c r="C176" t="s">
        <v>56</v>
      </c>
      <c r="D176" t="s">
        <v>32</v>
      </c>
      <c r="E176">
        <v>23626</v>
      </c>
      <c r="F176" t="s">
        <v>65</v>
      </c>
      <c r="G176">
        <v>51700</v>
      </c>
      <c r="H176" t="s">
        <v>20</v>
      </c>
      <c r="I176" t="s">
        <v>58</v>
      </c>
      <c r="J176" t="s">
        <v>192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  <c r="P176" s="1">
        <v>44801</v>
      </c>
      <c r="Q176">
        <f t="shared" si="10"/>
        <v>0</v>
      </c>
      <c r="R176">
        <f t="shared" si="11"/>
        <v>0</v>
      </c>
      <c r="S176">
        <f t="shared" si="12"/>
        <v>0</v>
      </c>
      <c r="T176" s="11">
        <f t="shared" si="13"/>
        <v>2020</v>
      </c>
      <c r="U176" s="11">
        <f t="shared" si="14"/>
        <v>23626</v>
      </c>
    </row>
    <row r="177" spans="1:21" x14ac:dyDescent="0.3">
      <c r="A177" t="s">
        <v>465</v>
      </c>
      <c r="B177">
        <v>2019</v>
      </c>
      <c r="C177" t="s">
        <v>56</v>
      </c>
      <c r="D177" t="s">
        <v>93</v>
      </c>
      <c r="E177">
        <v>42694</v>
      </c>
      <c r="F177" t="s">
        <v>71</v>
      </c>
      <c r="G177">
        <v>58300</v>
      </c>
      <c r="H177" t="s">
        <v>20</v>
      </c>
      <c r="I177" t="s">
        <v>78</v>
      </c>
      <c r="J177" t="s">
        <v>290</v>
      </c>
      <c r="K177" t="s">
        <v>23</v>
      </c>
      <c r="L177" t="s">
        <v>197</v>
      </c>
      <c r="M177" t="s">
        <v>198</v>
      </c>
      <c r="N177" t="s">
        <v>26</v>
      </c>
      <c r="O177" t="s">
        <v>27</v>
      </c>
      <c r="P177" s="1">
        <v>44801</v>
      </c>
      <c r="Q177">
        <f t="shared" si="10"/>
        <v>0</v>
      </c>
      <c r="R177">
        <f t="shared" si="11"/>
        <v>0</v>
      </c>
      <c r="S177">
        <f t="shared" si="12"/>
        <v>0</v>
      </c>
      <c r="T177" s="11">
        <f t="shared" si="13"/>
        <v>2019</v>
      </c>
      <c r="U177" s="11">
        <f t="shared" si="14"/>
        <v>42694</v>
      </c>
    </row>
    <row r="178" spans="1:21" x14ac:dyDescent="0.3">
      <c r="A178" t="s">
        <v>466</v>
      </c>
      <c r="B178">
        <v>2022</v>
      </c>
      <c r="C178" t="s">
        <v>37</v>
      </c>
      <c r="D178" t="s">
        <v>30</v>
      </c>
      <c r="E178">
        <v>1077</v>
      </c>
      <c r="F178" t="s">
        <v>131</v>
      </c>
      <c r="G178">
        <v>129000</v>
      </c>
      <c r="H178" t="s">
        <v>32</v>
      </c>
      <c r="I178" t="s">
        <v>39</v>
      </c>
      <c r="J178" t="s">
        <v>467</v>
      </c>
      <c r="K178" t="s">
        <v>23</v>
      </c>
      <c r="L178" t="s">
        <v>183</v>
      </c>
      <c r="M178" t="s">
        <v>25</v>
      </c>
      <c r="N178" t="s">
        <v>26</v>
      </c>
      <c r="O178" t="s">
        <v>27</v>
      </c>
      <c r="P178" s="1">
        <v>44801</v>
      </c>
      <c r="Q178">
        <f t="shared" si="10"/>
        <v>1</v>
      </c>
      <c r="R178">
        <f t="shared" si="11"/>
        <v>0</v>
      </c>
      <c r="S178">
        <f t="shared" si="12"/>
        <v>0</v>
      </c>
      <c r="T178" s="11">
        <f t="shared" si="13"/>
        <v>2022</v>
      </c>
      <c r="U178" s="11">
        <f t="shared" si="14"/>
        <v>1077</v>
      </c>
    </row>
    <row r="179" spans="1:21" x14ac:dyDescent="0.3">
      <c r="A179" t="s">
        <v>468</v>
      </c>
      <c r="B179">
        <v>2019</v>
      </c>
      <c r="C179" t="s">
        <v>56</v>
      </c>
      <c r="D179" t="s">
        <v>32</v>
      </c>
      <c r="E179">
        <v>23629</v>
      </c>
      <c r="F179" t="s">
        <v>71</v>
      </c>
      <c r="G179">
        <v>56100</v>
      </c>
      <c r="H179" t="s">
        <v>20</v>
      </c>
      <c r="I179" t="s">
        <v>21</v>
      </c>
      <c r="J179" t="s">
        <v>72</v>
      </c>
      <c r="K179" t="s">
        <v>23</v>
      </c>
      <c r="L179" t="s">
        <v>292</v>
      </c>
      <c r="M179" t="s">
        <v>172</v>
      </c>
      <c r="N179" t="s">
        <v>173</v>
      </c>
      <c r="O179" t="s">
        <v>27</v>
      </c>
      <c r="P179" s="1">
        <v>44801</v>
      </c>
      <c r="Q179">
        <f t="shared" si="10"/>
        <v>0</v>
      </c>
      <c r="R179">
        <f t="shared" si="11"/>
        <v>0</v>
      </c>
      <c r="S179">
        <f t="shared" si="12"/>
        <v>0</v>
      </c>
      <c r="T179" s="11">
        <f t="shared" si="13"/>
        <v>2019</v>
      </c>
      <c r="U179" s="11">
        <f t="shared" si="14"/>
        <v>23629</v>
      </c>
    </row>
    <row r="180" spans="1:21" x14ac:dyDescent="0.3">
      <c r="A180" t="s">
        <v>469</v>
      </c>
      <c r="B180">
        <v>2018</v>
      </c>
      <c r="C180" t="s">
        <v>56</v>
      </c>
      <c r="D180" t="s">
        <v>93</v>
      </c>
      <c r="E180">
        <v>22221</v>
      </c>
      <c r="F180" t="s">
        <v>57</v>
      </c>
      <c r="G180">
        <v>57900</v>
      </c>
      <c r="H180" t="s">
        <v>20</v>
      </c>
      <c r="I180" t="s">
        <v>78</v>
      </c>
      <c r="J180" t="s">
        <v>218</v>
      </c>
      <c r="K180" t="s">
        <v>23</v>
      </c>
      <c r="L180" t="s">
        <v>371</v>
      </c>
      <c r="M180" t="s">
        <v>48</v>
      </c>
      <c r="N180" t="s">
        <v>49</v>
      </c>
      <c r="O180" t="s">
        <v>27</v>
      </c>
      <c r="P180" s="1">
        <v>44801</v>
      </c>
      <c r="Q180">
        <f t="shared" si="10"/>
        <v>0</v>
      </c>
      <c r="R180">
        <f t="shared" si="11"/>
        <v>0</v>
      </c>
      <c r="S180">
        <f t="shared" si="12"/>
        <v>0</v>
      </c>
      <c r="T180" s="11">
        <f t="shared" si="13"/>
        <v>2018</v>
      </c>
      <c r="U180" s="11">
        <f t="shared" si="14"/>
        <v>22221</v>
      </c>
    </row>
    <row r="181" spans="1:21" x14ac:dyDescent="0.3">
      <c r="A181" t="s">
        <v>470</v>
      </c>
      <c r="B181">
        <v>2020</v>
      </c>
      <c r="C181" t="s">
        <v>29</v>
      </c>
      <c r="D181" t="s">
        <v>53</v>
      </c>
      <c r="E181">
        <v>14416</v>
      </c>
      <c r="F181" t="s">
        <v>31</v>
      </c>
      <c r="G181">
        <v>106000</v>
      </c>
      <c r="H181" t="s">
        <v>53</v>
      </c>
      <c r="I181" t="s">
        <v>21</v>
      </c>
      <c r="J181" t="s">
        <v>471</v>
      </c>
      <c r="K181" t="s">
        <v>23</v>
      </c>
      <c r="N181" t="s">
        <v>127</v>
      </c>
      <c r="O181" t="s">
        <v>27</v>
      </c>
      <c r="P181" s="1">
        <v>44801</v>
      </c>
      <c r="Q181">
        <f t="shared" si="10"/>
        <v>0</v>
      </c>
      <c r="R181">
        <f t="shared" si="11"/>
        <v>1</v>
      </c>
      <c r="S181">
        <f t="shared" si="12"/>
        <v>0</v>
      </c>
      <c r="T181" s="11">
        <f t="shared" si="13"/>
        <v>2020</v>
      </c>
      <c r="U181" s="11">
        <f t="shared" si="14"/>
        <v>14416</v>
      </c>
    </row>
    <row r="182" spans="1:21" x14ac:dyDescent="0.3">
      <c r="A182" t="s">
        <v>472</v>
      </c>
      <c r="B182">
        <v>2021</v>
      </c>
      <c r="C182" t="s">
        <v>37</v>
      </c>
      <c r="D182" t="s">
        <v>51</v>
      </c>
      <c r="E182">
        <v>13528</v>
      </c>
      <c r="F182" t="s">
        <v>131</v>
      </c>
      <c r="G182">
        <v>121400</v>
      </c>
      <c r="H182" t="s">
        <v>45</v>
      </c>
      <c r="I182" t="s">
        <v>39</v>
      </c>
      <c r="J182" t="s">
        <v>473</v>
      </c>
      <c r="K182" t="s">
        <v>23</v>
      </c>
      <c r="L182" t="s">
        <v>474</v>
      </c>
      <c r="M182" t="s">
        <v>255</v>
      </c>
      <c r="N182" t="s">
        <v>256</v>
      </c>
      <c r="O182" t="s">
        <v>27</v>
      </c>
      <c r="P182" s="1">
        <v>44801</v>
      </c>
      <c r="Q182">
        <f t="shared" si="10"/>
        <v>1</v>
      </c>
      <c r="R182">
        <f t="shared" si="11"/>
        <v>0</v>
      </c>
      <c r="S182">
        <f t="shared" si="12"/>
        <v>0</v>
      </c>
      <c r="T182" s="11">
        <f t="shared" si="13"/>
        <v>2021</v>
      </c>
      <c r="U182" s="11">
        <f t="shared" si="14"/>
        <v>13528</v>
      </c>
    </row>
    <row r="183" spans="1:21" x14ac:dyDescent="0.3">
      <c r="A183" t="s">
        <v>475</v>
      </c>
      <c r="B183">
        <v>2020</v>
      </c>
      <c r="C183" t="s">
        <v>17</v>
      </c>
      <c r="D183" t="s">
        <v>32</v>
      </c>
      <c r="E183">
        <v>20846</v>
      </c>
      <c r="F183" t="s">
        <v>207</v>
      </c>
      <c r="G183">
        <v>68500</v>
      </c>
      <c r="H183" t="s">
        <v>77</v>
      </c>
      <c r="I183" t="s">
        <v>21</v>
      </c>
      <c r="J183" t="s">
        <v>476</v>
      </c>
      <c r="K183" t="s">
        <v>23</v>
      </c>
      <c r="L183" t="s">
        <v>129</v>
      </c>
      <c r="M183" t="s">
        <v>113</v>
      </c>
      <c r="N183" t="s">
        <v>114</v>
      </c>
      <c r="O183" t="s">
        <v>27</v>
      </c>
      <c r="P183" s="1">
        <v>44801</v>
      </c>
      <c r="Q183">
        <f t="shared" si="10"/>
        <v>0</v>
      </c>
      <c r="R183">
        <f t="shared" si="11"/>
        <v>0</v>
      </c>
      <c r="S183">
        <f t="shared" si="12"/>
        <v>1</v>
      </c>
      <c r="T183" s="11">
        <f t="shared" si="13"/>
        <v>2020</v>
      </c>
      <c r="U183" s="11">
        <f t="shared" si="14"/>
        <v>20846</v>
      </c>
    </row>
    <row r="184" spans="1:21" x14ac:dyDescent="0.3">
      <c r="A184" t="s">
        <v>477</v>
      </c>
      <c r="B184">
        <v>2019</v>
      </c>
      <c r="C184" t="s">
        <v>56</v>
      </c>
      <c r="D184" t="s">
        <v>30</v>
      </c>
      <c r="E184">
        <v>15658</v>
      </c>
      <c r="F184" t="s">
        <v>71</v>
      </c>
      <c r="G184">
        <v>60300</v>
      </c>
      <c r="H184" t="s">
        <v>20</v>
      </c>
      <c r="I184" t="s">
        <v>21</v>
      </c>
      <c r="J184" t="s">
        <v>384</v>
      </c>
      <c r="K184" t="s">
        <v>23</v>
      </c>
      <c r="L184" t="s">
        <v>95</v>
      </c>
      <c r="M184" t="s">
        <v>96</v>
      </c>
      <c r="N184" t="s">
        <v>89</v>
      </c>
      <c r="O184" t="s">
        <v>27</v>
      </c>
      <c r="P184" s="1">
        <v>44801</v>
      </c>
      <c r="Q184">
        <f t="shared" si="10"/>
        <v>0</v>
      </c>
      <c r="R184">
        <f t="shared" si="11"/>
        <v>0</v>
      </c>
      <c r="S184">
        <f t="shared" si="12"/>
        <v>0</v>
      </c>
      <c r="T184" s="11">
        <f t="shared" si="13"/>
        <v>2019</v>
      </c>
      <c r="U184" s="11">
        <f t="shared" si="14"/>
        <v>15658</v>
      </c>
    </row>
    <row r="185" spans="1:21" x14ac:dyDescent="0.3">
      <c r="A185" t="s">
        <v>478</v>
      </c>
      <c r="B185">
        <v>2018</v>
      </c>
      <c r="C185" t="s">
        <v>37</v>
      </c>
      <c r="D185" t="s">
        <v>51</v>
      </c>
      <c r="E185">
        <v>27149</v>
      </c>
      <c r="F185" t="s">
        <v>52</v>
      </c>
      <c r="G185">
        <v>85300</v>
      </c>
      <c r="H185" t="s">
        <v>53</v>
      </c>
      <c r="I185" t="s">
        <v>39</v>
      </c>
      <c r="J185" t="s">
        <v>479</v>
      </c>
      <c r="K185" t="s">
        <v>23</v>
      </c>
      <c r="L185" t="s">
        <v>100</v>
      </c>
      <c r="M185" t="s">
        <v>101</v>
      </c>
      <c r="N185" t="s">
        <v>102</v>
      </c>
      <c r="O185" t="s">
        <v>27</v>
      </c>
      <c r="P185" s="1">
        <v>44801</v>
      </c>
      <c r="Q185">
        <f t="shared" si="10"/>
        <v>1</v>
      </c>
      <c r="R185">
        <f t="shared" si="11"/>
        <v>0</v>
      </c>
      <c r="S185">
        <f t="shared" si="12"/>
        <v>0</v>
      </c>
      <c r="T185" s="11">
        <f t="shared" si="13"/>
        <v>2018</v>
      </c>
      <c r="U185" s="11">
        <f t="shared" si="14"/>
        <v>27149</v>
      </c>
    </row>
    <row r="186" spans="1:21" x14ac:dyDescent="0.3">
      <c r="A186" t="s">
        <v>480</v>
      </c>
      <c r="B186">
        <v>2019</v>
      </c>
      <c r="C186" t="s">
        <v>37</v>
      </c>
      <c r="D186" t="s">
        <v>32</v>
      </c>
      <c r="E186">
        <v>25345</v>
      </c>
      <c r="F186" t="s">
        <v>38</v>
      </c>
      <c r="G186">
        <v>80600</v>
      </c>
      <c r="H186" t="s">
        <v>45</v>
      </c>
      <c r="I186" t="s">
        <v>78</v>
      </c>
      <c r="J186" t="s">
        <v>481</v>
      </c>
      <c r="K186" t="s">
        <v>23</v>
      </c>
      <c r="L186" t="s">
        <v>47</v>
      </c>
      <c r="M186" t="s">
        <v>48</v>
      </c>
      <c r="N186" t="s">
        <v>49</v>
      </c>
      <c r="O186" t="s">
        <v>27</v>
      </c>
      <c r="P186" s="1">
        <v>44801</v>
      </c>
      <c r="Q186">
        <f t="shared" si="10"/>
        <v>1</v>
      </c>
      <c r="R186">
        <f t="shared" si="11"/>
        <v>0</v>
      </c>
      <c r="S186">
        <f t="shared" si="12"/>
        <v>0</v>
      </c>
      <c r="T186" s="11">
        <f t="shared" si="13"/>
        <v>2019</v>
      </c>
      <c r="U186" s="11">
        <f t="shared" si="14"/>
        <v>25345</v>
      </c>
    </row>
    <row r="187" spans="1:21" x14ac:dyDescent="0.3">
      <c r="A187" t="s">
        <v>482</v>
      </c>
      <c r="B187">
        <v>2019</v>
      </c>
      <c r="C187" t="s">
        <v>56</v>
      </c>
      <c r="D187" t="s">
        <v>32</v>
      </c>
      <c r="E187">
        <v>13599</v>
      </c>
      <c r="F187" t="s">
        <v>65</v>
      </c>
      <c r="G187">
        <v>49400</v>
      </c>
      <c r="H187" t="s">
        <v>20</v>
      </c>
      <c r="I187" t="s">
        <v>78</v>
      </c>
      <c r="J187" t="s">
        <v>317</v>
      </c>
      <c r="K187" t="s">
        <v>23</v>
      </c>
      <c r="L187" t="s">
        <v>67</v>
      </c>
      <c r="M187" t="s">
        <v>68</v>
      </c>
      <c r="N187" t="s">
        <v>69</v>
      </c>
      <c r="O187" t="s">
        <v>27</v>
      </c>
      <c r="P187" s="1">
        <v>44801</v>
      </c>
      <c r="Q187">
        <f t="shared" si="10"/>
        <v>0</v>
      </c>
      <c r="R187">
        <f t="shared" si="11"/>
        <v>0</v>
      </c>
      <c r="S187">
        <f t="shared" si="12"/>
        <v>0</v>
      </c>
      <c r="T187" s="11">
        <f t="shared" si="13"/>
        <v>2019</v>
      </c>
      <c r="U187" s="11">
        <f t="shared" si="14"/>
        <v>13599</v>
      </c>
    </row>
    <row r="188" spans="1:21" x14ac:dyDescent="0.3">
      <c r="A188" t="s">
        <v>483</v>
      </c>
      <c r="B188">
        <v>2019</v>
      </c>
      <c r="C188" t="s">
        <v>56</v>
      </c>
      <c r="D188" t="s">
        <v>53</v>
      </c>
      <c r="E188">
        <v>13966</v>
      </c>
      <c r="F188" t="s">
        <v>65</v>
      </c>
      <c r="G188">
        <v>48700</v>
      </c>
      <c r="H188" t="s">
        <v>20</v>
      </c>
      <c r="I188" t="s">
        <v>58</v>
      </c>
      <c r="J188" t="s">
        <v>66</v>
      </c>
      <c r="K188" t="s">
        <v>23</v>
      </c>
      <c r="L188" t="s">
        <v>95</v>
      </c>
      <c r="M188" t="s">
        <v>96</v>
      </c>
      <c r="N188" t="s">
        <v>89</v>
      </c>
      <c r="O188" t="s">
        <v>27</v>
      </c>
      <c r="P188" s="1">
        <v>44800</v>
      </c>
      <c r="Q188">
        <f t="shared" si="10"/>
        <v>0</v>
      </c>
      <c r="R188">
        <f t="shared" si="11"/>
        <v>0</v>
      </c>
      <c r="S188">
        <f t="shared" si="12"/>
        <v>0</v>
      </c>
      <c r="T188" s="11">
        <f t="shared" si="13"/>
        <v>2019</v>
      </c>
      <c r="U188" s="11">
        <f t="shared" si="14"/>
        <v>13966</v>
      </c>
    </row>
    <row r="189" spans="1:21" x14ac:dyDescent="0.3">
      <c r="A189" t="s">
        <v>484</v>
      </c>
      <c r="B189">
        <v>2020</v>
      </c>
      <c r="C189" t="s">
        <v>17</v>
      </c>
      <c r="D189" t="s">
        <v>30</v>
      </c>
      <c r="E189">
        <v>42853</v>
      </c>
      <c r="F189" t="s">
        <v>207</v>
      </c>
      <c r="G189">
        <v>60800</v>
      </c>
      <c r="H189" t="s">
        <v>20</v>
      </c>
      <c r="I189" t="s">
        <v>78</v>
      </c>
      <c r="J189" t="s">
        <v>242</v>
      </c>
      <c r="K189" t="s">
        <v>23</v>
      </c>
      <c r="L189" t="s">
        <v>122</v>
      </c>
      <c r="M189" t="s">
        <v>113</v>
      </c>
      <c r="N189" t="s">
        <v>114</v>
      </c>
      <c r="O189" t="s">
        <v>27</v>
      </c>
      <c r="P189" s="1">
        <v>44800</v>
      </c>
      <c r="Q189">
        <f t="shared" si="10"/>
        <v>0</v>
      </c>
      <c r="R189">
        <f t="shared" si="11"/>
        <v>0</v>
      </c>
      <c r="S189">
        <f t="shared" si="12"/>
        <v>1</v>
      </c>
      <c r="T189" s="11">
        <f t="shared" si="13"/>
        <v>2020</v>
      </c>
      <c r="U189" s="11">
        <f t="shared" si="14"/>
        <v>42853</v>
      </c>
    </row>
    <row r="190" spans="1:21" x14ac:dyDescent="0.3">
      <c r="A190" t="s">
        <v>485</v>
      </c>
      <c r="B190">
        <v>2021</v>
      </c>
      <c r="C190" t="s">
        <v>56</v>
      </c>
      <c r="D190" t="s">
        <v>93</v>
      </c>
      <c r="E190">
        <v>9489</v>
      </c>
      <c r="F190" t="s">
        <v>65</v>
      </c>
      <c r="G190">
        <v>56100</v>
      </c>
      <c r="H190" t="s">
        <v>20</v>
      </c>
      <c r="I190" t="s">
        <v>58</v>
      </c>
      <c r="J190" t="s">
        <v>294</v>
      </c>
      <c r="K190" t="s">
        <v>23</v>
      </c>
      <c r="L190" t="s">
        <v>122</v>
      </c>
      <c r="M190" t="s">
        <v>113</v>
      </c>
      <c r="N190" t="s">
        <v>114</v>
      </c>
      <c r="O190" t="s">
        <v>27</v>
      </c>
      <c r="P190" s="1">
        <v>44800</v>
      </c>
      <c r="Q190">
        <f t="shared" si="10"/>
        <v>0</v>
      </c>
      <c r="R190">
        <f t="shared" si="11"/>
        <v>0</v>
      </c>
      <c r="S190">
        <f t="shared" si="12"/>
        <v>0</v>
      </c>
      <c r="T190" s="11">
        <f t="shared" si="13"/>
        <v>2021</v>
      </c>
      <c r="U190" s="11">
        <f t="shared" si="14"/>
        <v>9489</v>
      </c>
    </row>
    <row r="191" spans="1:21" x14ac:dyDescent="0.3">
      <c r="A191" t="s">
        <v>486</v>
      </c>
      <c r="B191">
        <v>2021</v>
      </c>
      <c r="C191" t="s">
        <v>37</v>
      </c>
      <c r="D191" t="s">
        <v>51</v>
      </c>
      <c r="E191">
        <v>6798</v>
      </c>
      <c r="F191" t="s">
        <v>131</v>
      </c>
      <c r="G191">
        <v>117100</v>
      </c>
      <c r="H191" t="s">
        <v>53</v>
      </c>
      <c r="I191" t="s">
        <v>39</v>
      </c>
      <c r="J191" t="s">
        <v>319</v>
      </c>
      <c r="K191" t="s">
        <v>23</v>
      </c>
      <c r="L191" t="s">
        <v>122</v>
      </c>
      <c r="M191" t="s">
        <v>113</v>
      </c>
      <c r="N191" t="s">
        <v>114</v>
      </c>
      <c r="O191" t="s">
        <v>27</v>
      </c>
      <c r="P191" s="1">
        <v>44800</v>
      </c>
      <c r="Q191">
        <f t="shared" si="10"/>
        <v>1</v>
      </c>
      <c r="R191">
        <f t="shared" si="11"/>
        <v>0</v>
      </c>
      <c r="S191">
        <f t="shared" si="12"/>
        <v>0</v>
      </c>
      <c r="T191" s="11">
        <f t="shared" si="13"/>
        <v>2021</v>
      </c>
      <c r="U191" s="11">
        <f t="shared" si="14"/>
        <v>6798</v>
      </c>
    </row>
    <row r="192" spans="1:21" x14ac:dyDescent="0.3">
      <c r="A192" t="s">
        <v>487</v>
      </c>
      <c r="B192">
        <v>2019</v>
      </c>
      <c r="C192" t="s">
        <v>37</v>
      </c>
      <c r="D192" t="s">
        <v>51</v>
      </c>
      <c r="E192">
        <v>22793</v>
      </c>
      <c r="F192" t="s">
        <v>38</v>
      </c>
      <c r="G192">
        <v>79700</v>
      </c>
      <c r="H192" t="s">
        <v>45</v>
      </c>
      <c r="I192" t="s">
        <v>78</v>
      </c>
      <c r="J192" t="s">
        <v>452</v>
      </c>
      <c r="K192" t="s">
        <v>23</v>
      </c>
      <c r="L192" t="s">
        <v>112</v>
      </c>
      <c r="M192" t="s">
        <v>113</v>
      </c>
      <c r="N192" t="s">
        <v>114</v>
      </c>
      <c r="O192" t="s">
        <v>27</v>
      </c>
      <c r="P192" s="1">
        <v>44800</v>
      </c>
      <c r="Q192">
        <f t="shared" si="10"/>
        <v>1</v>
      </c>
      <c r="R192">
        <f t="shared" si="11"/>
        <v>0</v>
      </c>
      <c r="S192">
        <f t="shared" si="12"/>
        <v>0</v>
      </c>
      <c r="T192" s="11">
        <f t="shared" si="13"/>
        <v>2019</v>
      </c>
      <c r="U192" s="11">
        <f t="shared" si="14"/>
        <v>22793</v>
      </c>
    </row>
    <row r="193" spans="1:21" x14ac:dyDescent="0.3">
      <c r="A193" t="s">
        <v>488</v>
      </c>
      <c r="B193">
        <v>2020</v>
      </c>
      <c r="C193" t="s">
        <v>17</v>
      </c>
      <c r="D193" t="s">
        <v>76</v>
      </c>
      <c r="E193">
        <v>36681</v>
      </c>
      <c r="F193" t="s">
        <v>207</v>
      </c>
      <c r="G193">
        <v>70200</v>
      </c>
      <c r="H193" t="s">
        <v>77</v>
      </c>
      <c r="I193" t="s">
        <v>21</v>
      </c>
      <c r="J193" t="s">
        <v>489</v>
      </c>
      <c r="K193" t="s">
        <v>23</v>
      </c>
      <c r="L193" t="s">
        <v>490</v>
      </c>
      <c r="M193" t="s">
        <v>491</v>
      </c>
      <c r="N193" t="s">
        <v>406</v>
      </c>
      <c r="O193" t="s">
        <v>27</v>
      </c>
      <c r="P193" s="1">
        <v>44800</v>
      </c>
      <c r="Q193">
        <f t="shared" si="10"/>
        <v>0</v>
      </c>
      <c r="R193">
        <f t="shared" si="11"/>
        <v>0</v>
      </c>
      <c r="S193">
        <f t="shared" si="12"/>
        <v>1</v>
      </c>
      <c r="T193" s="11">
        <f t="shared" si="13"/>
        <v>2020</v>
      </c>
      <c r="U193" s="11">
        <f t="shared" si="14"/>
        <v>36681</v>
      </c>
    </row>
    <row r="194" spans="1:21" x14ac:dyDescent="0.3">
      <c r="A194" t="s">
        <v>492</v>
      </c>
      <c r="B194">
        <v>2020</v>
      </c>
      <c r="C194" t="s">
        <v>29</v>
      </c>
      <c r="D194" t="s">
        <v>30</v>
      </c>
      <c r="E194">
        <v>9998</v>
      </c>
      <c r="F194" t="s">
        <v>177</v>
      </c>
      <c r="G194">
        <v>113600</v>
      </c>
      <c r="H194" t="s">
        <v>45</v>
      </c>
      <c r="I194" t="s">
        <v>21</v>
      </c>
      <c r="J194" t="s">
        <v>493</v>
      </c>
      <c r="K194" t="s">
        <v>23</v>
      </c>
      <c r="L194" t="s">
        <v>494</v>
      </c>
      <c r="M194" t="s">
        <v>113</v>
      </c>
      <c r="N194" t="s">
        <v>114</v>
      </c>
      <c r="O194" t="s">
        <v>27</v>
      </c>
      <c r="P194" s="1">
        <v>44800</v>
      </c>
      <c r="Q194">
        <f t="shared" ref="Q194:Q257" si="15">--(C194="ms")</f>
        <v>0</v>
      </c>
      <c r="R194">
        <f t="shared" ref="R194:R257" si="16">--(C194="mx")</f>
        <v>1</v>
      </c>
      <c r="S194">
        <f t="shared" ref="S194:S257" si="17">--(C194="my")</f>
        <v>0</v>
      </c>
      <c r="T194" s="11">
        <f t="shared" ref="T194:T257" si="18">B194</f>
        <v>2020</v>
      </c>
      <c r="U194" s="11">
        <f t="shared" ref="U194:U257" si="19">E194</f>
        <v>9998</v>
      </c>
    </row>
    <row r="195" spans="1:21" x14ac:dyDescent="0.3">
      <c r="A195" t="s">
        <v>495</v>
      </c>
      <c r="B195">
        <v>2019</v>
      </c>
      <c r="C195" t="s">
        <v>56</v>
      </c>
      <c r="D195" t="s">
        <v>53</v>
      </c>
      <c r="E195">
        <v>16720</v>
      </c>
      <c r="F195" t="s">
        <v>71</v>
      </c>
      <c r="G195">
        <v>62500</v>
      </c>
      <c r="H195" t="s">
        <v>77</v>
      </c>
      <c r="I195" t="s">
        <v>21</v>
      </c>
      <c r="J195" t="s">
        <v>496</v>
      </c>
      <c r="K195" t="s">
        <v>23</v>
      </c>
      <c r="L195" t="s">
        <v>490</v>
      </c>
      <c r="M195" t="s">
        <v>491</v>
      </c>
      <c r="N195" t="s">
        <v>406</v>
      </c>
      <c r="O195" t="s">
        <v>27</v>
      </c>
      <c r="P195" s="1">
        <v>44800</v>
      </c>
      <c r="Q195">
        <f t="shared" si="15"/>
        <v>0</v>
      </c>
      <c r="R195">
        <f t="shared" si="16"/>
        <v>0</v>
      </c>
      <c r="S195">
        <f t="shared" si="17"/>
        <v>0</v>
      </c>
      <c r="T195" s="11">
        <f t="shared" si="18"/>
        <v>2019</v>
      </c>
      <c r="U195" s="11">
        <f t="shared" si="19"/>
        <v>16720</v>
      </c>
    </row>
    <row r="196" spans="1:21" x14ac:dyDescent="0.3">
      <c r="A196" t="s">
        <v>497</v>
      </c>
      <c r="B196">
        <v>2021</v>
      </c>
      <c r="C196" t="s">
        <v>29</v>
      </c>
      <c r="D196" t="s">
        <v>53</v>
      </c>
      <c r="E196">
        <v>23405</v>
      </c>
      <c r="F196" t="s">
        <v>31</v>
      </c>
      <c r="G196">
        <v>119000</v>
      </c>
      <c r="H196" t="s">
        <v>32</v>
      </c>
      <c r="I196" t="s">
        <v>110</v>
      </c>
      <c r="J196" t="s">
        <v>498</v>
      </c>
      <c r="K196" t="s">
        <v>23</v>
      </c>
      <c r="N196" t="s">
        <v>127</v>
      </c>
      <c r="O196" t="s">
        <v>27</v>
      </c>
      <c r="P196" s="1">
        <v>44800</v>
      </c>
      <c r="Q196">
        <f t="shared" si="15"/>
        <v>0</v>
      </c>
      <c r="R196">
        <f t="shared" si="16"/>
        <v>1</v>
      </c>
      <c r="S196">
        <f t="shared" si="17"/>
        <v>0</v>
      </c>
      <c r="T196" s="11">
        <f t="shared" si="18"/>
        <v>2021</v>
      </c>
      <c r="U196" s="11">
        <f t="shared" si="19"/>
        <v>23405</v>
      </c>
    </row>
    <row r="197" spans="1:21" x14ac:dyDescent="0.3">
      <c r="A197" t="s">
        <v>499</v>
      </c>
      <c r="B197">
        <v>2019</v>
      </c>
      <c r="C197" t="s">
        <v>56</v>
      </c>
      <c r="D197" t="s">
        <v>30</v>
      </c>
      <c r="E197">
        <v>17798</v>
      </c>
      <c r="F197" t="s">
        <v>71</v>
      </c>
      <c r="G197">
        <v>64600</v>
      </c>
      <c r="H197" t="s">
        <v>20</v>
      </c>
      <c r="I197" t="s">
        <v>21</v>
      </c>
      <c r="J197" t="s">
        <v>384</v>
      </c>
      <c r="K197" t="s">
        <v>23</v>
      </c>
      <c r="N197" t="s">
        <v>127</v>
      </c>
      <c r="O197" t="s">
        <v>27</v>
      </c>
      <c r="P197" s="1">
        <v>44800</v>
      </c>
      <c r="Q197">
        <f t="shared" si="15"/>
        <v>0</v>
      </c>
      <c r="R197">
        <f t="shared" si="16"/>
        <v>0</v>
      </c>
      <c r="S197">
        <f t="shared" si="17"/>
        <v>0</v>
      </c>
      <c r="T197" s="11">
        <f t="shared" si="18"/>
        <v>2019</v>
      </c>
      <c r="U197" s="11">
        <f t="shared" si="19"/>
        <v>17798</v>
      </c>
    </row>
    <row r="198" spans="1:21" x14ac:dyDescent="0.3">
      <c r="A198" t="s">
        <v>500</v>
      </c>
      <c r="B198">
        <v>2019</v>
      </c>
      <c r="C198" t="s">
        <v>56</v>
      </c>
      <c r="D198" t="s">
        <v>32</v>
      </c>
      <c r="E198">
        <v>24239</v>
      </c>
      <c r="F198" t="s">
        <v>57</v>
      </c>
      <c r="G198">
        <v>60300</v>
      </c>
      <c r="H198" t="s">
        <v>20</v>
      </c>
      <c r="I198" t="s">
        <v>78</v>
      </c>
      <c r="J198" t="s">
        <v>275</v>
      </c>
      <c r="K198" t="s">
        <v>23</v>
      </c>
      <c r="N198" t="s">
        <v>127</v>
      </c>
      <c r="O198" t="s">
        <v>27</v>
      </c>
      <c r="P198" s="1">
        <v>44800</v>
      </c>
      <c r="Q198">
        <f t="shared" si="15"/>
        <v>0</v>
      </c>
      <c r="R198">
        <f t="shared" si="16"/>
        <v>0</v>
      </c>
      <c r="S198">
        <f t="shared" si="17"/>
        <v>0</v>
      </c>
      <c r="T198" s="11">
        <f t="shared" si="18"/>
        <v>2019</v>
      </c>
      <c r="U198" s="11">
        <f t="shared" si="19"/>
        <v>24239</v>
      </c>
    </row>
    <row r="199" spans="1:21" x14ac:dyDescent="0.3">
      <c r="A199" t="s">
        <v>501</v>
      </c>
      <c r="B199">
        <v>2019</v>
      </c>
      <c r="C199" t="s">
        <v>56</v>
      </c>
      <c r="D199" t="s">
        <v>93</v>
      </c>
      <c r="E199">
        <v>34496</v>
      </c>
      <c r="F199" t="s">
        <v>57</v>
      </c>
      <c r="G199">
        <v>57400</v>
      </c>
      <c r="H199" t="s">
        <v>20</v>
      </c>
      <c r="I199" t="s">
        <v>78</v>
      </c>
      <c r="J199" t="s">
        <v>218</v>
      </c>
      <c r="K199" t="s">
        <v>23</v>
      </c>
      <c r="N199" t="s">
        <v>127</v>
      </c>
      <c r="O199" t="s">
        <v>27</v>
      </c>
      <c r="P199" s="1">
        <v>44800</v>
      </c>
      <c r="Q199">
        <f t="shared" si="15"/>
        <v>0</v>
      </c>
      <c r="R199">
        <f t="shared" si="16"/>
        <v>0</v>
      </c>
      <c r="S199">
        <f t="shared" si="17"/>
        <v>0</v>
      </c>
      <c r="T199" s="11">
        <f t="shared" si="18"/>
        <v>2019</v>
      </c>
      <c r="U199" s="11">
        <f t="shared" si="19"/>
        <v>34496</v>
      </c>
    </row>
    <row r="200" spans="1:21" x14ac:dyDescent="0.3">
      <c r="A200" t="s">
        <v>502</v>
      </c>
      <c r="B200">
        <v>2020</v>
      </c>
      <c r="C200" t="s">
        <v>56</v>
      </c>
      <c r="D200" t="s">
        <v>32</v>
      </c>
      <c r="E200">
        <v>46704</v>
      </c>
      <c r="F200" t="s">
        <v>65</v>
      </c>
      <c r="G200">
        <v>46900</v>
      </c>
      <c r="H200" t="s">
        <v>20</v>
      </c>
      <c r="I200" t="s">
        <v>58</v>
      </c>
      <c r="J200" t="s">
        <v>192</v>
      </c>
      <c r="K200" t="s">
        <v>23</v>
      </c>
      <c r="N200" t="s">
        <v>127</v>
      </c>
      <c r="O200" t="s">
        <v>27</v>
      </c>
      <c r="P200" s="1">
        <v>44800</v>
      </c>
      <c r="Q200">
        <f t="shared" si="15"/>
        <v>0</v>
      </c>
      <c r="R200">
        <f t="shared" si="16"/>
        <v>0</v>
      </c>
      <c r="S200">
        <f t="shared" si="17"/>
        <v>0</v>
      </c>
      <c r="T200" s="11">
        <f t="shared" si="18"/>
        <v>2020</v>
      </c>
      <c r="U200" s="11">
        <f t="shared" si="19"/>
        <v>46704</v>
      </c>
    </row>
    <row r="201" spans="1:21" x14ac:dyDescent="0.3">
      <c r="A201" t="s">
        <v>503</v>
      </c>
      <c r="B201">
        <v>2019</v>
      </c>
      <c r="C201" t="s">
        <v>37</v>
      </c>
      <c r="D201" t="s">
        <v>53</v>
      </c>
      <c r="E201">
        <v>19038</v>
      </c>
      <c r="F201" t="s">
        <v>38</v>
      </c>
      <c r="G201">
        <v>80600</v>
      </c>
      <c r="H201" t="s">
        <v>45</v>
      </c>
      <c r="I201" t="s">
        <v>78</v>
      </c>
      <c r="J201" t="s">
        <v>504</v>
      </c>
      <c r="K201" t="s">
        <v>23</v>
      </c>
      <c r="L201" t="s">
        <v>137</v>
      </c>
      <c r="M201" t="s">
        <v>138</v>
      </c>
      <c r="N201" t="s">
        <v>139</v>
      </c>
      <c r="O201" t="s">
        <v>27</v>
      </c>
      <c r="P201" s="1">
        <v>44800</v>
      </c>
      <c r="Q201">
        <f t="shared" si="15"/>
        <v>1</v>
      </c>
      <c r="R201">
        <f t="shared" si="16"/>
        <v>0</v>
      </c>
      <c r="S201">
        <f t="shared" si="17"/>
        <v>0</v>
      </c>
      <c r="T201" s="11">
        <f t="shared" si="18"/>
        <v>2019</v>
      </c>
      <c r="U201" s="11">
        <f t="shared" si="19"/>
        <v>19038</v>
      </c>
    </row>
    <row r="202" spans="1:21" x14ac:dyDescent="0.3">
      <c r="A202" t="s">
        <v>505</v>
      </c>
      <c r="B202">
        <v>2021</v>
      </c>
      <c r="C202" t="s">
        <v>17</v>
      </c>
      <c r="D202" t="s">
        <v>32</v>
      </c>
      <c r="E202">
        <v>36137</v>
      </c>
      <c r="F202" t="s">
        <v>207</v>
      </c>
      <c r="G202">
        <v>69500</v>
      </c>
      <c r="H202" t="s">
        <v>20</v>
      </c>
      <c r="I202" t="s">
        <v>21</v>
      </c>
      <c r="J202" t="s">
        <v>506</v>
      </c>
      <c r="K202" t="s">
        <v>23</v>
      </c>
      <c r="L202" t="s">
        <v>175</v>
      </c>
      <c r="M202" t="s">
        <v>42</v>
      </c>
      <c r="N202" t="s">
        <v>26</v>
      </c>
      <c r="O202" t="s">
        <v>27</v>
      </c>
      <c r="P202" s="1">
        <v>44800</v>
      </c>
      <c r="Q202">
        <f t="shared" si="15"/>
        <v>0</v>
      </c>
      <c r="R202">
        <f t="shared" si="16"/>
        <v>0</v>
      </c>
      <c r="S202">
        <f t="shared" si="17"/>
        <v>1</v>
      </c>
      <c r="T202" s="11">
        <f t="shared" si="18"/>
        <v>2021</v>
      </c>
      <c r="U202" s="11">
        <f t="shared" si="19"/>
        <v>36137</v>
      </c>
    </row>
    <row r="203" spans="1:21" x14ac:dyDescent="0.3">
      <c r="A203" t="s">
        <v>507</v>
      </c>
      <c r="B203">
        <v>2022</v>
      </c>
      <c r="C203" t="s">
        <v>56</v>
      </c>
      <c r="D203" t="s">
        <v>53</v>
      </c>
      <c r="E203">
        <v>10689</v>
      </c>
      <c r="F203" t="s">
        <v>508</v>
      </c>
      <c r="G203">
        <v>70600</v>
      </c>
      <c r="H203" t="s">
        <v>20</v>
      </c>
      <c r="I203" t="s">
        <v>58</v>
      </c>
      <c r="J203" t="s">
        <v>59</v>
      </c>
      <c r="K203" t="s">
        <v>23</v>
      </c>
      <c r="L203" t="s">
        <v>509</v>
      </c>
      <c r="N203" t="s">
        <v>26</v>
      </c>
      <c r="O203" t="s">
        <v>27</v>
      </c>
      <c r="P203" s="1">
        <v>44800</v>
      </c>
      <c r="Q203">
        <f t="shared" si="15"/>
        <v>0</v>
      </c>
      <c r="R203">
        <f t="shared" si="16"/>
        <v>0</v>
      </c>
      <c r="S203">
        <f t="shared" si="17"/>
        <v>0</v>
      </c>
      <c r="T203" s="11">
        <f t="shared" si="18"/>
        <v>2022</v>
      </c>
      <c r="U203" s="11">
        <f t="shared" si="19"/>
        <v>10689</v>
      </c>
    </row>
    <row r="204" spans="1:21" x14ac:dyDescent="0.3">
      <c r="A204" t="s">
        <v>510</v>
      </c>
      <c r="B204">
        <v>2020</v>
      </c>
      <c r="C204" t="s">
        <v>56</v>
      </c>
      <c r="D204" t="s">
        <v>76</v>
      </c>
      <c r="E204">
        <v>24228</v>
      </c>
      <c r="F204" t="s">
        <v>71</v>
      </c>
      <c r="G204">
        <v>63600</v>
      </c>
      <c r="H204" t="s">
        <v>77</v>
      </c>
      <c r="I204" t="s">
        <v>21</v>
      </c>
      <c r="J204" t="s">
        <v>214</v>
      </c>
      <c r="K204" t="s">
        <v>23</v>
      </c>
      <c r="L204" t="s">
        <v>197</v>
      </c>
      <c r="M204" t="s">
        <v>198</v>
      </c>
      <c r="N204" t="s">
        <v>26</v>
      </c>
      <c r="O204" t="s">
        <v>27</v>
      </c>
      <c r="P204" s="1">
        <v>44800</v>
      </c>
      <c r="Q204">
        <f t="shared" si="15"/>
        <v>0</v>
      </c>
      <c r="R204">
        <f t="shared" si="16"/>
        <v>0</v>
      </c>
      <c r="S204">
        <f t="shared" si="17"/>
        <v>0</v>
      </c>
      <c r="T204" s="11">
        <f t="shared" si="18"/>
        <v>2020</v>
      </c>
      <c r="U204" s="11">
        <f t="shared" si="19"/>
        <v>24228</v>
      </c>
    </row>
    <row r="205" spans="1:21" x14ac:dyDescent="0.3">
      <c r="A205" t="s">
        <v>511</v>
      </c>
      <c r="B205">
        <v>2021</v>
      </c>
      <c r="C205" t="s">
        <v>37</v>
      </c>
      <c r="D205" t="s">
        <v>53</v>
      </c>
      <c r="E205">
        <v>5418</v>
      </c>
      <c r="F205" t="s">
        <v>131</v>
      </c>
      <c r="G205">
        <v>120500</v>
      </c>
      <c r="H205" t="s">
        <v>53</v>
      </c>
      <c r="I205" t="s">
        <v>78</v>
      </c>
      <c r="J205" t="s">
        <v>512</v>
      </c>
      <c r="K205" t="s">
        <v>23</v>
      </c>
      <c r="L205" t="s">
        <v>513</v>
      </c>
      <c r="M205" t="s">
        <v>42</v>
      </c>
      <c r="N205" t="s">
        <v>26</v>
      </c>
      <c r="O205" t="s">
        <v>27</v>
      </c>
      <c r="P205" s="1">
        <v>44800</v>
      </c>
      <c r="Q205">
        <f t="shared" si="15"/>
        <v>1</v>
      </c>
      <c r="R205">
        <f t="shared" si="16"/>
        <v>0</v>
      </c>
      <c r="S205">
        <f t="shared" si="17"/>
        <v>0</v>
      </c>
      <c r="T205" s="11">
        <f t="shared" si="18"/>
        <v>2021</v>
      </c>
      <c r="U205" s="11">
        <f t="shared" si="19"/>
        <v>5418</v>
      </c>
    </row>
    <row r="206" spans="1:21" x14ac:dyDescent="0.3">
      <c r="A206" t="s">
        <v>514</v>
      </c>
      <c r="B206">
        <v>2020</v>
      </c>
      <c r="C206" t="s">
        <v>29</v>
      </c>
      <c r="D206" t="s">
        <v>53</v>
      </c>
      <c r="E206">
        <v>26152</v>
      </c>
      <c r="F206" t="s">
        <v>177</v>
      </c>
      <c r="G206">
        <v>102800</v>
      </c>
      <c r="H206" t="s">
        <v>32</v>
      </c>
      <c r="I206" t="s">
        <v>110</v>
      </c>
      <c r="J206" t="s">
        <v>515</v>
      </c>
      <c r="K206" t="s">
        <v>23</v>
      </c>
      <c r="L206" t="s">
        <v>183</v>
      </c>
      <c r="M206" t="s">
        <v>25</v>
      </c>
      <c r="N206" t="s">
        <v>26</v>
      </c>
      <c r="O206" t="s">
        <v>27</v>
      </c>
      <c r="P206" s="1">
        <v>44800</v>
      </c>
      <c r="Q206">
        <f t="shared" si="15"/>
        <v>0</v>
      </c>
      <c r="R206">
        <f t="shared" si="16"/>
        <v>1</v>
      </c>
      <c r="S206">
        <f t="shared" si="17"/>
        <v>0</v>
      </c>
      <c r="T206" s="11">
        <f t="shared" si="18"/>
        <v>2020</v>
      </c>
      <c r="U206" s="11">
        <f t="shared" si="19"/>
        <v>26152</v>
      </c>
    </row>
    <row r="207" spans="1:21" x14ac:dyDescent="0.3">
      <c r="A207" t="s">
        <v>516</v>
      </c>
      <c r="B207">
        <v>2019</v>
      </c>
      <c r="C207" t="s">
        <v>56</v>
      </c>
      <c r="D207" t="s">
        <v>53</v>
      </c>
      <c r="E207">
        <v>43997</v>
      </c>
      <c r="F207" t="s">
        <v>71</v>
      </c>
      <c r="G207">
        <v>57300</v>
      </c>
      <c r="H207" t="s">
        <v>20</v>
      </c>
      <c r="I207" t="s">
        <v>21</v>
      </c>
      <c r="J207" t="s">
        <v>376</v>
      </c>
      <c r="K207" t="s">
        <v>23</v>
      </c>
      <c r="L207" t="s">
        <v>193</v>
      </c>
      <c r="M207" t="s">
        <v>194</v>
      </c>
      <c r="N207" t="s">
        <v>26</v>
      </c>
      <c r="O207" t="s">
        <v>27</v>
      </c>
      <c r="P207" s="1">
        <v>44800</v>
      </c>
      <c r="Q207">
        <f t="shared" si="15"/>
        <v>0</v>
      </c>
      <c r="R207">
        <f t="shared" si="16"/>
        <v>0</v>
      </c>
      <c r="S207">
        <f t="shared" si="17"/>
        <v>0</v>
      </c>
      <c r="T207" s="11">
        <f t="shared" si="18"/>
        <v>2019</v>
      </c>
      <c r="U207" s="11">
        <f t="shared" si="19"/>
        <v>43997</v>
      </c>
    </row>
    <row r="208" spans="1:21" x14ac:dyDescent="0.3">
      <c r="A208" t="s">
        <v>517</v>
      </c>
      <c r="B208">
        <v>2019</v>
      </c>
      <c r="C208" t="s">
        <v>56</v>
      </c>
      <c r="D208" t="s">
        <v>53</v>
      </c>
      <c r="E208">
        <v>28236</v>
      </c>
      <c r="F208" t="s">
        <v>65</v>
      </c>
      <c r="G208">
        <v>48300</v>
      </c>
      <c r="H208" t="s">
        <v>20</v>
      </c>
      <c r="I208" t="s">
        <v>58</v>
      </c>
      <c r="J208" t="s">
        <v>66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  <c r="P208" s="1">
        <v>44800</v>
      </c>
      <c r="Q208">
        <f t="shared" si="15"/>
        <v>0</v>
      </c>
      <c r="R208">
        <f t="shared" si="16"/>
        <v>0</v>
      </c>
      <c r="S208">
        <f t="shared" si="17"/>
        <v>0</v>
      </c>
      <c r="T208" s="11">
        <f t="shared" si="18"/>
        <v>2019</v>
      </c>
      <c r="U208" s="11">
        <f t="shared" si="19"/>
        <v>28236</v>
      </c>
    </row>
    <row r="209" spans="1:21" x14ac:dyDescent="0.3">
      <c r="A209" t="s">
        <v>518</v>
      </c>
      <c r="B209">
        <v>2021</v>
      </c>
      <c r="C209" t="s">
        <v>37</v>
      </c>
      <c r="D209" t="s">
        <v>32</v>
      </c>
      <c r="E209">
        <v>5118</v>
      </c>
      <c r="F209" t="s">
        <v>211</v>
      </c>
      <c r="G209">
        <v>119300</v>
      </c>
      <c r="H209" t="s">
        <v>32</v>
      </c>
      <c r="I209" t="s">
        <v>39</v>
      </c>
      <c r="J209" t="s">
        <v>519</v>
      </c>
      <c r="K209" t="s">
        <v>23</v>
      </c>
      <c r="L209" t="s">
        <v>183</v>
      </c>
      <c r="M209" t="s">
        <v>25</v>
      </c>
      <c r="N209" t="s">
        <v>26</v>
      </c>
      <c r="O209" t="s">
        <v>27</v>
      </c>
      <c r="P209" s="1">
        <v>44800</v>
      </c>
      <c r="Q209">
        <f t="shared" si="15"/>
        <v>1</v>
      </c>
      <c r="R209">
        <f t="shared" si="16"/>
        <v>0</v>
      </c>
      <c r="S209">
        <f t="shared" si="17"/>
        <v>0</v>
      </c>
      <c r="T209" s="11">
        <f t="shared" si="18"/>
        <v>2021</v>
      </c>
      <c r="U209" s="11">
        <f t="shared" si="19"/>
        <v>5118</v>
      </c>
    </row>
    <row r="210" spans="1:21" x14ac:dyDescent="0.3">
      <c r="A210" t="s">
        <v>520</v>
      </c>
      <c r="B210">
        <v>2017</v>
      </c>
      <c r="C210" t="s">
        <v>37</v>
      </c>
      <c r="D210" t="s">
        <v>51</v>
      </c>
      <c r="E210">
        <v>65594</v>
      </c>
      <c r="F210" t="s">
        <v>104</v>
      </c>
      <c r="G210">
        <v>62300</v>
      </c>
      <c r="H210" t="s">
        <v>45</v>
      </c>
      <c r="I210" t="s">
        <v>78</v>
      </c>
      <c r="J210" t="s">
        <v>521</v>
      </c>
      <c r="K210" t="s">
        <v>23</v>
      </c>
      <c r="L210" t="s">
        <v>183</v>
      </c>
      <c r="M210" t="s">
        <v>25</v>
      </c>
      <c r="N210" t="s">
        <v>26</v>
      </c>
      <c r="O210" t="s">
        <v>27</v>
      </c>
      <c r="P210" s="1">
        <v>44800</v>
      </c>
      <c r="Q210">
        <f t="shared" si="15"/>
        <v>1</v>
      </c>
      <c r="R210">
        <f t="shared" si="16"/>
        <v>0</v>
      </c>
      <c r="S210">
        <f t="shared" si="17"/>
        <v>0</v>
      </c>
      <c r="T210" s="11">
        <f t="shared" si="18"/>
        <v>2017</v>
      </c>
      <c r="U210" s="11">
        <f t="shared" si="19"/>
        <v>65594</v>
      </c>
    </row>
    <row r="211" spans="1:21" x14ac:dyDescent="0.3">
      <c r="A211" t="s">
        <v>522</v>
      </c>
      <c r="B211">
        <v>2019</v>
      </c>
      <c r="C211" t="s">
        <v>29</v>
      </c>
      <c r="D211" t="s">
        <v>32</v>
      </c>
      <c r="E211">
        <v>18369</v>
      </c>
      <c r="F211" t="s">
        <v>177</v>
      </c>
      <c r="G211">
        <v>101400</v>
      </c>
      <c r="H211" t="s">
        <v>32</v>
      </c>
      <c r="I211" t="s">
        <v>110</v>
      </c>
      <c r="J211" t="s">
        <v>301</v>
      </c>
      <c r="K211" t="s">
        <v>23</v>
      </c>
      <c r="L211" t="s">
        <v>219</v>
      </c>
      <c r="M211" t="s">
        <v>220</v>
      </c>
      <c r="N211" t="s">
        <v>221</v>
      </c>
      <c r="O211" t="s">
        <v>27</v>
      </c>
      <c r="P211" s="1">
        <v>44800</v>
      </c>
      <c r="Q211">
        <f t="shared" si="15"/>
        <v>0</v>
      </c>
      <c r="R211">
        <f t="shared" si="16"/>
        <v>1</v>
      </c>
      <c r="S211">
        <f t="shared" si="17"/>
        <v>0</v>
      </c>
      <c r="T211" s="11">
        <f t="shared" si="18"/>
        <v>2019</v>
      </c>
      <c r="U211" s="11">
        <f t="shared" si="19"/>
        <v>18369</v>
      </c>
    </row>
    <row r="212" spans="1:21" x14ac:dyDescent="0.3">
      <c r="A212" t="s">
        <v>523</v>
      </c>
      <c r="B212">
        <v>2020</v>
      </c>
      <c r="C212" t="s">
        <v>17</v>
      </c>
      <c r="D212" t="s">
        <v>53</v>
      </c>
      <c r="E212">
        <v>14115</v>
      </c>
      <c r="F212" t="s">
        <v>207</v>
      </c>
      <c r="G212">
        <v>64000</v>
      </c>
      <c r="H212" t="s">
        <v>20</v>
      </c>
      <c r="I212" t="s">
        <v>78</v>
      </c>
      <c r="J212" t="s">
        <v>524</v>
      </c>
      <c r="K212" t="s">
        <v>23</v>
      </c>
      <c r="L212" t="s">
        <v>447</v>
      </c>
      <c r="N212" t="s">
        <v>203</v>
      </c>
      <c r="O212" t="s">
        <v>27</v>
      </c>
      <c r="P212" s="1">
        <v>44800</v>
      </c>
      <c r="Q212">
        <f t="shared" si="15"/>
        <v>0</v>
      </c>
      <c r="R212">
        <f t="shared" si="16"/>
        <v>0</v>
      </c>
      <c r="S212">
        <f t="shared" si="17"/>
        <v>1</v>
      </c>
      <c r="T212" s="11">
        <f t="shared" si="18"/>
        <v>2020</v>
      </c>
      <c r="U212" s="11">
        <f t="shared" si="19"/>
        <v>14115</v>
      </c>
    </row>
    <row r="213" spans="1:21" x14ac:dyDescent="0.3">
      <c r="A213" t="s">
        <v>525</v>
      </c>
      <c r="B213">
        <v>2020</v>
      </c>
      <c r="C213" t="s">
        <v>17</v>
      </c>
      <c r="D213" t="s">
        <v>18</v>
      </c>
      <c r="E213">
        <v>21457</v>
      </c>
      <c r="F213" t="s">
        <v>207</v>
      </c>
      <c r="G213">
        <v>71500</v>
      </c>
      <c r="H213" t="s">
        <v>20</v>
      </c>
      <c r="I213" t="s">
        <v>21</v>
      </c>
      <c r="J213" t="s">
        <v>526</v>
      </c>
      <c r="K213" t="s">
        <v>23</v>
      </c>
      <c r="L213" t="s">
        <v>224</v>
      </c>
      <c r="M213" t="s">
        <v>202</v>
      </c>
      <c r="N213" t="s">
        <v>203</v>
      </c>
      <c r="O213" t="s">
        <v>27</v>
      </c>
      <c r="P213" s="1">
        <v>44800</v>
      </c>
      <c r="Q213">
        <f t="shared" si="15"/>
        <v>0</v>
      </c>
      <c r="R213">
        <f t="shared" si="16"/>
        <v>0</v>
      </c>
      <c r="S213">
        <f t="shared" si="17"/>
        <v>1</v>
      </c>
      <c r="T213" s="11">
        <f t="shared" si="18"/>
        <v>2020</v>
      </c>
      <c r="U213" s="11">
        <f t="shared" si="19"/>
        <v>21457</v>
      </c>
    </row>
    <row r="214" spans="1:21" x14ac:dyDescent="0.3">
      <c r="A214" t="s">
        <v>527</v>
      </c>
      <c r="B214">
        <v>2019</v>
      </c>
      <c r="C214" t="s">
        <v>37</v>
      </c>
      <c r="D214" t="s">
        <v>51</v>
      </c>
      <c r="E214">
        <v>71933</v>
      </c>
      <c r="F214" t="s">
        <v>38</v>
      </c>
      <c r="G214">
        <v>75800</v>
      </c>
      <c r="H214" t="s">
        <v>32</v>
      </c>
      <c r="I214" t="s">
        <v>78</v>
      </c>
      <c r="J214" t="s">
        <v>528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  <c r="P214" s="1">
        <v>44800</v>
      </c>
      <c r="Q214">
        <f t="shared" si="15"/>
        <v>1</v>
      </c>
      <c r="R214">
        <f t="shared" si="16"/>
        <v>0</v>
      </c>
      <c r="S214">
        <f t="shared" si="17"/>
        <v>0</v>
      </c>
      <c r="T214" s="11">
        <f t="shared" si="18"/>
        <v>2019</v>
      </c>
      <c r="U214" s="11">
        <f t="shared" si="19"/>
        <v>71933</v>
      </c>
    </row>
    <row r="215" spans="1:21" x14ac:dyDescent="0.3">
      <c r="A215" t="s">
        <v>529</v>
      </c>
      <c r="B215">
        <v>2020</v>
      </c>
      <c r="C215" t="s">
        <v>56</v>
      </c>
      <c r="D215" t="s">
        <v>32</v>
      </c>
      <c r="E215">
        <v>10739</v>
      </c>
      <c r="F215" t="s">
        <v>65</v>
      </c>
      <c r="G215">
        <v>49800</v>
      </c>
      <c r="H215" t="s">
        <v>20</v>
      </c>
      <c r="I215" t="s">
        <v>78</v>
      </c>
      <c r="J215" t="s">
        <v>317</v>
      </c>
      <c r="K215" t="s">
        <v>23</v>
      </c>
      <c r="L215" t="s">
        <v>24</v>
      </c>
      <c r="M215" t="s">
        <v>25</v>
      </c>
      <c r="N215" t="s">
        <v>26</v>
      </c>
      <c r="O215" t="s">
        <v>27</v>
      </c>
      <c r="P215" s="1">
        <v>44800</v>
      </c>
      <c r="Q215">
        <f t="shared" si="15"/>
        <v>0</v>
      </c>
      <c r="R215">
        <f t="shared" si="16"/>
        <v>0</v>
      </c>
      <c r="S215">
        <f t="shared" si="17"/>
        <v>0</v>
      </c>
      <c r="T215" s="11">
        <f t="shared" si="18"/>
        <v>2020</v>
      </c>
      <c r="U215" s="11">
        <f t="shared" si="19"/>
        <v>10739</v>
      </c>
    </row>
    <row r="216" spans="1:21" x14ac:dyDescent="0.3">
      <c r="A216" t="s">
        <v>530</v>
      </c>
      <c r="B216">
        <v>2016</v>
      </c>
      <c r="C216" t="s">
        <v>37</v>
      </c>
      <c r="D216" t="s">
        <v>30</v>
      </c>
      <c r="E216">
        <v>23737</v>
      </c>
      <c r="F216" t="s">
        <v>104</v>
      </c>
      <c r="G216">
        <v>58600</v>
      </c>
      <c r="H216" t="s">
        <v>306</v>
      </c>
      <c r="I216" t="s">
        <v>78</v>
      </c>
      <c r="J216" t="s">
        <v>531</v>
      </c>
      <c r="K216" t="s">
        <v>23</v>
      </c>
      <c r="L216" t="s">
        <v>158</v>
      </c>
      <c r="M216" t="s">
        <v>42</v>
      </c>
      <c r="N216" t="s">
        <v>26</v>
      </c>
      <c r="O216" t="s">
        <v>27</v>
      </c>
      <c r="P216" s="1">
        <v>44800</v>
      </c>
      <c r="Q216">
        <f t="shared" si="15"/>
        <v>1</v>
      </c>
      <c r="R216">
        <f t="shared" si="16"/>
        <v>0</v>
      </c>
      <c r="S216">
        <f t="shared" si="17"/>
        <v>0</v>
      </c>
      <c r="T216" s="11">
        <f t="shared" si="18"/>
        <v>2016</v>
      </c>
      <c r="U216" s="11">
        <f t="shared" si="19"/>
        <v>23737</v>
      </c>
    </row>
    <row r="217" spans="1:21" x14ac:dyDescent="0.3">
      <c r="A217" t="s">
        <v>532</v>
      </c>
      <c r="B217">
        <v>2020</v>
      </c>
      <c r="C217" t="s">
        <v>56</v>
      </c>
      <c r="D217" t="s">
        <v>93</v>
      </c>
      <c r="E217">
        <v>38555</v>
      </c>
      <c r="F217" t="s">
        <v>65</v>
      </c>
      <c r="G217">
        <v>46600</v>
      </c>
      <c r="H217" t="s">
        <v>20</v>
      </c>
      <c r="I217" t="s">
        <v>58</v>
      </c>
      <c r="J217" t="s">
        <v>294</v>
      </c>
      <c r="K217" t="s">
        <v>23</v>
      </c>
      <c r="L217" t="s">
        <v>513</v>
      </c>
      <c r="M217" t="s">
        <v>42</v>
      </c>
      <c r="N217" t="s">
        <v>26</v>
      </c>
      <c r="O217" t="s">
        <v>27</v>
      </c>
      <c r="P217" s="1">
        <v>44800</v>
      </c>
      <c r="Q217">
        <f t="shared" si="15"/>
        <v>0</v>
      </c>
      <c r="R217">
        <f t="shared" si="16"/>
        <v>0</v>
      </c>
      <c r="S217">
        <f t="shared" si="17"/>
        <v>0</v>
      </c>
      <c r="T217" s="11">
        <f t="shared" si="18"/>
        <v>2020</v>
      </c>
      <c r="U217" s="11">
        <f t="shared" si="19"/>
        <v>38555</v>
      </c>
    </row>
    <row r="218" spans="1:21" x14ac:dyDescent="0.3">
      <c r="A218" t="s">
        <v>533</v>
      </c>
      <c r="B218">
        <v>2019</v>
      </c>
      <c r="C218" t="s">
        <v>56</v>
      </c>
      <c r="D218" t="s">
        <v>53</v>
      </c>
      <c r="E218">
        <v>29241</v>
      </c>
      <c r="F218" t="s">
        <v>65</v>
      </c>
      <c r="G218">
        <v>48000</v>
      </c>
      <c r="H218" t="s">
        <v>20</v>
      </c>
      <c r="I218" t="s">
        <v>78</v>
      </c>
      <c r="J218" t="s">
        <v>534</v>
      </c>
      <c r="K218" t="s">
        <v>23</v>
      </c>
      <c r="L218" t="s">
        <v>205</v>
      </c>
      <c r="M218" t="s">
        <v>42</v>
      </c>
      <c r="N218" t="s">
        <v>26</v>
      </c>
      <c r="O218" t="s">
        <v>27</v>
      </c>
      <c r="P218" s="1">
        <v>44800</v>
      </c>
      <c r="Q218">
        <f t="shared" si="15"/>
        <v>0</v>
      </c>
      <c r="R218">
        <f t="shared" si="16"/>
        <v>0</v>
      </c>
      <c r="S218">
        <f t="shared" si="17"/>
        <v>0</v>
      </c>
      <c r="T218" s="11">
        <f t="shared" si="18"/>
        <v>2019</v>
      </c>
      <c r="U218" s="11">
        <f t="shared" si="19"/>
        <v>29241</v>
      </c>
    </row>
    <row r="219" spans="1:21" x14ac:dyDescent="0.3">
      <c r="A219" t="s">
        <v>535</v>
      </c>
      <c r="B219">
        <v>2020</v>
      </c>
      <c r="C219" t="s">
        <v>56</v>
      </c>
      <c r="D219" t="s">
        <v>93</v>
      </c>
      <c r="E219">
        <v>26377</v>
      </c>
      <c r="F219" t="s">
        <v>65</v>
      </c>
      <c r="G219">
        <v>49400</v>
      </c>
      <c r="H219" t="s">
        <v>20</v>
      </c>
      <c r="I219" t="s">
        <v>78</v>
      </c>
      <c r="J219" t="s">
        <v>536</v>
      </c>
      <c r="K219" t="s">
        <v>23</v>
      </c>
      <c r="L219" t="s">
        <v>330</v>
      </c>
      <c r="M219" t="s">
        <v>42</v>
      </c>
      <c r="N219" t="s">
        <v>26</v>
      </c>
      <c r="O219" t="s">
        <v>27</v>
      </c>
      <c r="P219" s="1">
        <v>44800</v>
      </c>
      <c r="Q219">
        <f t="shared" si="15"/>
        <v>0</v>
      </c>
      <c r="R219">
        <f t="shared" si="16"/>
        <v>0</v>
      </c>
      <c r="S219">
        <f t="shared" si="17"/>
        <v>0</v>
      </c>
      <c r="T219" s="11">
        <f t="shared" si="18"/>
        <v>2020</v>
      </c>
      <c r="U219" s="11">
        <f t="shared" si="19"/>
        <v>26377</v>
      </c>
    </row>
    <row r="220" spans="1:21" x14ac:dyDescent="0.3">
      <c r="A220" t="s">
        <v>537</v>
      </c>
      <c r="B220">
        <v>2021</v>
      </c>
      <c r="C220" t="s">
        <v>17</v>
      </c>
      <c r="D220" t="s">
        <v>53</v>
      </c>
      <c r="E220">
        <v>4970</v>
      </c>
      <c r="F220" t="s">
        <v>189</v>
      </c>
      <c r="G220">
        <v>79500</v>
      </c>
      <c r="H220" t="s">
        <v>20</v>
      </c>
      <c r="I220" t="s">
        <v>39</v>
      </c>
      <c r="J220" t="s">
        <v>538</v>
      </c>
      <c r="K220" t="s">
        <v>23</v>
      </c>
      <c r="L220" t="s">
        <v>509</v>
      </c>
      <c r="N220" t="s">
        <v>26</v>
      </c>
      <c r="O220" t="s">
        <v>27</v>
      </c>
      <c r="P220" s="1">
        <v>44800</v>
      </c>
      <c r="Q220">
        <f t="shared" si="15"/>
        <v>0</v>
      </c>
      <c r="R220">
        <f t="shared" si="16"/>
        <v>0</v>
      </c>
      <c r="S220">
        <f t="shared" si="17"/>
        <v>1</v>
      </c>
      <c r="T220" s="11">
        <f t="shared" si="18"/>
        <v>2021</v>
      </c>
      <c r="U220" s="11">
        <f t="shared" si="19"/>
        <v>4970</v>
      </c>
    </row>
    <row r="221" spans="1:21" x14ac:dyDescent="0.3">
      <c r="A221" t="s">
        <v>539</v>
      </c>
      <c r="B221">
        <v>2019</v>
      </c>
      <c r="C221" t="s">
        <v>29</v>
      </c>
      <c r="D221" t="s">
        <v>32</v>
      </c>
      <c r="E221">
        <v>33731</v>
      </c>
      <c r="F221" t="s">
        <v>44</v>
      </c>
      <c r="G221">
        <v>95800</v>
      </c>
      <c r="H221" t="s">
        <v>53</v>
      </c>
      <c r="I221" t="s">
        <v>110</v>
      </c>
      <c r="J221" t="s">
        <v>136</v>
      </c>
      <c r="K221" t="s">
        <v>23</v>
      </c>
      <c r="L221" t="s">
        <v>292</v>
      </c>
      <c r="M221" t="s">
        <v>172</v>
      </c>
      <c r="N221" t="s">
        <v>173</v>
      </c>
      <c r="O221" t="s">
        <v>27</v>
      </c>
      <c r="P221" s="1">
        <v>44800</v>
      </c>
      <c r="Q221">
        <f t="shared" si="15"/>
        <v>0</v>
      </c>
      <c r="R221">
        <f t="shared" si="16"/>
        <v>1</v>
      </c>
      <c r="S221">
        <f t="shared" si="17"/>
        <v>0</v>
      </c>
      <c r="T221" s="11">
        <f t="shared" si="18"/>
        <v>2019</v>
      </c>
      <c r="U221" s="11">
        <f t="shared" si="19"/>
        <v>33731</v>
      </c>
    </row>
    <row r="222" spans="1:21" x14ac:dyDescent="0.3">
      <c r="A222" t="s">
        <v>540</v>
      </c>
      <c r="B222">
        <v>2019</v>
      </c>
      <c r="C222" t="s">
        <v>56</v>
      </c>
      <c r="D222" t="s">
        <v>93</v>
      </c>
      <c r="E222">
        <v>44428</v>
      </c>
      <c r="F222" t="s">
        <v>71</v>
      </c>
      <c r="G222">
        <v>53700</v>
      </c>
      <c r="H222" t="s">
        <v>20</v>
      </c>
      <c r="I222" t="s">
        <v>58</v>
      </c>
      <c r="J222" t="s">
        <v>541</v>
      </c>
      <c r="K222" t="s">
        <v>23</v>
      </c>
      <c r="N222" t="s">
        <v>127</v>
      </c>
      <c r="O222" t="s">
        <v>27</v>
      </c>
      <c r="P222" s="1">
        <v>44800</v>
      </c>
      <c r="Q222">
        <f t="shared" si="15"/>
        <v>0</v>
      </c>
      <c r="R222">
        <f t="shared" si="16"/>
        <v>0</v>
      </c>
      <c r="S222">
        <f t="shared" si="17"/>
        <v>0</v>
      </c>
      <c r="T222" s="11">
        <f t="shared" si="18"/>
        <v>2019</v>
      </c>
      <c r="U222" s="11">
        <f t="shared" si="19"/>
        <v>44428</v>
      </c>
    </row>
    <row r="223" spans="1:21" x14ac:dyDescent="0.3">
      <c r="A223" t="s">
        <v>542</v>
      </c>
      <c r="B223">
        <v>2019</v>
      </c>
      <c r="C223" t="s">
        <v>56</v>
      </c>
      <c r="D223" t="s">
        <v>53</v>
      </c>
      <c r="E223">
        <v>34373</v>
      </c>
      <c r="F223" t="s">
        <v>65</v>
      </c>
      <c r="G223">
        <v>44400</v>
      </c>
      <c r="H223" t="s">
        <v>20</v>
      </c>
      <c r="I223" t="s">
        <v>58</v>
      </c>
      <c r="J223" t="s">
        <v>66</v>
      </c>
      <c r="K223" t="s">
        <v>23</v>
      </c>
      <c r="L223" t="s">
        <v>543</v>
      </c>
      <c r="M223" t="s">
        <v>544</v>
      </c>
      <c r="N223" t="s">
        <v>545</v>
      </c>
      <c r="O223" t="s">
        <v>27</v>
      </c>
      <c r="P223" s="1">
        <v>44800</v>
      </c>
      <c r="Q223">
        <f t="shared" si="15"/>
        <v>0</v>
      </c>
      <c r="R223">
        <f t="shared" si="16"/>
        <v>0</v>
      </c>
      <c r="S223">
        <f t="shared" si="17"/>
        <v>0</v>
      </c>
      <c r="T223" s="11">
        <f t="shared" si="18"/>
        <v>2019</v>
      </c>
      <c r="U223" s="11">
        <f t="shared" si="19"/>
        <v>34373</v>
      </c>
    </row>
    <row r="224" spans="1:21" x14ac:dyDescent="0.3">
      <c r="A224" t="s">
        <v>546</v>
      </c>
      <c r="B224">
        <v>2020</v>
      </c>
      <c r="C224" t="s">
        <v>29</v>
      </c>
      <c r="D224" t="s">
        <v>53</v>
      </c>
      <c r="E224">
        <v>10376</v>
      </c>
      <c r="F224" t="s">
        <v>31</v>
      </c>
      <c r="G224">
        <v>115200</v>
      </c>
      <c r="H224" t="s">
        <v>45</v>
      </c>
      <c r="I224" t="s">
        <v>110</v>
      </c>
      <c r="J224" t="s">
        <v>547</v>
      </c>
      <c r="K224" t="s">
        <v>23</v>
      </c>
      <c r="L224" t="s">
        <v>494</v>
      </c>
      <c r="M224" t="s">
        <v>113</v>
      </c>
      <c r="N224" t="s">
        <v>114</v>
      </c>
      <c r="O224" t="s">
        <v>27</v>
      </c>
      <c r="P224" s="1">
        <v>44800</v>
      </c>
      <c r="Q224">
        <f t="shared" si="15"/>
        <v>0</v>
      </c>
      <c r="R224">
        <f t="shared" si="16"/>
        <v>1</v>
      </c>
      <c r="S224">
        <f t="shared" si="17"/>
        <v>0</v>
      </c>
      <c r="T224" s="11">
        <f t="shared" si="18"/>
        <v>2020</v>
      </c>
      <c r="U224" s="11">
        <f t="shared" si="19"/>
        <v>10376</v>
      </c>
    </row>
    <row r="225" spans="1:21" x14ac:dyDescent="0.3">
      <c r="A225" t="s">
        <v>548</v>
      </c>
      <c r="B225">
        <v>2020</v>
      </c>
      <c r="C225" t="s">
        <v>17</v>
      </c>
      <c r="D225" t="s">
        <v>32</v>
      </c>
      <c r="E225">
        <v>26517</v>
      </c>
      <c r="F225" t="s">
        <v>207</v>
      </c>
      <c r="G225">
        <v>72800</v>
      </c>
      <c r="H225" t="s">
        <v>20</v>
      </c>
      <c r="I225" t="s">
        <v>21</v>
      </c>
      <c r="J225" t="s">
        <v>506</v>
      </c>
      <c r="K225" t="s">
        <v>23</v>
      </c>
      <c r="L225" t="s">
        <v>494</v>
      </c>
      <c r="M225" t="s">
        <v>113</v>
      </c>
      <c r="N225" t="s">
        <v>114</v>
      </c>
      <c r="O225" t="s">
        <v>27</v>
      </c>
      <c r="P225" s="1">
        <v>44800</v>
      </c>
      <c r="Q225">
        <f t="shared" si="15"/>
        <v>0</v>
      </c>
      <c r="R225">
        <f t="shared" si="16"/>
        <v>0</v>
      </c>
      <c r="S225">
        <f t="shared" si="17"/>
        <v>1</v>
      </c>
      <c r="T225" s="11">
        <f t="shared" si="18"/>
        <v>2020</v>
      </c>
      <c r="U225" s="11">
        <f t="shared" si="19"/>
        <v>26517</v>
      </c>
    </row>
    <row r="226" spans="1:21" x14ac:dyDescent="0.3">
      <c r="A226" t="s">
        <v>549</v>
      </c>
      <c r="B226">
        <v>2019</v>
      </c>
      <c r="C226" t="s">
        <v>37</v>
      </c>
      <c r="D226" t="s">
        <v>51</v>
      </c>
      <c r="E226">
        <v>23220</v>
      </c>
      <c r="F226" t="s">
        <v>52</v>
      </c>
      <c r="G226">
        <v>81800</v>
      </c>
      <c r="H226" t="s">
        <v>53</v>
      </c>
      <c r="I226" t="s">
        <v>78</v>
      </c>
      <c r="J226" t="s">
        <v>550</v>
      </c>
      <c r="K226" t="s">
        <v>23</v>
      </c>
      <c r="L226" t="s">
        <v>95</v>
      </c>
      <c r="M226" t="s">
        <v>96</v>
      </c>
      <c r="N226" t="s">
        <v>89</v>
      </c>
      <c r="O226" t="s">
        <v>27</v>
      </c>
      <c r="P226" s="1">
        <v>44800</v>
      </c>
      <c r="Q226">
        <f t="shared" si="15"/>
        <v>1</v>
      </c>
      <c r="R226">
        <f t="shared" si="16"/>
        <v>0</v>
      </c>
      <c r="S226">
        <f t="shared" si="17"/>
        <v>0</v>
      </c>
      <c r="T226" s="11">
        <f t="shared" si="18"/>
        <v>2019</v>
      </c>
      <c r="U226" s="11">
        <f t="shared" si="19"/>
        <v>23220</v>
      </c>
    </row>
    <row r="227" spans="1:21" x14ac:dyDescent="0.3">
      <c r="A227" t="s">
        <v>551</v>
      </c>
      <c r="B227">
        <v>2021</v>
      </c>
      <c r="C227" t="s">
        <v>37</v>
      </c>
      <c r="D227" t="s">
        <v>53</v>
      </c>
      <c r="E227">
        <v>9191</v>
      </c>
      <c r="F227" t="s">
        <v>131</v>
      </c>
      <c r="G227">
        <v>116200</v>
      </c>
      <c r="H227" t="s">
        <v>53</v>
      </c>
      <c r="I227" t="s">
        <v>39</v>
      </c>
      <c r="J227" t="s">
        <v>552</v>
      </c>
      <c r="K227" t="s">
        <v>23</v>
      </c>
      <c r="L227" t="s">
        <v>87</v>
      </c>
      <c r="M227" t="s">
        <v>88</v>
      </c>
      <c r="N227" t="s">
        <v>89</v>
      </c>
      <c r="O227" t="s">
        <v>27</v>
      </c>
      <c r="P227" s="1">
        <v>44800</v>
      </c>
      <c r="Q227">
        <f t="shared" si="15"/>
        <v>1</v>
      </c>
      <c r="R227">
        <f t="shared" si="16"/>
        <v>0</v>
      </c>
      <c r="S227">
        <f t="shared" si="17"/>
        <v>0</v>
      </c>
      <c r="T227" s="11">
        <f t="shared" si="18"/>
        <v>2021</v>
      </c>
      <c r="U227" s="11">
        <f t="shared" si="19"/>
        <v>9191</v>
      </c>
    </row>
    <row r="228" spans="1:21" x14ac:dyDescent="0.3">
      <c r="A228" t="s">
        <v>553</v>
      </c>
      <c r="B228">
        <v>2019</v>
      </c>
      <c r="C228" t="s">
        <v>56</v>
      </c>
      <c r="D228" t="s">
        <v>93</v>
      </c>
      <c r="E228">
        <v>19538</v>
      </c>
      <c r="F228" t="s">
        <v>65</v>
      </c>
      <c r="G228">
        <v>48100</v>
      </c>
      <c r="H228" t="s">
        <v>20</v>
      </c>
      <c r="I228" t="s">
        <v>58</v>
      </c>
      <c r="J228" t="s">
        <v>294</v>
      </c>
      <c r="K228" t="s">
        <v>23</v>
      </c>
      <c r="L228" t="s">
        <v>87</v>
      </c>
      <c r="M228" t="s">
        <v>88</v>
      </c>
      <c r="N228" t="s">
        <v>89</v>
      </c>
      <c r="O228" t="s">
        <v>27</v>
      </c>
      <c r="P228" s="1">
        <v>44800</v>
      </c>
      <c r="Q228">
        <f t="shared" si="15"/>
        <v>0</v>
      </c>
      <c r="R228">
        <f t="shared" si="16"/>
        <v>0</v>
      </c>
      <c r="S228">
        <f t="shared" si="17"/>
        <v>0</v>
      </c>
      <c r="T228" s="11">
        <f t="shared" si="18"/>
        <v>2019</v>
      </c>
      <c r="U228" s="11">
        <f t="shared" si="19"/>
        <v>19538</v>
      </c>
    </row>
    <row r="229" spans="1:21" x14ac:dyDescent="0.3">
      <c r="A229" t="s">
        <v>554</v>
      </c>
      <c r="B229">
        <v>2019</v>
      </c>
      <c r="C229" t="s">
        <v>56</v>
      </c>
      <c r="D229" t="s">
        <v>93</v>
      </c>
      <c r="E229">
        <v>32937</v>
      </c>
      <c r="F229" t="s">
        <v>71</v>
      </c>
      <c r="G229">
        <v>58200</v>
      </c>
      <c r="H229" t="s">
        <v>77</v>
      </c>
      <c r="I229" t="s">
        <v>21</v>
      </c>
      <c r="J229" t="s">
        <v>555</v>
      </c>
      <c r="K229" t="s">
        <v>23</v>
      </c>
      <c r="L229" t="s">
        <v>95</v>
      </c>
      <c r="M229" t="s">
        <v>96</v>
      </c>
      <c r="N229" t="s">
        <v>89</v>
      </c>
      <c r="O229" t="s">
        <v>27</v>
      </c>
      <c r="P229" s="1">
        <v>44800</v>
      </c>
      <c r="Q229">
        <f t="shared" si="15"/>
        <v>0</v>
      </c>
      <c r="R229">
        <f t="shared" si="16"/>
        <v>0</v>
      </c>
      <c r="S229">
        <f t="shared" si="17"/>
        <v>0</v>
      </c>
      <c r="T229" s="11">
        <f t="shared" si="18"/>
        <v>2019</v>
      </c>
      <c r="U229" s="11">
        <f t="shared" si="19"/>
        <v>32937</v>
      </c>
    </row>
    <row r="230" spans="1:21" x14ac:dyDescent="0.3">
      <c r="A230" t="s">
        <v>556</v>
      </c>
      <c r="B230">
        <v>2021</v>
      </c>
      <c r="C230" t="s">
        <v>37</v>
      </c>
      <c r="D230" t="s">
        <v>51</v>
      </c>
      <c r="E230">
        <v>16193</v>
      </c>
      <c r="F230" t="s">
        <v>211</v>
      </c>
      <c r="G230">
        <v>104700</v>
      </c>
      <c r="H230" t="s">
        <v>53</v>
      </c>
      <c r="I230" t="s">
        <v>39</v>
      </c>
      <c r="J230" t="s">
        <v>557</v>
      </c>
      <c r="K230" t="s">
        <v>23</v>
      </c>
      <c r="L230" t="s">
        <v>371</v>
      </c>
      <c r="M230" t="s">
        <v>48</v>
      </c>
      <c r="N230" t="s">
        <v>49</v>
      </c>
      <c r="O230" t="s">
        <v>27</v>
      </c>
      <c r="P230" s="1">
        <v>44800</v>
      </c>
      <c r="Q230">
        <f t="shared" si="15"/>
        <v>1</v>
      </c>
      <c r="R230">
        <f t="shared" si="16"/>
        <v>0</v>
      </c>
      <c r="S230">
        <f t="shared" si="17"/>
        <v>0</v>
      </c>
      <c r="T230" s="11">
        <f t="shared" si="18"/>
        <v>2021</v>
      </c>
      <c r="U230" s="11">
        <f t="shared" si="19"/>
        <v>16193</v>
      </c>
    </row>
    <row r="231" spans="1:21" x14ac:dyDescent="0.3">
      <c r="A231" t="s">
        <v>558</v>
      </c>
      <c r="B231">
        <v>2021</v>
      </c>
      <c r="C231" t="s">
        <v>37</v>
      </c>
      <c r="D231" t="s">
        <v>53</v>
      </c>
      <c r="E231">
        <v>3947</v>
      </c>
      <c r="F231" t="s">
        <v>211</v>
      </c>
      <c r="G231">
        <v>113300</v>
      </c>
      <c r="H231" t="s">
        <v>53</v>
      </c>
      <c r="I231" t="s">
        <v>39</v>
      </c>
      <c r="J231" t="s">
        <v>552</v>
      </c>
      <c r="K231" t="s">
        <v>23</v>
      </c>
      <c r="L231" t="s">
        <v>60</v>
      </c>
      <c r="M231" t="s">
        <v>48</v>
      </c>
      <c r="N231" t="s">
        <v>49</v>
      </c>
      <c r="O231" t="s">
        <v>27</v>
      </c>
      <c r="P231" s="1">
        <v>44800</v>
      </c>
      <c r="Q231">
        <f t="shared" si="15"/>
        <v>1</v>
      </c>
      <c r="R231">
        <f t="shared" si="16"/>
        <v>0</v>
      </c>
      <c r="S231">
        <f t="shared" si="17"/>
        <v>0</v>
      </c>
      <c r="T231" s="11">
        <f t="shared" si="18"/>
        <v>2021</v>
      </c>
      <c r="U231" s="11">
        <f t="shared" si="19"/>
        <v>3947</v>
      </c>
    </row>
    <row r="232" spans="1:21" x14ac:dyDescent="0.3">
      <c r="A232" t="s">
        <v>559</v>
      </c>
      <c r="B232">
        <v>2021</v>
      </c>
      <c r="C232" t="s">
        <v>37</v>
      </c>
      <c r="D232" t="s">
        <v>30</v>
      </c>
      <c r="E232">
        <v>5443</v>
      </c>
      <c r="F232" t="s">
        <v>131</v>
      </c>
      <c r="G232">
        <v>121100</v>
      </c>
      <c r="H232" t="s">
        <v>53</v>
      </c>
      <c r="I232" t="s">
        <v>39</v>
      </c>
      <c r="J232" t="s">
        <v>560</v>
      </c>
      <c r="K232" t="s">
        <v>23</v>
      </c>
      <c r="L232" t="s">
        <v>34</v>
      </c>
      <c r="N232" t="s">
        <v>35</v>
      </c>
      <c r="O232" t="s">
        <v>27</v>
      </c>
      <c r="P232" s="1">
        <v>44800</v>
      </c>
      <c r="Q232">
        <f t="shared" si="15"/>
        <v>1</v>
      </c>
      <c r="R232">
        <f t="shared" si="16"/>
        <v>0</v>
      </c>
      <c r="S232">
        <f t="shared" si="17"/>
        <v>0</v>
      </c>
      <c r="T232" s="11">
        <f t="shared" si="18"/>
        <v>2021</v>
      </c>
      <c r="U232" s="11">
        <f t="shared" si="19"/>
        <v>5443</v>
      </c>
    </row>
    <row r="233" spans="1:21" x14ac:dyDescent="0.3">
      <c r="A233" t="s">
        <v>561</v>
      </c>
      <c r="B233">
        <v>2019</v>
      </c>
      <c r="C233" t="s">
        <v>56</v>
      </c>
      <c r="D233" t="s">
        <v>93</v>
      </c>
      <c r="E233">
        <v>33049</v>
      </c>
      <c r="F233" t="s">
        <v>65</v>
      </c>
      <c r="G233">
        <v>47000</v>
      </c>
      <c r="H233" t="s">
        <v>20</v>
      </c>
      <c r="I233" t="s">
        <v>78</v>
      </c>
      <c r="J233" t="s">
        <v>536</v>
      </c>
      <c r="K233" t="s">
        <v>23</v>
      </c>
      <c r="L233" t="s">
        <v>34</v>
      </c>
      <c r="N233" t="s">
        <v>35</v>
      </c>
      <c r="O233" t="s">
        <v>27</v>
      </c>
      <c r="P233" s="1">
        <v>44800</v>
      </c>
      <c r="Q233">
        <f t="shared" si="15"/>
        <v>0</v>
      </c>
      <c r="R233">
        <f t="shared" si="16"/>
        <v>0</v>
      </c>
      <c r="S233">
        <f t="shared" si="17"/>
        <v>0</v>
      </c>
      <c r="T233" s="11">
        <f t="shared" si="18"/>
        <v>2019</v>
      </c>
      <c r="U233" s="11">
        <f t="shared" si="19"/>
        <v>33049</v>
      </c>
    </row>
    <row r="234" spans="1:21" x14ac:dyDescent="0.3">
      <c r="A234" t="s">
        <v>562</v>
      </c>
      <c r="B234">
        <v>2020</v>
      </c>
      <c r="C234" t="s">
        <v>56</v>
      </c>
      <c r="D234" t="s">
        <v>32</v>
      </c>
      <c r="E234">
        <v>17828</v>
      </c>
      <c r="F234" t="s">
        <v>71</v>
      </c>
      <c r="G234">
        <v>61200</v>
      </c>
      <c r="H234" t="s">
        <v>20</v>
      </c>
      <c r="I234" t="s">
        <v>21</v>
      </c>
      <c r="J234" t="s">
        <v>449</v>
      </c>
      <c r="K234" t="s">
        <v>23</v>
      </c>
      <c r="L234" t="s">
        <v>425</v>
      </c>
      <c r="M234" t="s">
        <v>426</v>
      </c>
      <c r="N234" t="s">
        <v>427</v>
      </c>
      <c r="O234" t="s">
        <v>27</v>
      </c>
      <c r="P234" s="1">
        <v>44800</v>
      </c>
      <c r="Q234">
        <f t="shared" si="15"/>
        <v>0</v>
      </c>
      <c r="R234">
        <f t="shared" si="16"/>
        <v>0</v>
      </c>
      <c r="S234">
        <f t="shared" si="17"/>
        <v>0</v>
      </c>
      <c r="T234" s="11">
        <f t="shared" si="18"/>
        <v>2020</v>
      </c>
      <c r="U234" s="11">
        <f t="shared" si="19"/>
        <v>17828</v>
      </c>
    </row>
    <row r="235" spans="1:21" x14ac:dyDescent="0.3">
      <c r="A235" t="s">
        <v>563</v>
      </c>
      <c r="B235">
        <v>2020</v>
      </c>
      <c r="C235" t="s">
        <v>56</v>
      </c>
      <c r="D235" t="s">
        <v>53</v>
      </c>
      <c r="E235">
        <v>16171</v>
      </c>
      <c r="F235" t="s">
        <v>57</v>
      </c>
      <c r="G235">
        <v>65200</v>
      </c>
      <c r="H235" t="s">
        <v>20</v>
      </c>
      <c r="I235" t="s">
        <v>78</v>
      </c>
      <c r="J235" t="s">
        <v>564</v>
      </c>
      <c r="K235" t="s">
        <v>23</v>
      </c>
      <c r="L235" t="s">
        <v>67</v>
      </c>
      <c r="M235" t="s">
        <v>68</v>
      </c>
      <c r="N235" t="s">
        <v>69</v>
      </c>
      <c r="O235" t="s">
        <v>27</v>
      </c>
      <c r="P235" s="1">
        <v>44800</v>
      </c>
      <c r="Q235">
        <f t="shared" si="15"/>
        <v>0</v>
      </c>
      <c r="R235">
        <f t="shared" si="16"/>
        <v>0</v>
      </c>
      <c r="S235">
        <f t="shared" si="17"/>
        <v>0</v>
      </c>
      <c r="T235" s="11">
        <f t="shared" si="18"/>
        <v>2020</v>
      </c>
      <c r="U235" s="11">
        <f t="shared" si="19"/>
        <v>16171</v>
      </c>
    </row>
    <row r="236" spans="1:21" x14ac:dyDescent="0.3">
      <c r="A236" t="s">
        <v>565</v>
      </c>
      <c r="B236">
        <v>2018</v>
      </c>
      <c r="C236" t="s">
        <v>29</v>
      </c>
      <c r="D236" t="s">
        <v>32</v>
      </c>
      <c r="E236">
        <v>63929</v>
      </c>
      <c r="F236" t="s">
        <v>104</v>
      </c>
      <c r="G236">
        <v>72700</v>
      </c>
      <c r="H236" t="s">
        <v>53</v>
      </c>
      <c r="I236" t="s">
        <v>21</v>
      </c>
      <c r="J236" t="s">
        <v>566</v>
      </c>
      <c r="K236" t="s">
        <v>23</v>
      </c>
      <c r="L236" t="s">
        <v>84</v>
      </c>
      <c r="M236" t="s">
        <v>48</v>
      </c>
      <c r="N236" t="s">
        <v>69</v>
      </c>
      <c r="O236" t="s">
        <v>27</v>
      </c>
      <c r="P236" s="1">
        <v>44800</v>
      </c>
      <c r="Q236">
        <f t="shared" si="15"/>
        <v>0</v>
      </c>
      <c r="R236">
        <f t="shared" si="16"/>
        <v>1</v>
      </c>
      <c r="S236">
        <f t="shared" si="17"/>
        <v>0</v>
      </c>
      <c r="T236" s="11">
        <f t="shared" si="18"/>
        <v>2018</v>
      </c>
      <c r="U236" s="11">
        <f t="shared" si="19"/>
        <v>63929</v>
      </c>
    </row>
    <row r="237" spans="1:21" x14ac:dyDescent="0.3">
      <c r="A237" t="s">
        <v>567</v>
      </c>
      <c r="B237">
        <v>2018</v>
      </c>
      <c r="C237" t="s">
        <v>56</v>
      </c>
      <c r="D237" t="s">
        <v>76</v>
      </c>
      <c r="E237">
        <v>52797</v>
      </c>
      <c r="F237" t="s">
        <v>57</v>
      </c>
      <c r="G237">
        <v>51900</v>
      </c>
      <c r="H237" t="s">
        <v>20</v>
      </c>
      <c r="I237" t="s">
        <v>78</v>
      </c>
      <c r="J237" t="s">
        <v>347</v>
      </c>
      <c r="K237" t="s">
        <v>23</v>
      </c>
      <c r="L237" t="s">
        <v>363</v>
      </c>
      <c r="M237" t="s">
        <v>364</v>
      </c>
      <c r="N237" t="s">
        <v>245</v>
      </c>
      <c r="O237" t="s">
        <v>27</v>
      </c>
      <c r="P237" s="1">
        <v>44800</v>
      </c>
      <c r="Q237">
        <f t="shared" si="15"/>
        <v>0</v>
      </c>
      <c r="R237">
        <f t="shared" si="16"/>
        <v>0</v>
      </c>
      <c r="S237">
        <f t="shared" si="17"/>
        <v>0</v>
      </c>
      <c r="T237" s="11">
        <f t="shared" si="18"/>
        <v>2018</v>
      </c>
      <c r="U237" s="11">
        <f t="shared" si="19"/>
        <v>52797</v>
      </c>
    </row>
    <row r="238" spans="1:21" x14ac:dyDescent="0.3">
      <c r="A238" t="s">
        <v>568</v>
      </c>
      <c r="B238">
        <v>2022</v>
      </c>
      <c r="C238" t="s">
        <v>17</v>
      </c>
      <c r="D238" t="s">
        <v>53</v>
      </c>
      <c r="E238">
        <v>2587</v>
      </c>
      <c r="F238" t="s">
        <v>189</v>
      </c>
      <c r="G238">
        <v>81100</v>
      </c>
      <c r="H238" t="s">
        <v>77</v>
      </c>
      <c r="I238" t="s">
        <v>39</v>
      </c>
      <c r="J238" t="s">
        <v>273</v>
      </c>
      <c r="K238" t="s">
        <v>23</v>
      </c>
      <c r="L238" t="s">
        <v>243</v>
      </c>
      <c r="M238" t="s">
        <v>244</v>
      </c>
      <c r="N238" t="s">
        <v>245</v>
      </c>
      <c r="O238" t="s">
        <v>27</v>
      </c>
      <c r="P238" s="1">
        <v>44800</v>
      </c>
      <c r="Q238">
        <f t="shared" si="15"/>
        <v>0</v>
      </c>
      <c r="R238">
        <f t="shared" si="16"/>
        <v>0</v>
      </c>
      <c r="S238">
        <f t="shared" si="17"/>
        <v>1</v>
      </c>
      <c r="T238" s="11">
        <f t="shared" si="18"/>
        <v>2022</v>
      </c>
      <c r="U238" s="11">
        <f t="shared" si="19"/>
        <v>2587</v>
      </c>
    </row>
    <row r="239" spans="1:21" x14ac:dyDescent="0.3">
      <c r="A239" t="s">
        <v>569</v>
      </c>
      <c r="B239">
        <v>2021</v>
      </c>
      <c r="C239" t="s">
        <v>17</v>
      </c>
      <c r="D239" t="s">
        <v>76</v>
      </c>
      <c r="E239">
        <v>17991</v>
      </c>
      <c r="F239" t="s">
        <v>207</v>
      </c>
      <c r="G239">
        <v>75800</v>
      </c>
      <c r="H239" t="s">
        <v>20</v>
      </c>
      <c r="I239" t="s">
        <v>21</v>
      </c>
      <c r="J239" t="s">
        <v>570</v>
      </c>
      <c r="K239" t="s">
        <v>23</v>
      </c>
      <c r="L239" t="s">
        <v>342</v>
      </c>
      <c r="M239" t="s">
        <v>244</v>
      </c>
      <c r="N239" t="s">
        <v>245</v>
      </c>
      <c r="O239" t="s">
        <v>27</v>
      </c>
      <c r="P239" s="1">
        <v>44800</v>
      </c>
      <c r="Q239">
        <f t="shared" si="15"/>
        <v>0</v>
      </c>
      <c r="R239">
        <f t="shared" si="16"/>
        <v>0</v>
      </c>
      <c r="S239">
        <f t="shared" si="17"/>
        <v>1</v>
      </c>
      <c r="T239" s="11">
        <f t="shared" si="18"/>
        <v>2021</v>
      </c>
      <c r="U239" s="11">
        <f t="shared" si="19"/>
        <v>17991</v>
      </c>
    </row>
    <row r="240" spans="1:21" x14ac:dyDescent="0.3">
      <c r="A240" t="s">
        <v>571</v>
      </c>
      <c r="B240">
        <v>2021</v>
      </c>
      <c r="C240" t="s">
        <v>17</v>
      </c>
      <c r="D240" t="s">
        <v>53</v>
      </c>
      <c r="E240">
        <v>10523</v>
      </c>
      <c r="F240" t="s">
        <v>161</v>
      </c>
      <c r="G240">
        <v>61900</v>
      </c>
      <c r="H240" t="s">
        <v>77</v>
      </c>
      <c r="I240" t="s">
        <v>78</v>
      </c>
      <c r="J240" t="s">
        <v>572</v>
      </c>
      <c r="K240" t="s">
        <v>23</v>
      </c>
      <c r="L240" t="s">
        <v>367</v>
      </c>
      <c r="M240" t="s">
        <v>244</v>
      </c>
      <c r="N240" t="s">
        <v>245</v>
      </c>
      <c r="O240" t="s">
        <v>27</v>
      </c>
      <c r="P240" s="1">
        <v>44800</v>
      </c>
      <c r="Q240">
        <f t="shared" si="15"/>
        <v>0</v>
      </c>
      <c r="R240">
        <f t="shared" si="16"/>
        <v>0</v>
      </c>
      <c r="S240">
        <f t="shared" si="17"/>
        <v>1</v>
      </c>
      <c r="T240" s="11">
        <f t="shared" si="18"/>
        <v>2021</v>
      </c>
      <c r="U240" s="11">
        <f t="shared" si="19"/>
        <v>10523</v>
      </c>
    </row>
    <row r="241" spans="1:21" x14ac:dyDescent="0.3">
      <c r="A241" t="s">
        <v>573</v>
      </c>
      <c r="B241">
        <v>2021</v>
      </c>
      <c r="C241" t="s">
        <v>56</v>
      </c>
      <c r="D241" t="s">
        <v>32</v>
      </c>
      <c r="E241">
        <v>7060</v>
      </c>
      <c r="F241" t="s">
        <v>143</v>
      </c>
      <c r="G241">
        <v>70200</v>
      </c>
      <c r="H241" t="s">
        <v>20</v>
      </c>
      <c r="J241" t="s">
        <v>324</v>
      </c>
      <c r="K241" t="s">
        <v>23</v>
      </c>
      <c r="L241" t="s">
        <v>243</v>
      </c>
      <c r="M241" t="s">
        <v>244</v>
      </c>
      <c r="N241" t="s">
        <v>245</v>
      </c>
      <c r="O241" t="s">
        <v>27</v>
      </c>
      <c r="P241" s="1">
        <v>44800</v>
      </c>
      <c r="Q241">
        <f t="shared" si="15"/>
        <v>0</v>
      </c>
      <c r="R241">
        <f t="shared" si="16"/>
        <v>0</v>
      </c>
      <c r="S241">
        <f t="shared" si="17"/>
        <v>0</v>
      </c>
      <c r="T241" s="11">
        <f t="shared" si="18"/>
        <v>2021</v>
      </c>
      <c r="U241" s="11">
        <f t="shared" si="19"/>
        <v>7060</v>
      </c>
    </row>
    <row r="242" spans="1:21" x14ac:dyDescent="0.3">
      <c r="A242" t="s">
        <v>574</v>
      </c>
      <c r="B242">
        <v>2019</v>
      </c>
      <c r="C242" t="s">
        <v>56</v>
      </c>
      <c r="D242" t="s">
        <v>32</v>
      </c>
      <c r="E242">
        <v>32658</v>
      </c>
      <c r="F242" t="s">
        <v>71</v>
      </c>
      <c r="G242">
        <v>55800</v>
      </c>
      <c r="H242" t="s">
        <v>20</v>
      </c>
      <c r="I242" t="s">
        <v>21</v>
      </c>
      <c r="J242" t="s">
        <v>72</v>
      </c>
      <c r="K242" t="s">
        <v>23</v>
      </c>
      <c r="L242" t="s">
        <v>363</v>
      </c>
      <c r="M242" t="s">
        <v>364</v>
      </c>
      <c r="N242" t="s">
        <v>245</v>
      </c>
      <c r="O242" t="s">
        <v>27</v>
      </c>
      <c r="P242" s="1">
        <v>44800</v>
      </c>
      <c r="Q242">
        <f t="shared" si="15"/>
        <v>0</v>
      </c>
      <c r="R242">
        <f t="shared" si="16"/>
        <v>0</v>
      </c>
      <c r="S242">
        <f t="shared" si="17"/>
        <v>0</v>
      </c>
      <c r="T242" s="11">
        <f t="shared" si="18"/>
        <v>2019</v>
      </c>
      <c r="U242" s="11">
        <f t="shared" si="19"/>
        <v>32658</v>
      </c>
    </row>
    <row r="243" spans="1:21" x14ac:dyDescent="0.3">
      <c r="A243" t="s">
        <v>575</v>
      </c>
      <c r="B243">
        <v>2019</v>
      </c>
      <c r="C243" t="s">
        <v>56</v>
      </c>
      <c r="D243" t="s">
        <v>32</v>
      </c>
      <c r="E243">
        <v>45958</v>
      </c>
      <c r="F243" t="s">
        <v>65</v>
      </c>
      <c r="G243">
        <v>45200</v>
      </c>
      <c r="H243" t="s">
        <v>20</v>
      </c>
      <c r="I243" t="s">
        <v>58</v>
      </c>
      <c r="J243" t="s">
        <v>192</v>
      </c>
      <c r="K243" t="s">
        <v>23</v>
      </c>
      <c r="L243" t="s">
        <v>67</v>
      </c>
      <c r="M243" t="s">
        <v>68</v>
      </c>
      <c r="N243" t="s">
        <v>69</v>
      </c>
      <c r="O243" t="s">
        <v>27</v>
      </c>
      <c r="P243" s="1">
        <v>44800</v>
      </c>
      <c r="Q243">
        <f t="shared" si="15"/>
        <v>0</v>
      </c>
      <c r="R243">
        <f t="shared" si="16"/>
        <v>0</v>
      </c>
      <c r="S243">
        <f t="shared" si="17"/>
        <v>0</v>
      </c>
      <c r="T243" s="11">
        <f t="shared" si="18"/>
        <v>2019</v>
      </c>
      <c r="U243" s="11">
        <f t="shared" si="19"/>
        <v>45958</v>
      </c>
    </row>
    <row r="244" spans="1:21" x14ac:dyDescent="0.3">
      <c r="A244" t="s">
        <v>576</v>
      </c>
      <c r="B244">
        <v>2018</v>
      </c>
      <c r="C244" t="s">
        <v>37</v>
      </c>
      <c r="D244" t="s">
        <v>51</v>
      </c>
      <c r="E244">
        <v>24752</v>
      </c>
      <c r="F244" t="s">
        <v>104</v>
      </c>
      <c r="G244">
        <v>67600</v>
      </c>
      <c r="H244" t="s">
        <v>45</v>
      </c>
      <c r="I244" t="s">
        <v>78</v>
      </c>
      <c r="J244" t="s">
        <v>577</v>
      </c>
      <c r="K244" t="s">
        <v>23</v>
      </c>
      <c r="L244" t="s">
        <v>84</v>
      </c>
      <c r="M244" t="s">
        <v>48</v>
      </c>
      <c r="N244" t="s">
        <v>69</v>
      </c>
      <c r="O244" t="s">
        <v>27</v>
      </c>
      <c r="P244" s="1">
        <v>44800</v>
      </c>
      <c r="Q244">
        <f t="shared" si="15"/>
        <v>1</v>
      </c>
      <c r="R244">
        <f t="shared" si="16"/>
        <v>0</v>
      </c>
      <c r="S244">
        <f t="shared" si="17"/>
        <v>0</v>
      </c>
      <c r="T244" s="11">
        <f t="shared" si="18"/>
        <v>2018</v>
      </c>
      <c r="U244" s="11">
        <f t="shared" si="19"/>
        <v>24752</v>
      </c>
    </row>
    <row r="245" spans="1:21" x14ac:dyDescent="0.3">
      <c r="A245" t="s">
        <v>578</v>
      </c>
      <c r="B245">
        <v>2019</v>
      </c>
      <c r="C245" t="s">
        <v>56</v>
      </c>
      <c r="D245" t="s">
        <v>53</v>
      </c>
      <c r="E245">
        <v>32773</v>
      </c>
      <c r="F245" t="s">
        <v>71</v>
      </c>
      <c r="G245">
        <v>55800</v>
      </c>
      <c r="H245" t="s">
        <v>20</v>
      </c>
      <c r="I245" t="s">
        <v>58</v>
      </c>
      <c r="J245" t="s">
        <v>579</v>
      </c>
      <c r="K245" t="s">
        <v>23</v>
      </c>
      <c r="L245" t="s">
        <v>580</v>
      </c>
      <c r="M245" t="s">
        <v>581</v>
      </c>
      <c r="N245" t="s">
        <v>582</v>
      </c>
      <c r="O245" t="s">
        <v>27</v>
      </c>
      <c r="P245" s="1">
        <v>44800</v>
      </c>
      <c r="Q245">
        <f t="shared" si="15"/>
        <v>0</v>
      </c>
      <c r="R245">
        <f t="shared" si="16"/>
        <v>0</v>
      </c>
      <c r="S245">
        <f t="shared" si="17"/>
        <v>0</v>
      </c>
      <c r="T245" s="11">
        <f t="shared" si="18"/>
        <v>2019</v>
      </c>
      <c r="U245" s="11">
        <f t="shared" si="19"/>
        <v>32773</v>
      </c>
    </row>
    <row r="246" spans="1:21" x14ac:dyDescent="0.3">
      <c r="A246" t="s">
        <v>583</v>
      </c>
      <c r="B246">
        <v>2019</v>
      </c>
      <c r="C246" t="s">
        <v>56</v>
      </c>
      <c r="D246" t="s">
        <v>32</v>
      </c>
      <c r="E246">
        <v>26851</v>
      </c>
      <c r="F246" t="s">
        <v>71</v>
      </c>
      <c r="G246">
        <v>54500</v>
      </c>
      <c r="H246" t="s">
        <v>20</v>
      </c>
      <c r="I246" t="s">
        <v>21</v>
      </c>
      <c r="J246" t="s">
        <v>72</v>
      </c>
      <c r="K246" t="s">
        <v>23</v>
      </c>
      <c r="L246" t="s">
        <v>345</v>
      </c>
      <c r="M246" t="s">
        <v>48</v>
      </c>
      <c r="N246" t="s">
        <v>69</v>
      </c>
      <c r="O246" t="s">
        <v>27</v>
      </c>
      <c r="P246" s="1">
        <v>44799</v>
      </c>
      <c r="Q246">
        <f t="shared" si="15"/>
        <v>0</v>
      </c>
      <c r="R246">
        <f t="shared" si="16"/>
        <v>0</v>
      </c>
      <c r="S246">
        <f t="shared" si="17"/>
        <v>0</v>
      </c>
      <c r="T246" s="11">
        <f t="shared" si="18"/>
        <v>2019</v>
      </c>
      <c r="U246" s="11">
        <f t="shared" si="19"/>
        <v>26851</v>
      </c>
    </row>
    <row r="247" spans="1:21" x14ac:dyDescent="0.3">
      <c r="A247" t="s">
        <v>584</v>
      </c>
      <c r="B247">
        <v>2018</v>
      </c>
      <c r="C247" t="s">
        <v>56</v>
      </c>
      <c r="D247" t="s">
        <v>76</v>
      </c>
      <c r="E247">
        <v>40398</v>
      </c>
      <c r="F247" t="s">
        <v>234</v>
      </c>
      <c r="G247">
        <v>48800</v>
      </c>
      <c r="H247" t="s">
        <v>20</v>
      </c>
      <c r="I247" t="s">
        <v>58</v>
      </c>
      <c r="J247" t="s">
        <v>585</v>
      </c>
      <c r="K247" t="s">
        <v>23</v>
      </c>
      <c r="L247" t="s">
        <v>201</v>
      </c>
      <c r="M247" t="s">
        <v>202</v>
      </c>
      <c r="N247" t="s">
        <v>203</v>
      </c>
      <c r="O247" t="s">
        <v>27</v>
      </c>
      <c r="P247" s="1">
        <v>44799</v>
      </c>
      <c r="Q247">
        <f t="shared" si="15"/>
        <v>0</v>
      </c>
      <c r="R247">
        <f t="shared" si="16"/>
        <v>0</v>
      </c>
      <c r="S247">
        <f t="shared" si="17"/>
        <v>0</v>
      </c>
      <c r="T247" s="11">
        <f t="shared" si="18"/>
        <v>2018</v>
      </c>
      <c r="U247" s="11">
        <f t="shared" si="19"/>
        <v>40398</v>
      </c>
    </row>
    <row r="248" spans="1:21" x14ac:dyDescent="0.3">
      <c r="A248" t="s">
        <v>586</v>
      </c>
      <c r="B248">
        <v>2019</v>
      </c>
      <c r="C248" t="s">
        <v>56</v>
      </c>
      <c r="D248" t="s">
        <v>30</v>
      </c>
      <c r="E248">
        <v>27986</v>
      </c>
      <c r="F248" t="s">
        <v>71</v>
      </c>
      <c r="G248">
        <v>57200</v>
      </c>
      <c r="H248" t="s">
        <v>20</v>
      </c>
      <c r="I248" t="s">
        <v>21</v>
      </c>
      <c r="J248" t="s">
        <v>384</v>
      </c>
      <c r="K248" t="s">
        <v>23</v>
      </c>
      <c r="L248" t="s">
        <v>425</v>
      </c>
      <c r="M248" t="s">
        <v>426</v>
      </c>
      <c r="N248" t="s">
        <v>427</v>
      </c>
      <c r="O248" t="s">
        <v>27</v>
      </c>
      <c r="P248" s="1">
        <v>44799</v>
      </c>
      <c r="Q248">
        <f t="shared" si="15"/>
        <v>0</v>
      </c>
      <c r="R248">
        <f t="shared" si="16"/>
        <v>0</v>
      </c>
      <c r="S248">
        <f t="shared" si="17"/>
        <v>0</v>
      </c>
      <c r="T248" s="11">
        <f t="shared" si="18"/>
        <v>2019</v>
      </c>
      <c r="U248" s="11">
        <f t="shared" si="19"/>
        <v>27986</v>
      </c>
    </row>
    <row r="249" spans="1:21" x14ac:dyDescent="0.3">
      <c r="A249" t="s">
        <v>587</v>
      </c>
      <c r="B249">
        <v>2019</v>
      </c>
      <c r="C249" t="s">
        <v>56</v>
      </c>
      <c r="D249" t="s">
        <v>53</v>
      </c>
      <c r="E249">
        <v>15613</v>
      </c>
      <c r="F249" t="s">
        <v>65</v>
      </c>
      <c r="G249">
        <v>46700</v>
      </c>
      <c r="H249" t="s">
        <v>20</v>
      </c>
      <c r="I249" t="s">
        <v>58</v>
      </c>
      <c r="J249" t="s">
        <v>66</v>
      </c>
      <c r="K249" t="s">
        <v>23</v>
      </c>
      <c r="L249" t="s">
        <v>193</v>
      </c>
      <c r="M249" t="s">
        <v>194</v>
      </c>
      <c r="N249" t="s">
        <v>26</v>
      </c>
      <c r="O249" t="s">
        <v>27</v>
      </c>
      <c r="P249" s="1">
        <v>44799</v>
      </c>
      <c r="Q249">
        <f t="shared" si="15"/>
        <v>0</v>
      </c>
      <c r="R249">
        <f t="shared" si="16"/>
        <v>0</v>
      </c>
      <c r="S249">
        <f t="shared" si="17"/>
        <v>0</v>
      </c>
      <c r="T249" s="11">
        <f t="shared" si="18"/>
        <v>2019</v>
      </c>
      <c r="U249" s="11">
        <f t="shared" si="19"/>
        <v>15613</v>
      </c>
    </row>
    <row r="250" spans="1:21" x14ac:dyDescent="0.3">
      <c r="A250" t="s">
        <v>588</v>
      </c>
      <c r="B250">
        <v>2020</v>
      </c>
      <c r="C250" t="s">
        <v>56</v>
      </c>
      <c r="D250" t="s">
        <v>93</v>
      </c>
      <c r="E250">
        <v>32421</v>
      </c>
      <c r="F250" t="s">
        <v>57</v>
      </c>
      <c r="G250">
        <v>57400</v>
      </c>
      <c r="H250" t="s">
        <v>77</v>
      </c>
      <c r="I250" t="s">
        <v>78</v>
      </c>
      <c r="J250" t="s">
        <v>280</v>
      </c>
      <c r="K250" t="s">
        <v>23</v>
      </c>
      <c r="L250" t="s">
        <v>345</v>
      </c>
      <c r="M250" t="s">
        <v>48</v>
      </c>
      <c r="N250" t="s">
        <v>69</v>
      </c>
      <c r="O250" t="s">
        <v>27</v>
      </c>
      <c r="P250" s="1">
        <v>44799</v>
      </c>
      <c r="Q250">
        <f t="shared" si="15"/>
        <v>0</v>
      </c>
      <c r="R250">
        <f t="shared" si="16"/>
        <v>0</v>
      </c>
      <c r="S250">
        <f t="shared" si="17"/>
        <v>0</v>
      </c>
      <c r="T250" s="11">
        <f t="shared" si="18"/>
        <v>2020</v>
      </c>
      <c r="U250" s="11">
        <f t="shared" si="19"/>
        <v>32421</v>
      </c>
    </row>
    <row r="251" spans="1:21" x14ac:dyDescent="0.3">
      <c r="A251" t="s">
        <v>589</v>
      </c>
      <c r="B251">
        <v>2018</v>
      </c>
      <c r="C251" t="s">
        <v>29</v>
      </c>
      <c r="D251" t="s">
        <v>51</v>
      </c>
      <c r="E251">
        <v>59307</v>
      </c>
      <c r="F251" t="s">
        <v>52</v>
      </c>
      <c r="G251">
        <v>81900</v>
      </c>
      <c r="H251" t="s">
        <v>53</v>
      </c>
      <c r="I251" t="s">
        <v>110</v>
      </c>
      <c r="J251" t="s">
        <v>590</v>
      </c>
      <c r="K251" t="s">
        <v>23</v>
      </c>
      <c r="L251" t="s">
        <v>183</v>
      </c>
      <c r="M251" t="s">
        <v>25</v>
      </c>
      <c r="N251" t="s">
        <v>26</v>
      </c>
      <c r="O251" t="s">
        <v>27</v>
      </c>
      <c r="P251" s="1">
        <v>44799</v>
      </c>
      <c r="Q251">
        <f t="shared" si="15"/>
        <v>0</v>
      </c>
      <c r="R251">
        <f t="shared" si="16"/>
        <v>1</v>
      </c>
      <c r="S251">
        <f t="shared" si="17"/>
        <v>0</v>
      </c>
      <c r="T251" s="11">
        <f t="shared" si="18"/>
        <v>2018</v>
      </c>
      <c r="U251" s="11">
        <f t="shared" si="19"/>
        <v>59307</v>
      </c>
    </row>
    <row r="252" spans="1:21" x14ac:dyDescent="0.3">
      <c r="A252" t="s">
        <v>591</v>
      </c>
      <c r="B252">
        <v>2018</v>
      </c>
      <c r="C252" t="s">
        <v>29</v>
      </c>
      <c r="D252" t="s">
        <v>76</v>
      </c>
      <c r="E252">
        <v>35135</v>
      </c>
      <c r="F252" t="s">
        <v>104</v>
      </c>
      <c r="G252">
        <v>70600</v>
      </c>
      <c r="H252" t="s">
        <v>53</v>
      </c>
      <c r="I252" t="s">
        <v>21</v>
      </c>
      <c r="J252" t="s">
        <v>592</v>
      </c>
      <c r="K252" t="s">
        <v>23</v>
      </c>
      <c r="L252" t="s">
        <v>371</v>
      </c>
      <c r="M252" t="s">
        <v>48</v>
      </c>
      <c r="N252" t="s">
        <v>49</v>
      </c>
      <c r="O252" t="s">
        <v>27</v>
      </c>
      <c r="P252" s="1">
        <v>44799</v>
      </c>
      <c r="Q252">
        <f t="shared" si="15"/>
        <v>0</v>
      </c>
      <c r="R252">
        <f t="shared" si="16"/>
        <v>1</v>
      </c>
      <c r="S252">
        <f t="shared" si="17"/>
        <v>0</v>
      </c>
      <c r="T252" s="11">
        <f t="shared" si="18"/>
        <v>2018</v>
      </c>
      <c r="U252" s="11">
        <f t="shared" si="19"/>
        <v>35135</v>
      </c>
    </row>
    <row r="253" spans="1:21" x14ac:dyDescent="0.3">
      <c r="A253" t="s">
        <v>593</v>
      </c>
      <c r="B253">
        <v>2022</v>
      </c>
      <c r="C253" t="s">
        <v>29</v>
      </c>
      <c r="D253" t="s">
        <v>51</v>
      </c>
      <c r="E253">
        <v>2820</v>
      </c>
      <c r="F253" t="s">
        <v>321</v>
      </c>
      <c r="G253">
        <v>159200</v>
      </c>
      <c r="H253" t="s">
        <v>45</v>
      </c>
      <c r="J253" t="s">
        <v>594</v>
      </c>
      <c r="K253" t="s">
        <v>23</v>
      </c>
      <c r="L253" t="s">
        <v>230</v>
      </c>
      <c r="M253" t="s">
        <v>25</v>
      </c>
      <c r="N253" t="s">
        <v>26</v>
      </c>
      <c r="O253" t="s">
        <v>27</v>
      </c>
      <c r="P253" s="1">
        <v>44799</v>
      </c>
      <c r="Q253">
        <f t="shared" si="15"/>
        <v>0</v>
      </c>
      <c r="R253">
        <f t="shared" si="16"/>
        <v>1</v>
      </c>
      <c r="S253">
        <f t="shared" si="17"/>
        <v>0</v>
      </c>
      <c r="T253" s="11">
        <f t="shared" si="18"/>
        <v>2022</v>
      </c>
      <c r="U253" s="11">
        <f t="shared" si="19"/>
        <v>2820</v>
      </c>
    </row>
    <row r="254" spans="1:21" x14ac:dyDescent="0.3">
      <c r="A254" t="s">
        <v>595</v>
      </c>
      <c r="B254">
        <v>2021</v>
      </c>
      <c r="C254" t="s">
        <v>17</v>
      </c>
      <c r="D254" t="s">
        <v>18</v>
      </c>
      <c r="E254">
        <v>19272</v>
      </c>
      <c r="F254" t="s">
        <v>207</v>
      </c>
      <c r="G254">
        <v>73000</v>
      </c>
      <c r="H254" t="s">
        <v>20</v>
      </c>
      <c r="I254" t="s">
        <v>21</v>
      </c>
      <c r="J254" t="s">
        <v>326</v>
      </c>
      <c r="K254" t="s">
        <v>23</v>
      </c>
      <c r="L254" t="s">
        <v>60</v>
      </c>
      <c r="M254" t="s">
        <v>48</v>
      </c>
      <c r="N254" t="s">
        <v>49</v>
      </c>
      <c r="O254" t="s">
        <v>27</v>
      </c>
      <c r="P254" s="1">
        <v>44799</v>
      </c>
      <c r="Q254">
        <f t="shared" si="15"/>
        <v>0</v>
      </c>
      <c r="R254">
        <f t="shared" si="16"/>
        <v>0</v>
      </c>
      <c r="S254">
        <f t="shared" si="17"/>
        <v>1</v>
      </c>
      <c r="T254" s="11">
        <f t="shared" si="18"/>
        <v>2021</v>
      </c>
      <c r="U254" s="11">
        <f t="shared" si="19"/>
        <v>19272</v>
      </c>
    </row>
    <row r="255" spans="1:21" x14ac:dyDescent="0.3">
      <c r="A255" t="s">
        <v>596</v>
      </c>
      <c r="B255">
        <v>2021</v>
      </c>
      <c r="C255" t="s">
        <v>17</v>
      </c>
      <c r="D255" t="s">
        <v>53</v>
      </c>
      <c r="E255">
        <v>12865</v>
      </c>
      <c r="F255" t="s">
        <v>207</v>
      </c>
      <c r="G255">
        <v>72000</v>
      </c>
      <c r="H255" t="s">
        <v>77</v>
      </c>
      <c r="I255" t="s">
        <v>21</v>
      </c>
      <c r="J255" t="s">
        <v>422</v>
      </c>
      <c r="K255" t="s">
        <v>23</v>
      </c>
      <c r="L255" t="s">
        <v>193</v>
      </c>
      <c r="M255" t="s">
        <v>194</v>
      </c>
      <c r="N255" t="s">
        <v>26</v>
      </c>
      <c r="O255" t="s">
        <v>27</v>
      </c>
      <c r="P255" s="1">
        <v>44799</v>
      </c>
      <c r="Q255">
        <f t="shared" si="15"/>
        <v>0</v>
      </c>
      <c r="R255">
        <f t="shared" si="16"/>
        <v>0</v>
      </c>
      <c r="S255">
        <f t="shared" si="17"/>
        <v>1</v>
      </c>
      <c r="T255" s="11">
        <f t="shared" si="18"/>
        <v>2021</v>
      </c>
      <c r="U255" s="11">
        <f t="shared" si="19"/>
        <v>12865</v>
      </c>
    </row>
    <row r="256" spans="1:21" x14ac:dyDescent="0.3">
      <c r="A256" t="s">
        <v>597</v>
      </c>
      <c r="B256">
        <v>2021</v>
      </c>
      <c r="C256" t="s">
        <v>37</v>
      </c>
      <c r="D256" t="s">
        <v>53</v>
      </c>
      <c r="E256">
        <v>8204</v>
      </c>
      <c r="F256" t="s">
        <v>131</v>
      </c>
      <c r="G256">
        <v>116300</v>
      </c>
      <c r="H256" t="s">
        <v>53</v>
      </c>
      <c r="I256" t="s">
        <v>39</v>
      </c>
      <c r="J256" t="s">
        <v>598</v>
      </c>
      <c r="K256" t="s">
        <v>23</v>
      </c>
      <c r="L256" t="s">
        <v>243</v>
      </c>
      <c r="M256" t="s">
        <v>244</v>
      </c>
      <c r="N256" t="s">
        <v>245</v>
      </c>
      <c r="O256" t="s">
        <v>27</v>
      </c>
      <c r="P256" s="1">
        <v>44799</v>
      </c>
      <c r="Q256">
        <f t="shared" si="15"/>
        <v>1</v>
      </c>
      <c r="R256">
        <f t="shared" si="16"/>
        <v>0</v>
      </c>
      <c r="S256">
        <f t="shared" si="17"/>
        <v>0</v>
      </c>
      <c r="T256" s="11">
        <f t="shared" si="18"/>
        <v>2021</v>
      </c>
      <c r="U256" s="11">
        <f t="shared" si="19"/>
        <v>8204</v>
      </c>
    </row>
    <row r="257" spans="1:21" x14ac:dyDescent="0.3">
      <c r="A257" t="s">
        <v>599</v>
      </c>
      <c r="B257">
        <v>2019</v>
      </c>
      <c r="C257" t="s">
        <v>56</v>
      </c>
      <c r="D257" t="s">
        <v>32</v>
      </c>
      <c r="E257">
        <v>25029</v>
      </c>
      <c r="F257" t="s">
        <v>71</v>
      </c>
      <c r="G257">
        <v>57800</v>
      </c>
      <c r="H257" t="s">
        <v>20</v>
      </c>
      <c r="I257" t="s">
        <v>21</v>
      </c>
      <c r="J257" t="s">
        <v>72</v>
      </c>
      <c r="K257" t="s">
        <v>23</v>
      </c>
      <c r="L257" t="s">
        <v>600</v>
      </c>
      <c r="N257" t="s">
        <v>26</v>
      </c>
      <c r="O257" t="s">
        <v>27</v>
      </c>
      <c r="P257" s="1">
        <v>44799</v>
      </c>
      <c r="Q257">
        <f t="shared" si="15"/>
        <v>0</v>
      </c>
      <c r="R257">
        <f t="shared" si="16"/>
        <v>0</v>
      </c>
      <c r="S257">
        <f t="shared" si="17"/>
        <v>0</v>
      </c>
      <c r="T257" s="11">
        <f t="shared" si="18"/>
        <v>2019</v>
      </c>
      <c r="U257" s="11">
        <f t="shared" si="19"/>
        <v>25029</v>
      </c>
    </row>
    <row r="258" spans="1:21" x14ac:dyDescent="0.3">
      <c r="A258" t="s">
        <v>601</v>
      </c>
      <c r="B258">
        <v>2020</v>
      </c>
      <c r="C258" t="s">
        <v>17</v>
      </c>
      <c r="D258" t="s">
        <v>76</v>
      </c>
      <c r="E258">
        <v>27780</v>
      </c>
      <c r="F258" t="s">
        <v>207</v>
      </c>
      <c r="G258">
        <v>66400</v>
      </c>
      <c r="H258" t="s">
        <v>20</v>
      </c>
      <c r="I258" t="s">
        <v>21</v>
      </c>
      <c r="J258" t="s">
        <v>570</v>
      </c>
      <c r="K258" t="s">
        <v>23</v>
      </c>
      <c r="L258" t="s">
        <v>367</v>
      </c>
      <c r="M258" t="s">
        <v>244</v>
      </c>
      <c r="N258" t="s">
        <v>245</v>
      </c>
      <c r="O258" t="s">
        <v>27</v>
      </c>
      <c r="P258" s="1">
        <v>44799</v>
      </c>
      <c r="Q258">
        <f t="shared" ref="Q258:Q321" si="20">--(C258="ms")</f>
        <v>0</v>
      </c>
      <c r="R258">
        <f t="shared" ref="R258:R321" si="21">--(C258="mx")</f>
        <v>0</v>
      </c>
      <c r="S258">
        <f t="shared" ref="S258:S321" si="22">--(C258="my")</f>
        <v>1</v>
      </c>
      <c r="T258" s="11">
        <f t="shared" ref="T258:T321" si="23">B258</f>
        <v>2020</v>
      </c>
      <c r="U258" s="11">
        <f t="shared" ref="U258:U321" si="24">E258</f>
        <v>27780</v>
      </c>
    </row>
    <row r="259" spans="1:21" x14ac:dyDescent="0.3">
      <c r="A259" t="s">
        <v>602</v>
      </c>
      <c r="B259">
        <v>2021</v>
      </c>
      <c r="C259" t="s">
        <v>17</v>
      </c>
      <c r="D259" t="s">
        <v>32</v>
      </c>
      <c r="E259">
        <v>12703</v>
      </c>
      <c r="F259" t="s">
        <v>19</v>
      </c>
      <c r="G259">
        <v>72500</v>
      </c>
      <c r="H259" t="s">
        <v>20</v>
      </c>
      <c r="I259" t="s">
        <v>21</v>
      </c>
      <c r="J259" t="s">
        <v>429</v>
      </c>
      <c r="K259" t="s">
        <v>23</v>
      </c>
      <c r="L259" t="s">
        <v>158</v>
      </c>
      <c r="M259" t="s">
        <v>42</v>
      </c>
      <c r="N259" t="s">
        <v>26</v>
      </c>
      <c r="O259" t="s">
        <v>27</v>
      </c>
      <c r="P259" s="1">
        <v>44799</v>
      </c>
      <c r="Q259">
        <f t="shared" si="20"/>
        <v>0</v>
      </c>
      <c r="R259">
        <f t="shared" si="21"/>
        <v>0</v>
      </c>
      <c r="S259">
        <f t="shared" si="22"/>
        <v>1</v>
      </c>
      <c r="T259" s="11">
        <f t="shared" si="23"/>
        <v>2021</v>
      </c>
      <c r="U259" s="11">
        <f t="shared" si="24"/>
        <v>12703</v>
      </c>
    </row>
    <row r="260" spans="1:21" x14ac:dyDescent="0.3">
      <c r="A260" t="s">
        <v>603</v>
      </c>
      <c r="B260">
        <v>2019</v>
      </c>
      <c r="C260" t="s">
        <v>56</v>
      </c>
      <c r="D260" t="s">
        <v>53</v>
      </c>
      <c r="E260">
        <v>484</v>
      </c>
      <c r="F260" t="s">
        <v>65</v>
      </c>
      <c r="G260">
        <v>51100</v>
      </c>
      <c r="H260" t="s">
        <v>20</v>
      </c>
      <c r="I260" t="s">
        <v>58</v>
      </c>
      <c r="J260" t="s">
        <v>66</v>
      </c>
      <c r="K260" t="s">
        <v>23</v>
      </c>
      <c r="L260" t="s">
        <v>84</v>
      </c>
      <c r="M260" t="s">
        <v>48</v>
      </c>
      <c r="N260" t="s">
        <v>69</v>
      </c>
      <c r="O260" t="s">
        <v>27</v>
      </c>
      <c r="P260" s="1">
        <v>44799</v>
      </c>
      <c r="Q260">
        <f t="shared" si="20"/>
        <v>0</v>
      </c>
      <c r="R260">
        <f t="shared" si="21"/>
        <v>0</v>
      </c>
      <c r="S260">
        <f t="shared" si="22"/>
        <v>0</v>
      </c>
      <c r="T260" s="11">
        <f t="shared" si="23"/>
        <v>2019</v>
      </c>
      <c r="U260" s="11">
        <f t="shared" si="24"/>
        <v>484</v>
      </c>
    </row>
    <row r="261" spans="1:21" x14ac:dyDescent="0.3">
      <c r="A261" t="s">
        <v>604</v>
      </c>
      <c r="B261">
        <v>2019</v>
      </c>
      <c r="C261" t="s">
        <v>56</v>
      </c>
      <c r="D261" t="s">
        <v>53</v>
      </c>
      <c r="E261">
        <v>17041</v>
      </c>
      <c r="F261" t="s">
        <v>65</v>
      </c>
      <c r="G261">
        <v>45700</v>
      </c>
      <c r="H261" t="s">
        <v>20</v>
      </c>
      <c r="I261" t="s">
        <v>58</v>
      </c>
      <c r="J261" t="s">
        <v>66</v>
      </c>
      <c r="K261" t="s">
        <v>23</v>
      </c>
      <c r="L261" t="s">
        <v>158</v>
      </c>
      <c r="M261" t="s">
        <v>42</v>
      </c>
      <c r="N261" t="s">
        <v>26</v>
      </c>
      <c r="O261" t="s">
        <v>27</v>
      </c>
      <c r="P261" s="1">
        <v>44799</v>
      </c>
      <c r="Q261">
        <f t="shared" si="20"/>
        <v>0</v>
      </c>
      <c r="R261">
        <f t="shared" si="21"/>
        <v>0</v>
      </c>
      <c r="S261">
        <f t="shared" si="22"/>
        <v>0</v>
      </c>
      <c r="T261" s="11">
        <f t="shared" si="23"/>
        <v>2019</v>
      </c>
      <c r="U261" s="11">
        <f t="shared" si="24"/>
        <v>17041</v>
      </c>
    </row>
    <row r="262" spans="1:21" x14ac:dyDescent="0.3">
      <c r="A262" t="s">
        <v>605</v>
      </c>
      <c r="B262">
        <v>2022</v>
      </c>
      <c r="C262" t="s">
        <v>37</v>
      </c>
      <c r="D262" t="s">
        <v>53</v>
      </c>
      <c r="E262">
        <v>255</v>
      </c>
      <c r="F262" t="s">
        <v>606</v>
      </c>
      <c r="G262">
        <v>117500</v>
      </c>
      <c r="H262" t="s">
        <v>53</v>
      </c>
      <c r="I262" t="s">
        <v>78</v>
      </c>
      <c r="J262" t="s">
        <v>607</v>
      </c>
      <c r="K262" t="s">
        <v>23</v>
      </c>
      <c r="L262" t="s">
        <v>34</v>
      </c>
      <c r="N262" t="s">
        <v>35</v>
      </c>
      <c r="O262" t="s">
        <v>27</v>
      </c>
      <c r="P262" s="1">
        <v>44799</v>
      </c>
      <c r="Q262">
        <f t="shared" si="20"/>
        <v>1</v>
      </c>
      <c r="R262">
        <f t="shared" si="21"/>
        <v>0</v>
      </c>
      <c r="S262">
        <f t="shared" si="22"/>
        <v>0</v>
      </c>
      <c r="T262" s="11">
        <f t="shared" si="23"/>
        <v>2022</v>
      </c>
      <c r="U262" s="11">
        <f t="shared" si="24"/>
        <v>255</v>
      </c>
    </row>
    <row r="263" spans="1:21" x14ac:dyDescent="0.3">
      <c r="A263" t="s">
        <v>608</v>
      </c>
      <c r="B263">
        <v>2022</v>
      </c>
      <c r="C263" t="s">
        <v>37</v>
      </c>
      <c r="D263" t="s">
        <v>53</v>
      </c>
      <c r="E263">
        <v>4224</v>
      </c>
      <c r="F263" t="s">
        <v>131</v>
      </c>
      <c r="G263">
        <v>130300</v>
      </c>
      <c r="H263" t="s">
        <v>53</v>
      </c>
      <c r="I263" t="s">
        <v>39</v>
      </c>
      <c r="J263" t="s">
        <v>598</v>
      </c>
      <c r="K263" t="s">
        <v>23</v>
      </c>
      <c r="L263" t="s">
        <v>609</v>
      </c>
      <c r="N263" t="s">
        <v>139</v>
      </c>
      <c r="O263" t="s">
        <v>27</v>
      </c>
      <c r="P263" s="1">
        <v>44799</v>
      </c>
      <c r="Q263">
        <f t="shared" si="20"/>
        <v>1</v>
      </c>
      <c r="R263">
        <f t="shared" si="21"/>
        <v>0</v>
      </c>
      <c r="S263">
        <f t="shared" si="22"/>
        <v>0</v>
      </c>
      <c r="T263" s="11">
        <f t="shared" si="23"/>
        <v>2022</v>
      </c>
      <c r="U263" s="11">
        <f t="shared" si="24"/>
        <v>4224</v>
      </c>
    </row>
    <row r="264" spans="1:21" x14ac:dyDescent="0.3">
      <c r="A264" t="s">
        <v>610</v>
      </c>
      <c r="B264">
        <v>2018</v>
      </c>
      <c r="C264" t="s">
        <v>29</v>
      </c>
      <c r="D264" t="s">
        <v>18</v>
      </c>
      <c r="E264">
        <v>29573</v>
      </c>
      <c r="F264" t="s">
        <v>104</v>
      </c>
      <c r="G264">
        <v>69300</v>
      </c>
      <c r="H264" t="s">
        <v>105</v>
      </c>
      <c r="I264" t="s">
        <v>21</v>
      </c>
      <c r="J264" t="s">
        <v>611</v>
      </c>
      <c r="K264" t="s">
        <v>23</v>
      </c>
      <c r="L264" t="s">
        <v>95</v>
      </c>
      <c r="M264" t="s">
        <v>96</v>
      </c>
      <c r="N264" t="s">
        <v>89</v>
      </c>
      <c r="O264" t="s">
        <v>27</v>
      </c>
      <c r="P264" s="1">
        <v>44799</v>
      </c>
      <c r="Q264">
        <f t="shared" si="20"/>
        <v>0</v>
      </c>
      <c r="R264">
        <f t="shared" si="21"/>
        <v>1</v>
      </c>
      <c r="S264">
        <f t="shared" si="22"/>
        <v>0</v>
      </c>
      <c r="T264" s="11">
        <f t="shared" si="23"/>
        <v>2018</v>
      </c>
      <c r="U264" s="11">
        <f t="shared" si="24"/>
        <v>29573</v>
      </c>
    </row>
    <row r="265" spans="1:21" x14ac:dyDescent="0.3">
      <c r="A265" t="s">
        <v>612</v>
      </c>
      <c r="B265">
        <v>2021</v>
      </c>
      <c r="C265" t="s">
        <v>17</v>
      </c>
      <c r="D265" t="s">
        <v>53</v>
      </c>
      <c r="E265">
        <v>15410</v>
      </c>
      <c r="F265" t="s">
        <v>19</v>
      </c>
      <c r="G265">
        <v>73800</v>
      </c>
      <c r="H265" t="s">
        <v>20</v>
      </c>
      <c r="I265" t="s">
        <v>21</v>
      </c>
      <c r="J265" t="s">
        <v>613</v>
      </c>
      <c r="K265" t="s">
        <v>23</v>
      </c>
      <c r="L265" t="s">
        <v>137</v>
      </c>
      <c r="M265" t="s">
        <v>138</v>
      </c>
      <c r="N265" t="s">
        <v>139</v>
      </c>
      <c r="O265" t="s">
        <v>27</v>
      </c>
      <c r="P265" s="1">
        <v>44799</v>
      </c>
      <c r="Q265">
        <f t="shared" si="20"/>
        <v>0</v>
      </c>
      <c r="R265">
        <f t="shared" si="21"/>
        <v>0</v>
      </c>
      <c r="S265">
        <f t="shared" si="22"/>
        <v>1</v>
      </c>
      <c r="T265" s="11">
        <f t="shared" si="23"/>
        <v>2021</v>
      </c>
      <c r="U265" s="11">
        <f t="shared" si="24"/>
        <v>15410</v>
      </c>
    </row>
    <row r="266" spans="1:21" x14ac:dyDescent="0.3">
      <c r="A266" t="s">
        <v>614</v>
      </c>
      <c r="B266">
        <v>2019</v>
      </c>
      <c r="C266" t="s">
        <v>56</v>
      </c>
      <c r="D266" t="s">
        <v>93</v>
      </c>
      <c r="E266">
        <v>21224</v>
      </c>
      <c r="F266" t="s">
        <v>71</v>
      </c>
      <c r="G266">
        <v>59700</v>
      </c>
      <c r="H266" t="s">
        <v>20</v>
      </c>
      <c r="I266" t="s">
        <v>21</v>
      </c>
      <c r="J266" t="s">
        <v>332</v>
      </c>
      <c r="K266" t="s">
        <v>23</v>
      </c>
      <c r="L266" t="s">
        <v>615</v>
      </c>
      <c r="M266" t="s">
        <v>113</v>
      </c>
      <c r="N266" t="s">
        <v>114</v>
      </c>
      <c r="O266" t="s">
        <v>27</v>
      </c>
      <c r="P266" s="1">
        <v>44799</v>
      </c>
      <c r="Q266">
        <f t="shared" si="20"/>
        <v>0</v>
      </c>
      <c r="R266">
        <f t="shared" si="21"/>
        <v>0</v>
      </c>
      <c r="S266">
        <f t="shared" si="22"/>
        <v>0</v>
      </c>
      <c r="T266" s="11">
        <f t="shared" si="23"/>
        <v>2019</v>
      </c>
      <c r="U266" s="11">
        <f t="shared" si="24"/>
        <v>21224</v>
      </c>
    </row>
    <row r="267" spans="1:21" x14ac:dyDescent="0.3">
      <c r="A267" t="s">
        <v>616</v>
      </c>
      <c r="B267">
        <v>2019</v>
      </c>
      <c r="C267" t="s">
        <v>29</v>
      </c>
      <c r="D267" t="s">
        <v>76</v>
      </c>
      <c r="E267">
        <v>8162</v>
      </c>
      <c r="F267" t="s">
        <v>177</v>
      </c>
      <c r="G267">
        <v>105400</v>
      </c>
      <c r="H267" t="s">
        <v>45</v>
      </c>
      <c r="I267" t="s">
        <v>21</v>
      </c>
      <c r="J267" t="s">
        <v>617</v>
      </c>
      <c r="K267" t="s">
        <v>23</v>
      </c>
      <c r="L267" t="s">
        <v>171</v>
      </c>
      <c r="M267" t="s">
        <v>172</v>
      </c>
      <c r="N267" t="s">
        <v>173</v>
      </c>
      <c r="O267" t="s">
        <v>27</v>
      </c>
      <c r="P267" s="1">
        <v>44799</v>
      </c>
      <c r="Q267">
        <f t="shared" si="20"/>
        <v>0</v>
      </c>
      <c r="R267">
        <f t="shared" si="21"/>
        <v>1</v>
      </c>
      <c r="S267">
        <f t="shared" si="22"/>
        <v>0</v>
      </c>
      <c r="T267" s="11">
        <f t="shared" si="23"/>
        <v>2019</v>
      </c>
      <c r="U267" s="11">
        <f t="shared" si="24"/>
        <v>8162</v>
      </c>
    </row>
    <row r="268" spans="1:21" x14ac:dyDescent="0.3">
      <c r="A268" t="s">
        <v>618</v>
      </c>
      <c r="B268">
        <v>2020</v>
      </c>
      <c r="C268" t="s">
        <v>17</v>
      </c>
      <c r="D268" t="s">
        <v>18</v>
      </c>
      <c r="E268">
        <v>31679</v>
      </c>
      <c r="F268" t="s">
        <v>207</v>
      </c>
      <c r="G268">
        <v>70400</v>
      </c>
      <c r="H268" t="s">
        <v>77</v>
      </c>
      <c r="I268" t="s">
        <v>78</v>
      </c>
      <c r="J268" t="s">
        <v>619</v>
      </c>
      <c r="K268" t="s">
        <v>23</v>
      </c>
      <c r="L268" t="s">
        <v>494</v>
      </c>
      <c r="M268" t="s">
        <v>113</v>
      </c>
      <c r="N268" t="s">
        <v>114</v>
      </c>
      <c r="O268" t="s">
        <v>27</v>
      </c>
      <c r="P268" s="1">
        <v>44799</v>
      </c>
      <c r="Q268">
        <f t="shared" si="20"/>
        <v>0</v>
      </c>
      <c r="R268">
        <f t="shared" si="21"/>
        <v>0</v>
      </c>
      <c r="S268">
        <f t="shared" si="22"/>
        <v>1</v>
      </c>
      <c r="T268" s="11">
        <f t="shared" si="23"/>
        <v>2020</v>
      </c>
      <c r="U268" s="11">
        <f t="shared" si="24"/>
        <v>31679</v>
      </c>
    </row>
    <row r="269" spans="1:21" x14ac:dyDescent="0.3">
      <c r="A269" t="s">
        <v>620</v>
      </c>
      <c r="B269">
        <v>2019</v>
      </c>
      <c r="C269" t="s">
        <v>37</v>
      </c>
      <c r="D269" t="s">
        <v>32</v>
      </c>
      <c r="E269">
        <v>23294</v>
      </c>
      <c r="F269" t="s">
        <v>98</v>
      </c>
      <c r="G269">
        <v>85000</v>
      </c>
      <c r="H269" t="s">
        <v>45</v>
      </c>
      <c r="I269" t="s">
        <v>78</v>
      </c>
      <c r="J269" t="s">
        <v>621</v>
      </c>
      <c r="K269" t="s">
        <v>23</v>
      </c>
      <c r="N269" t="s">
        <v>127</v>
      </c>
      <c r="O269" t="s">
        <v>27</v>
      </c>
      <c r="P269" s="1">
        <v>44799</v>
      </c>
      <c r="Q269">
        <f t="shared" si="20"/>
        <v>1</v>
      </c>
      <c r="R269">
        <f t="shared" si="21"/>
        <v>0</v>
      </c>
      <c r="S269">
        <f t="shared" si="22"/>
        <v>0</v>
      </c>
      <c r="T269" s="11">
        <f t="shared" si="23"/>
        <v>2019</v>
      </c>
      <c r="U269" s="11">
        <f t="shared" si="24"/>
        <v>23294</v>
      </c>
    </row>
    <row r="270" spans="1:21" x14ac:dyDescent="0.3">
      <c r="A270" t="s">
        <v>622</v>
      </c>
      <c r="B270">
        <v>2019</v>
      </c>
      <c r="C270" t="s">
        <v>56</v>
      </c>
      <c r="D270" t="s">
        <v>30</v>
      </c>
      <c r="E270">
        <v>18729</v>
      </c>
      <c r="F270" t="s">
        <v>65</v>
      </c>
      <c r="G270">
        <v>50400</v>
      </c>
      <c r="H270" t="s">
        <v>77</v>
      </c>
      <c r="I270" t="s">
        <v>78</v>
      </c>
      <c r="J270" t="s">
        <v>83</v>
      </c>
      <c r="K270" t="s">
        <v>23</v>
      </c>
      <c r="L270" t="s">
        <v>494</v>
      </c>
      <c r="M270" t="s">
        <v>113</v>
      </c>
      <c r="N270" t="s">
        <v>114</v>
      </c>
      <c r="O270" t="s">
        <v>27</v>
      </c>
      <c r="P270" s="1">
        <v>44799</v>
      </c>
      <c r="Q270">
        <f t="shared" si="20"/>
        <v>0</v>
      </c>
      <c r="R270">
        <f t="shared" si="21"/>
        <v>0</v>
      </c>
      <c r="S270">
        <f t="shared" si="22"/>
        <v>0</v>
      </c>
      <c r="T270" s="11">
        <f t="shared" si="23"/>
        <v>2019</v>
      </c>
      <c r="U270" s="11">
        <f t="shared" si="24"/>
        <v>18729</v>
      </c>
    </row>
    <row r="271" spans="1:21" x14ac:dyDescent="0.3">
      <c r="A271" t="s">
        <v>623</v>
      </c>
      <c r="B271">
        <v>2018</v>
      </c>
      <c r="C271" t="s">
        <v>56</v>
      </c>
      <c r="D271" t="s">
        <v>32</v>
      </c>
      <c r="E271">
        <v>71558</v>
      </c>
      <c r="F271" t="s">
        <v>234</v>
      </c>
      <c r="G271">
        <v>45400</v>
      </c>
      <c r="H271" t="s">
        <v>20</v>
      </c>
      <c r="I271" t="s">
        <v>58</v>
      </c>
      <c r="J271" t="s">
        <v>373</v>
      </c>
      <c r="K271" t="s">
        <v>23</v>
      </c>
      <c r="N271" t="s">
        <v>127</v>
      </c>
      <c r="O271" t="s">
        <v>27</v>
      </c>
      <c r="P271" s="1">
        <v>44799</v>
      </c>
      <c r="Q271">
        <f t="shared" si="20"/>
        <v>0</v>
      </c>
      <c r="R271">
        <f t="shared" si="21"/>
        <v>0</v>
      </c>
      <c r="S271">
        <f t="shared" si="22"/>
        <v>0</v>
      </c>
      <c r="T271" s="11">
        <f t="shared" si="23"/>
        <v>2018</v>
      </c>
      <c r="U271" s="11">
        <f t="shared" si="24"/>
        <v>71558</v>
      </c>
    </row>
    <row r="272" spans="1:21" x14ac:dyDescent="0.3">
      <c r="A272" t="s">
        <v>624</v>
      </c>
      <c r="B272">
        <v>2019</v>
      </c>
      <c r="C272" t="s">
        <v>56</v>
      </c>
      <c r="D272" t="s">
        <v>93</v>
      </c>
      <c r="E272">
        <v>46059</v>
      </c>
      <c r="F272" t="s">
        <v>65</v>
      </c>
      <c r="G272">
        <v>45600</v>
      </c>
      <c r="H272" t="s">
        <v>20</v>
      </c>
      <c r="I272" t="s">
        <v>58</v>
      </c>
      <c r="J272" t="s">
        <v>294</v>
      </c>
      <c r="K272" t="s">
        <v>23</v>
      </c>
      <c r="L272" t="s">
        <v>494</v>
      </c>
      <c r="M272" t="s">
        <v>113</v>
      </c>
      <c r="N272" t="s">
        <v>114</v>
      </c>
      <c r="O272" t="s">
        <v>27</v>
      </c>
      <c r="P272" s="1">
        <v>44799</v>
      </c>
      <c r="Q272">
        <f t="shared" si="20"/>
        <v>0</v>
      </c>
      <c r="R272">
        <f t="shared" si="21"/>
        <v>0</v>
      </c>
      <c r="S272">
        <f t="shared" si="22"/>
        <v>0</v>
      </c>
      <c r="T272" s="11">
        <f t="shared" si="23"/>
        <v>2019</v>
      </c>
      <c r="U272" s="11">
        <f t="shared" si="24"/>
        <v>46059</v>
      </c>
    </row>
    <row r="273" spans="1:21" x14ac:dyDescent="0.3">
      <c r="A273" t="s">
        <v>625</v>
      </c>
      <c r="B273">
        <v>2021</v>
      </c>
      <c r="C273" t="s">
        <v>17</v>
      </c>
      <c r="D273" t="s">
        <v>30</v>
      </c>
      <c r="E273">
        <v>18751</v>
      </c>
      <c r="F273" t="s">
        <v>207</v>
      </c>
      <c r="G273">
        <v>71900</v>
      </c>
      <c r="H273" t="s">
        <v>20</v>
      </c>
      <c r="I273" t="s">
        <v>21</v>
      </c>
      <c r="J273" t="s">
        <v>626</v>
      </c>
      <c r="K273" t="s">
        <v>23</v>
      </c>
      <c r="N273" t="s">
        <v>127</v>
      </c>
      <c r="O273" t="s">
        <v>27</v>
      </c>
      <c r="P273" s="1">
        <v>44799</v>
      </c>
      <c r="Q273">
        <f t="shared" si="20"/>
        <v>0</v>
      </c>
      <c r="R273">
        <f t="shared" si="21"/>
        <v>0</v>
      </c>
      <c r="S273">
        <f t="shared" si="22"/>
        <v>1</v>
      </c>
      <c r="T273" s="11">
        <f t="shared" si="23"/>
        <v>2021</v>
      </c>
      <c r="U273" s="11">
        <f t="shared" si="24"/>
        <v>18751</v>
      </c>
    </row>
    <row r="274" spans="1:21" x14ac:dyDescent="0.3">
      <c r="A274" t="s">
        <v>627</v>
      </c>
      <c r="B274">
        <v>2018</v>
      </c>
      <c r="C274" t="s">
        <v>29</v>
      </c>
      <c r="D274" t="s">
        <v>53</v>
      </c>
      <c r="E274">
        <v>53347</v>
      </c>
      <c r="F274" t="s">
        <v>104</v>
      </c>
      <c r="G274">
        <v>67500</v>
      </c>
      <c r="H274" t="s">
        <v>53</v>
      </c>
      <c r="I274" t="s">
        <v>21</v>
      </c>
      <c r="J274" t="s">
        <v>628</v>
      </c>
      <c r="K274" t="s">
        <v>23</v>
      </c>
      <c r="L274" t="s">
        <v>278</v>
      </c>
      <c r="M274" t="s">
        <v>148</v>
      </c>
      <c r="N274" t="s">
        <v>149</v>
      </c>
      <c r="O274" t="s">
        <v>27</v>
      </c>
      <c r="P274" s="1">
        <v>44799</v>
      </c>
      <c r="Q274">
        <f t="shared" si="20"/>
        <v>0</v>
      </c>
      <c r="R274">
        <f t="shared" si="21"/>
        <v>1</v>
      </c>
      <c r="S274">
        <f t="shared" si="22"/>
        <v>0</v>
      </c>
      <c r="T274" s="11">
        <f t="shared" si="23"/>
        <v>2018</v>
      </c>
      <c r="U274" s="11">
        <f t="shared" si="24"/>
        <v>53347</v>
      </c>
    </row>
    <row r="275" spans="1:21" x14ac:dyDescent="0.3">
      <c r="A275" t="s">
        <v>629</v>
      </c>
      <c r="B275">
        <v>2018</v>
      </c>
      <c r="C275" t="s">
        <v>56</v>
      </c>
      <c r="D275" t="s">
        <v>53</v>
      </c>
      <c r="E275">
        <v>32082</v>
      </c>
      <c r="F275" t="s">
        <v>234</v>
      </c>
      <c r="G275">
        <v>49900</v>
      </c>
      <c r="H275" t="s">
        <v>20</v>
      </c>
      <c r="I275" t="s">
        <v>78</v>
      </c>
      <c r="J275" t="s">
        <v>403</v>
      </c>
      <c r="K275" t="s">
        <v>23</v>
      </c>
      <c r="L275" t="s">
        <v>278</v>
      </c>
      <c r="M275" t="s">
        <v>148</v>
      </c>
      <c r="N275" t="s">
        <v>149</v>
      </c>
      <c r="O275" t="s">
        <v>27</v>
      </c>
      <c r="P275" s="1">
        <v>44799</v>
      </c>
      <c r="Q275">
        <f t="shared" si="20"/>
        <v>0</v>
      </c>
      <c r="R275">
        <f t="shared" si="21"/>
        <v>0</v>
      </c>
      <c r="S275">
        <f t="shared" si="22"/>
        <v>0</v>
      </c>
      <c r="T275" s="11">
        <f t="shared" si="23"/>
        <v>2018</v>
      </c>
      <c r="U275" s="11">
        <f t="shared" si="24"/>
        <v>32082</v>
      </c>
    </row>
    <row r="276" spans="1:21" x14ac:dyDescent="0.3">
      <c r="A276" t="s">
        <v>630</v>
      </c>
      <c r="B276">
        <v>2018</v>
      </c>
      <c r="C276" t="s">
        <v>37</v>
      </c>
      <c r="D276" t="s">
        <v>51</v>
      </c>
      <c r="E276">
        <v>30518</v>
      </c>
      <c r="F276" t="s">
        <v>104</v>
      </c>
      <c r="G276">
        <v>65600</v>
      </c>
      <c r="H276" t="s">
        <v>45</v>
      </c>
      <c r="I276" t="s">
        <v>78</v>
      </c>
      <c r="J276" t="s">
        <v>631</v>
      </c>
      <c r="K276" t="s">
        <v>23</v>
      </c>
      <c r="N276" t="s">
        <v>127</v>
      </c>
      <c r="O276" t="s">
        <v>27</v>
      </c>
      <c r="P276" s="1">
        <v>44799</v>
      </c>
      <c r="Q276">
        <f t="shared" si="20"/>
        <v>1</v>
      </c>
      <c r="R276">
        <f t="shared" si="21"/>
        <v>0</v>
      </c>
      <c r="S276">
        <f t="shared" si="22"/>
        <v>0</v>
      </c>
      <c r="T276" s="11">
        <f t="shared" si="23"/>
        <v>2018</v>
      </c>
      <c r="U276" s="11">
        <f t="shared" si="24"/>
        <v>30518</v>
      </c>
    </row>
    <row r="277" spans="1:21" x14ac:dyDescent="0.3">
      <c r="A277" t="s">
        <v>632</v>
      </c>
      <c r="B277">
        <v>2019</v>
      </c>
      <c r="C277" t="s">
        <v>56</v>
      </c>
      <c r="D277" t="s">
        <v>53</v>
      </c>
      <c r="E277">
        <v>30225</v>
      </c>
      <c r="F277" t="s">
        <v>71</v>
      </c>
      <c r="G277">
        <v>55300</v>
      </c>
      <c r="H277" t="s">
        <v>20</v>
      </c>
      <c r="I277" t="s">
        <v>58</v>
      </c>
      <c r="J277" t="s">
        <v>579</v>
      </c>
      <c r="K277" t="s">
        <v>23</v>
      </c>
      <c r="L277" t="s">
        <v>278</v>
      </c>
      <c r="M277" t="s">
        <v>148</v>
      </c>
      <c r="N277" t="s">
        <v>149</v>
      </c>
      <c r="O277" t="s">
        <v>27</v>
      </c>
      <c r="P277" s="1">
        <v>44799</v>
      </c>
      <c r="Q277">
        <f t="shared" si="20"/>
        <v>0</v>
      </c>
      <c r="R277">
        <f t="shared" si="21"/>
        <v>0</v>
      </c>
      <c r="S277">
        <f t="shared" si="22"/>
        <v>0</v>
      </c>
      <c r="T277" s="11">
        <f t="shared" si="23"/>
        <v>2019</v>
      </c>
      <c r="U277" s="11">
        <f t="shared" si="24"/>
        <v>30225</v>
      </c>
    </row>
    <row r="278" spans="1:21" x14ac:dyDescent="0.3">
      <c r="A278" t="s">
        <v>633</v>
      </c>
      <c r="B278">
        <v>2018</v>
      </c>
      <c r="C278" t="s">
        <v>29</v>
      </c>
      <c r="D278" t="s">
        <v>32</v>
      </c>
      <c r="E278">
        <v>22578</v>
      </c>
      <c r="F278" t="s">
        <v>104</v>
      </c>
      <c r="G278">
        <v>74600</v>
      </c>
      <c r="H278" t="s">
        <v>105</v>
      </c>
      <c r="I278" t="s">
        <v>21</v>
      </c>
      <c r="J278" t="s">
        <v>634</v>
      </c>
      <c r="K278" t="s">
        <v>23</v>
      </c>
      <c r="L278" t="s">
        <v>137</v>
      </c>
      <c r="M278" t="s">
        <v>138</v>
      </c>
      <c r="N278" t="s">
        <v>139</v>
      </c>
      <c r="O278" t="s">
        <v>27</v>
      </c>
      <c r="P278" s="1">
        <v>44799</v>
      </c>
      <c r="Q278">
        <f t="shared" si="20"/>
        <v>0</v>
      </c>
      <c r="R278">
        <f t="shared" si="21"/>
        <v>1</v>
      </c>
      <c r="S278">
        <f t="shared" si="22"/>
        <v>0</v>
      </c>
      <c r="T278" s="11">
        <f t="shared" si="23"/>
        <v>2018</v>
      </c>
      <c r="U278" s="11">
        <f t="shared" si="24"/>
        <v>22578</v>
      </c>
    </row>
    <row r="279" spans="1:21" x14ac:dyDescent="0.3">
      <c r="A279" t="s">
        <v>635</v>
      </c>
      <c r="B279">
        <v>2018</v>
      </c>
      <c r="C279" t="s">
        <v>56</v>
      </c>
      <c r="D279" t="s">
        <v>53</v>
      </c>
      <c r="E279">
        <v>18137</v>
      </c>
      <c r="F279" t="s">
        <v>636</v>
      </c>
      <c r="G279">
        <v>45100</v>
      </c>
      <c r="H279" t="s">
        <v>20</v>
      </c>
      <c r="I279" t="s">
        <v>78</v>
      </c>
      <c r="J279" t="s">
        <v>403</v>
      </c>
      <c r="K279" t="s">
        <v>23</v>
      </c>
      <c r="L279" t="s">
        <v>490</v>
      </c>
      <c r="M279" t="s">
        <v>491</v>
      </c>
      <c r="N279" t="s">
        <v>406</v>
      </c>
      <c r="O279" t="s">
        <v>27</v>
      </c>
      <c r="P279" s="1">
        <v>44799</v>
      </c>
      <c r="Q279">
        <f t="shared" si="20"/>
        <v>0</v>
      </c>
      <c r="R279">
        <f t="shared" si="21"/>
        <v>0</v>
      </c>
      <c r="S279">
        <f t="shared" si="22"/>
        <v>0</v>
      </c>
      <c r="T279" s="11">
        <f t="shared" si="23"/>
        <v>2018</v>
      </c>
      <c r="U279" s="11">
        <f t="shared" si="24"/>
        <v>18137</v>
      </c>
    </row>
    <row r="280" spans="1:21" x14ac:dyDescent="0.3">
      <c r="A280" t="s">
        <v>637</v>
      </c>
      <c r="B280">
        <v>2021</v>
      </c>
      <c r="C280" t="s">
        <v>56</v>
      </c>
      <c r="D280" t="s">
        <v>53</v>
      </c>
      <c r="E280">
        <v>15479</v>
      </c>
      <c r="F280" t="s">
        <v>57</v>
      </c>
      <c r="G280">
        <v>69500</v>
      </c>
      <c r="H280" t="s">
        <v>77</v>
      </c>
      <c r="I280" t="s">
        <v>78</v>
      </c>
      <c r="J280" t="s">
        <v>638</v>
      </c>
      <c r="K280" t="s">
        <v>23</v>
      </c>
      <c r="L280" t="s">
        <v>137</v>
      </c>
      <c r="M280" t="s">
        <v>138</v>
      </c>
      <c r="N280" t="s">
        <v>139</v>
      </c>
      <c r="O280" t="s">
        <v>27</v>
      </c>
      <c r="P280" s="1">
        <v>44799</v>
      </c>
      <c r="Q280">
        <f t="shared" si="20"/>
        <v>0</v>
      </c>
      <c r="R280">
        <f t="shared" si="21"/>
        <v>0</v>
      </c>
      <c r="S280">
        <f t="shared" si="22"/>
        <v>0</v>
      </c>
      <c r="T280" s="11">
        <f t="shared" si="23"/>
        <v>2021</v>
      </c>
      <c r="U280" s="11">
        <f t="shared" si="24"/>
        <v>15479</v>
      </c>
    </row>
    <row r="281" spans="1:21" x14ac:dyDescent="0.3">
      <c r="A281" t="s">
        <v>639</v>
      </c>
      <c r="B281">
        <v>2018</v>
      </c>
      <c r="C281" t="s">
        <v>29</v>
      </c>
      <c r="D281" t="s">
        <v>53</v>
      </c>
      <c r="E281">
        <v>38721</v>
      </c>
      <c r="F281" t="s">
        <v>52</v>
      </c>
      <c r="G281">
        <v>77700</v>
      </c>
      <c r="H281" t="s">
        <v>45</v>
      </c>
      <c r="I281" t="s">
        <v>21</v>
      </c>
      <c r="J281" t="s">
        <v>640</v>
      </c>
      <c r="K281" t="s">
        <v>23</v>
      </c>
      <c r="L281" t="s">
        <v>122</v>
      </c>
      <c r="M281" t="s">
        <v>113</v>
      </c>
      <c r="N281" t="s">
        <v>114</v>
      </c>
      <c r="O281" t="s">
        <v>27</v>
      </c>
      <c r="P281" s="1">
        <v>44799</v>
      </c>
      <c r="Q281">
        <f t="shared" si="20"/>
        <v>0</v>
      </c>
      <c r="R281">
        <f t="shared" si="21"/>
        <v>1</v>
      </c>
      <c r="S281">
        <f t="shared" si="22"/>
        <v>0</v>
      </c>
      <c r="T281" s="11">
        <f t="shared" si="23"/>
        <v>2018</v>
      </c>
      <c r="U281" s="11">
        <f t="shared" si="24"/>
        <v>38721</v>
      </c>
    </row>
    <row r="282" spans="1:21" x14ac:dyDescent="0.3">
      <c r="A282" t="s">
        <v>641</v>
      </c>
      <c r="B282">
        <v>2019</v>
      </c>
      <c r="C282" t="s">
        <v>56</v>
      </c>
      <c r="D282" t="s">
        <v>32</v>
      </c>
      <c r="E282">
        <v>41572</v>
      </c>
      <c r="F282" t="s">
        <v>65</v>
      </c>
      <c r="G282">
        <v>46600</v>
      </c>
      <c r="H282" t="s">
        <v>20</v>
      </c>
      <c r="I282" t="s">
        <v>58</v>
      </c>
      <c r="J282" t="s">
        <v>192</v>
      </c>
      <c r="K282" t="s">
        <v>23</v>
      </c>
      <c r="L282" t="s">
        <v>158</v>
      </c>
      <c r="M282" t="s">
        <v>42</v>
      </c>
      <c r="N282" t="s">
        <v>26</v>
      </c>
      <c r="O282" t="s">
        <v>27</v>
      </c>
      <c r="P282" s="1">
        <v>44799</v>
      </c>
      <c r="Q282">
        <f t="shared" si="20"/>
        <v>0</v>
      </c>
      <c r="R282">
        <f t="shared" si="21"/>
        <v>0</v>
      </c>
      <c r="S282">
        <f t="shared" si="22"/>
        <v>0</v>
      </c>
      <c r="T282" s="11">
        <f t="shared" si="23"/>
        <v>2019</v>
      </c>
      <c r="U282" s="11">
        <f t="shared" si="24"/>
        <v>41572</v>
      </c>
    </row>
    <row r="283" spans="1:21" x14ac:dyDescent="0.3">
      <c r="A283" t="s">
        <v>642</v>
      </c>
      <c r="B283">
        <v>2019</v>
      </c>
      <c r="C283" t="s">
        <v>56</v>
      </c>
      <c r="D283" t="s">
        <v>53</v>
      </c>
      <c r="E283">
        <v>33872</v>
      </c>
      <c r="F283" t="s">
        <v>65</v>
      </c>
      <c r="G283">
        <v>47600</v>
      </c>
      <c r="H283" t="s">
        <v>77</v>
      </c>
      <c r="I283" t="s">
        <v>58</v>
      </c>
      <c r="J283" t="s">
        <v>126</v>
      </c>
      <c r="K283" t="s">
        <v>23</v>
      </c>
      <c r="L283" t="s">
        <v>95</v>
      </c>
      <c r="M283" t="s">
        <v>96</v>
      </c>
      <c r="N283" t="s">
        <v>89</v>
      </c>
      <c r="O283" t="s">
        <v>27</v>
      </c>
      <c r="P283" s="1">
        <v>44799</v>
      </c>
      <c r="Q283">
        <f t="shared" si="20"/>
        <v>0</v>
      </c>
      <c r="R283">
        <f t="shared" si="21"/>
        <v>0</v>
      </c>
      <c r="S283">
        <f t="shared" si="22"/>
        <v>0</v>
      </c>
      <c r="T283" s="11">
        <f t="shared" si="23"/>
        <v>2019</v>
      </c>
      <c r="U283" s="11">
        <f t="shared" si="24"/>
        <v>33872</v>
      </c>
    </row>
    <row r="284" spans="1:21" x14ac:dyDescent="0.3">
      <c r="A284" t="s">
        <v>643</v>
      </c>
      <c r="B284">
        <v>2019</v>
      </c>
      <c r="C284" t="s">
        <v>56</v>
      </c>
      <c r="D284" t="s">
        <v>53</v>
      </c>
      <c r="E284">
        <v>46884</v>
      </c>
      <c r="F284" t="s">
        <v>65</v>
      </c>
      <c r="G284">
        <v>45900</v>
      </c>
      <c r="H284" t="s">
        <v>20</v>
      </c>
      <c r="I284" t="s">
        <v>58</v>
      </c>
      <c r="J284" t="s">
        <v>66</v>
      </c>
      <c r="K284" t="s">
        <v>23</v>
      </c>
      <c r="L284" t="s">
        <v>158</v>
      </c>
      <c r="M284" t="s">
        <v>42</v>
      </c>
      <c r="N284" t="s">
        <v>26</v>
      </c>
      <c r="O284" t="s">
        <v>27</v>
      </c>
      <c r="P284" s="1">
        <v>44799</v>
      </c>
      <c r="Q284">
        <f t="shared" si="20"/>
        <v>0</v>
      </c>
      <c r="R284">
        <f t="shared" si="21"/>
        <v>0</v>
      </c>
      <c r="S284">
        <f t="shared" si="22"/>
        <v>0</v>
      </c>
      <c r="T284" s="11">
        <f t="shared" si="23"/>
        <v>2019</v>
      </c>
      <c r="U284" s="11">
        <f t="shared" si="24"/>
        <v>46884</v>
      </c>
    </row>
    <row r="285" spans="1:21" x14ac:dyDescent="0.3">
      <c r="A285" t="s">
        <v>644</v>
      </c>
      <c r="B285">
        <v>2020</v>
      </c>
      <c r="C285" t="s">
        <v>29</v>
      </c>
      <c r="D285" t="s">
        <v>32</v>
      </c>
      <c r="E285">
        <v>22316</v>
      </c>
      <c r="F285" t="s">
        <v>31</v>
      </c>
      <c r="G285">
        <v>95600</v>
      </c>
      <c r="H285" t="s">
        <v>53</v>
      </c>
      <c r="I285" t="s">
        <v>21</v>
      </c>
      <c r="J285" t="s">
        <v>645</v>
      </c>
      <c r="K285" t="s">
        <v>23</v>
      </c>
      <c r="L285" t="s">
        <v>95</v>
      </c>
      <c r="M285" t="s">
        <v>96</v>
      </c>
      <c r="N285" t="s">
        <v>89</v>
      </c>
      <c r="O285" t="s">
        <v>27</v>
      </c>
      <c r="P285" s="1">
        <v>44799</v>
      </c>
      <c r="Q285">
        <f t="shared" si="20"/>
        <v>0</v>
      </c>
      <c r="R285">
        <f t="shared" si="21"/>
        <v>1</v>
      </c>
      <c r="S285">
        <f t="shared" si="22"/>
        <v>0</v>
      </c>
      <c r="T285" s="11">
        <f t="shared" si="23"/>
        <v>2020</v>
      </c>
      <c r="U285" s="11">
        <f t="shared" si="24"/>
        <v>22316</v>
      </c>
    </row>
    <row r="286" spans="1:21" x14ac:dyDescent="0.3">
      <c r="A286" t="s">
        <v>646</v>
      </c>
      <c r="B286">
        <v>2020</v>
      </c>
      <c r="C286" t="s">
        <v>17</v>
      </c>
      <c r="D286" t="s">
        <v>32</v>
      </c>
      <c r="E286">
        <v>17045</v>
      </c>
      <c r="F286" t="s">
        <v>207</v>
      </c>
      <c r="G286">
        <v>64000</v>
      </c>
      <c r="H286" t="s">
        <v>20</v>
      </c>
      <c r="I286" t="s">
        <v>78</v>
      </c>
      <c r="J286" t="s">
        <v>200</v>
      </c>
      <c r="K286" t="s">
        <v>23</v>
      </c>
      <c r="L286" t="s">
        <v>158</v>
      </c>
      <c r="M286" t="s">
        <v>42</v>
      </c>
      <c r="N286" t="s">
        <v>26</v>
      </c>
      <c r="O286" t="s">
        <v>27</v>
      </c>
      <c r="P286" s="1">
        <v>44799</v>
      </c>
      <c r="Q286">
        <f t="shared" si="20"/>
        <v>0</v>
      </c>
      <c r="R286">
        <f t="shared" si="21"/>
        <v>0</v>
      </c>
      <c r="S286">
        <f t="shared" si="22"/>
        <v>1</v>
      </c>
      <c r="T286" s="11">
        <f t="shared" si="23"/>
        <v>2020</v>
      </c>
      <c r="U286" s="11">
        <f t="shared" si="24"/>
        <v>17045</v>
      </c>
    </row>
    <row r="287" spans="1:21" x14ac:dyDescent="0.3">
      <c r="A287" t="s">
        <v>647</v>
      </c>
      <c r="B287">
        <v>2019</v>
      </c>
      <c r="C287" t="s">
        <v>29</v>
      </c>
      <c r="D287" t="s">
        <v>30</v>
      </c>
      <c r="E287">
        <v>19053</v>
      </c>
      <c r="F287" t="s">
        <v>177</v>
      </c>
      <c r="G287">
        <v>100400</v>
      </c>
      <c r="H287" t="s">
        <v>32</v>
      </c>
      <c r="I287" t="s">
        <v>110</v>
      </c>
      <c r="J287" t="s">
        <v>648</v>
      </c>
      <c r="K287" t="s">
        <v>23</v>
      </c>
      <c r="L287" t="s">
        <v>87</v>
      </c>
      <c r="M287" t="s">
        <v>88</v>
      </c>
      <c r="N287" t="s">
        <v>89</v>
      </c>
      <c r="O287" t="s">
        <v>27</v>
      </c>
      <c r="P287" s="1">
        <v>44799</v>
      </c>
      <c r="Q287">
        <f t="shared" si="20"/>
        <v>0</v>
      </c>
      <c r="R287">
        <f t="shared" si="21"/>
        <v>1</v>
      </c>
      <c r="S287">
        <f t="shared" si="22"/>
        <v>0</v>
      </c>
      <c r="T287" s="11">
        <f t="shared" si="23"/>
        <v>2019</v>
      </c>
      <c r="U287" s="11">
        <f t="shared" si="24"/>
        <v>19053</v>
      </c>
    </row>
    <row r="288" spans="1:21" x14ac:dyDescent="0.3">
      <c r="A288" t="s">
        <v>649</v>
      </c>
      <c r="B288">
        <v>2021</v>
      </c>
      <c r="C288" t="s">
        <v>56</v>
      </c>
      <c r="D288" t="s">
        <v>32</v>
      </c>
      <c r="E288">
        <v>17220</v>
      </c>
      <c r="F288" t="s">
        <v>57</v>
      </c>
      <c r="G288">
        <v>70300</v>
      </c>
      <c r="H288" t="s">
        <v>77</v>
      </c>
      <c r="I288" t="s">
        <v>78</v>
      </c>
      <c r="J288" t="s">
        <v>650</v>
      </c>
      <c r="K288" t="s">
        <v>23</v>
      </c>
      <c r="L288" t="s">
        <v>197</v>
      </c>
      <c r="M288" t="s">
        <v>198</v>
      </c>
      <c r="N288" t="s">
        <v>26</v>
      </c>
      <c r="O288" t="s">
        <v>27</v>
      </c>
      <c r="P288" s="1">
        <v>44799</v>
      </c>
      <c r="Q288">
        <f t="shared" si="20"/>
        <v>0</v>
      </c>
      <c r="R288">
        <f t="shared" si="21"/>
        <v>0</v>
      </c>
      <c r="S288">
        <f t="shared" si="22"/>
        <v>0</v>
      </c>
      <c r="T288" s="11">
        <f t="shared" si="23"/>
        <v>2021</v>
      </c>
      <c r="U288" s="11">
        <f t="shared" si="24"/>
        <v>17220</v>
      </c>
    </row>
    <row r="289" spans="1:21" x14ac:dyDescent="0.3">
      <c r="A289" t="s">
        <v>651</v>
      </c>
      <c r="B289">
        <v>2021</v>
      </c>
      <c r="C289" t="s">
        <v>29</v>
      </c>
      <c r="D289" t="s">
        <v>53</v>
      </c>
      <c r="E289">
        <v>13626</v>
      </c>
      <c r="F289" t="s">
        <v>177</v>
      </c>
      <c r="G289">
        <v>126900</v>
      </c>
      <c r="H289" t="s">
        <v>53</v>
      </c>
      <c r="I289" t="s">
        <v>110</v>
      </c>
      <c r="J289" t="s">
        <v>652</v>
      </c>
      <c r="K289" t="s">
        <v>23</v>
      </c>
      <c r="L289" t="s">
        <v>100</v>
      </c>
      <c r="M289" t="s">
        <v>101</v>
      </c>
      <c r="N289" t="s">
        <v>102</v>
      </c>
      <c r="O289" t="s">
        <v>27</v>
      </c>
      <c r="P289" s="1">
        <v>44799</v>
      </c>
      <c r="Q289">
        <f t="shared" si="20"/>
        <v>0</v>
      </c>
      <c r="R289">
        <f t="shared" si="21"/>
        <v>1</v>
      </c>
      <c r="S289">
        <f t="shared" si="22"/>
        <v>0</v>
      </c>
      <c r="T289" s="11">
        <f t="shared" si="23"/>
        <v>2021</v>
      </c>
      <c r="U289" s="11">
        <f t="shared" si="24"/>
        <v>13626</v>
      </c>
    </row>
    <row r="290" spans="1:21" x14ac:dyDescent="0.3">
      <c r="A290" t="s">
        <v>653</v>
      </c>
      <c r="B290">
        <v>2020</v>
      </c>
      <c r="C290" t="s">
        <v>56</v>
      </c>
      <c r="D290" t="s">
        <v>32</v>
      </c>
      <c r="E290">
        <v>14813</v>
      </c>
      <c r="F290" t="s">
        <v>71</v>
      </c>
      <c r="G290">
        <v>60900</v>
      </c>
      <c r="H290" t="s">
        <v>20</v>
      </c>
      <c r="I290" t="s">
        <v>21</v>
      </c>
      <c r="J290" t="s">
        <v>449</v>
      </c>
      <c r="K290" t="s">
        <v>23</v>
      </c>
      <c r="L290" t="s">
        <v>205</v>
      </c>
      <c r="M290" t="s">
        <v>42</v>
      </c>
      <c r="N290" t="s">
        <v>26</v>
      </c>
      <c r="O290" t="s">
        <v>27</v>
      </c>
      <c r="P290" s="1">
        <v>44799</v>
      </c>
      <c r="Q290">
        <f t="shared" si="20"/>
        <v>0</v>
      </c>
      <c r="R290">
        <f t="shared" si="21"/>
        <v>0</v>
      </c>
      <c r="S290">
        <f t="shared" si="22"/>
        <v>0</v>
      </c>
      <c r="T290" s="11">
        <f t="shared" si="23"/>
        <v>2020</v>
      </c>
      <c r="U290" s="11">
        <f t="shared" si="24"/>
        <v>14813</v>
      </c>
    </row>
    <row r="291" spans="1:21" x14ac:dyDescent="0.3">
      <c r="A291" t="s">
        <v>654</v>
      </c>
      <c r="B291">
        <v>2020</v>
      </c>
      <c r="C291" t="s">
        <v>17</v>
      </c>
      <c r="D291" t="s">
        <v>30</v>
      </c>
      <c r="E291">
        <v>12675</v>
      </c>
      <c r="F291" t="s">
        <v>207</v>
      </c>
      <c r="G291">
        <v>71900</v>
      </c>
      <c r="H291" t="s">
        <v>20</v>
      </c>
      <c r="I291" t="s">
        <v>21</v>
      </c>
      <c r="J291" t="s">
        <v>626</v>
      </c>
      <c r="K291" t="s">
        <v>23</v>
      </c>
      <c r="L291" t="s">
        <v>95</v>
      </c>
      <c r="M291" t="s">
        <v>96</v>
      </c>
      <c r="N291" t="s">
        <v>89</v>
      </c>
      <c r="O291" t="s">
        <v>27</v>
      </c>
      <c r="P291" s="1">
        <v>44799</v>
      </c>
      <c r="Q291">
        <f t="shared" si="20"/>
        <v>0</v>
      </c>
      <c r="R291">
        <f t="shared" si="21"/>
        <v>0</v>
      </c>
      <c r="S291">
        <f t="shared" si="22"/>
        <v>1</v>
      </c>
      <c r="T291" s="11">
        <f t="shared" si="23"/>
        <v>2020</v>
      </c>
      <c r="U291" s="11">
        <f t="shared" si="24"/>
        <v>12675</v>
      </c>
    </row>
    <row r="292" spans="1:21" x14ac:dyDescent="0.3">
      <c r="A292" t="s">
        <v>655</v>
      </c>
      <c r="B292">
        <v>2020</v>
      </c>
      <c r="C292" t="s">
        <v>56</v>
      </c>
      <c r="D292" t="s">
        <v>32</v>
      </c>
      <c r="E292">
        <v>43117</v>
      </c>
      <c r="F292" t="s">
        <v>71</v>
      </c>
      <c r="G292">
        <v>59100</v>
      </c>
      <c r="H292" t="s">
        <v>20</v>
      </c>
      <c r="I292" t="s">
        <v>21</v>
      </c>
      <c r="J292" t="s">
        <v>449</v>
      </c>
      <c r="K292" t="s">
        <v>23</v>
      </c>
      <c r="L292" t="s">
        <v>197</v>
      </c>
      <c r="M292" t="s">
        <v>198</v>
      </c>
      <c r="N292" t="s">
        <v>26</v>
      </c>
      <c r="O292" t="s">
        <v>27</v>
      </c>
      <c r="P292" s="1">
        <v>44799</v>
      </c>
      <c r="Q292">
        <f t="shared" si="20"/>
        <v>0</v>
      </c>
      <c r="R292">
        <f t="shared" si="21"/>
        <v>0</v>
      </c>
      <c r="S292">
        <f t="shared" si="22"/>
        <v>0</v>
      </c>
      <c r="T292" s="11">
        <f t="shared" si="23"/>
        <v>2020</v>
      </c>
      <c r="U292" s="11">
        <f t="shared" si="24"/>
        <v>43117</v>
      </c>
    </row>
    <row r="293" spans="1:21" x14ac:dyDescent="0.3">
      <c r="A293" t="s">
        <v>656</v>
      </c>
      <c r="B293">
        <v>2018</v>
      </c>
      <c r="C293" t="s">
        <v>29</v>
      </c>
      <c r="D293" t="s">
        <v>53</v>
      </c>
      <c r="E293">
        <v>72459</v>
      </c>
      <c r="F293" t="s">
        <v>104</v>
      </c>
      <c r="G293">
        <v>74700</v>
      </c>
      <c r="H293" t="s">
        <v>53</v>
      </c>
      <c r="I293" t="s">
        <v>21</v>
      </c>
      <c r="J293" t="s">
        <v>657</v>
      </c>
      <c r="K293" t="s">
        <v>23</v>
      </c>
      <c r="L293" t="s">
        <v>84</v>
      </c>
      <c r="M293" t="s">
        <v>48</v>
      </c>
      <c r="N293" t="s">
        <v>69</v>
      </c>
      <c r="O293" t="s">
        <v>27</v>
      </c>
      <c r="P293" s="1">
        <v>44799</v>
      </c>
      <c r="Q293">
        <f t="shared" si="20"/>
        <v>0</v>
      </c>
      <c r="R293">
        <f t="shared" si="21"/>
        <v>1</v>
      </c>
      <c r="S293">
        <f t="shared" si="22"/>
        <v>0</v>
      </c>
      <c r="T293" s="11">
        <f t="shared" si="23"/>
        <v>2018</v>
      </c>
      <c r="U293" s="11">
        <f t="shared" si="24"/>
        <v>72459</v>
      </c>
    </row>
    <row r="294" spans="1:21" x14ac:dyDescent="0.3">
      <c r="A294" t="s">
        <v>658</v>
      </c>
      <c r="B294">
        <v>2019</v>
      </c>
      <c r="C294" t="s">
        <v>56</v>
      </c>
      <c r="D294" t="s">
        <v>32</v>
      </c>
      <c r="E294">
        <v>38053</v>
      </c>
      <c r="F294" t="s">
        <v>57</v>
      </c>
      <c r="G294">
        <v>58300</v>
      </c>
      <c r="H294" t="s">
        <v>77</v>
      </c>
      <c r="I294" t="s">
        <v>58</v>
      </c>
      <c r="J294" t="s">
        <v>411</v>
      </c>
      <c r="K294" t="s">
        <v>23</v>
      </c>
      <c r="L294" t="s">
        <v>163</v>
      </c>
      <c r="M294" t="s">
        <v>164</v>
      </c>
      <c r="N294" t="s">
        <v>26</v>
      </c>
      <c r="O294" t="s">
        <v>27</v>
      </c>
      <c r="P294" s="1">
        <v>44799</v>
      </c>
      <c r="Q294">
        <f t="shared" si="20"/>
        <v>0</v>
      </c>
      <c r="R294">
        <f t="shared" si="21"/>
        <v>0</v>
      </c>
      <c r="S294">
        <f t="shared" si="22"/>
        <v>0</v>
      </c>
      <c r="T294" s="11">
        <f t="shared" si="23"/>
        <v>2019</v>
      </c>
      <c r="U294" s="11">
        <f t="shared" si="24"/>
        <v>38053</v>
      </c>
    </row>
    <row r="295" spans="1:21" x14ac:dyDescent="0.3">
      <c r="A295" t="s">
        <v>659</v>
      </c>
      <c r="B295">
        <v>2019</v>
      </c>
      <c r="C295" t="s">
        <v>29</v>
      </c>
      <c r="D295" t="s">
        <v>32</v>
      </c>
      <c r="E295">
        <v>31047</v>
      </c>
      <c r="F295" t="s">
        <v>177</v>
      </c>
      <c r="G295">
        <v>96900</v>
      </c>
      <c r="H295" t="s">
        <v>32</v>
      </c>
      <c r="I295" t="s">
        <v>21</v>
      </c>
      <c r="J295" t="s">
        <v>660</v>
      </c>
      <c r="K295" t="s">
        <v>23</v>
      </c>
      <c r="L295" t="s">
        <v>371</v>
      </c>
      <c r="M295" t="s">
        <v>48</v>
      </c>
      <c r="N295" t="s">
        <v>49</v>
      </c>
      <c r="O295" t="s">
        <v>27</v>
      </c>
      <c r="P295" s="1">
        <v>44799</v>
      </c>
      <c r="Q295">
        <f t="shared" si="20"/>
        <v>0</v>
      </c>
      <c r="R295">
        <f t="shared" si="21"/>
        <v>1</v>
      </c>
      <c r="S295">
        <f t="shared" si="22"/>
        <v>0</v>
      </c>
      <c r="T295" s="11">
        <f t="shared" si="23"/>
        <v>2019</v>
      </c>
      <c r="U295" s="11">
        <f t="shared" si="24"/>
        <v>31047</v>
      </c>
    </row>
    <row r="296" spans="1:21" x14ac:dyDescent="0.3">
      <c r="A296" t="s">
        <v>661</v>
      </c>
      <c r="B296">
        <v>2021</v>
      </c>
      <c r="C296" t="s">
        <v>56</v>
      </c>
      <c r="D296" t="s">
        <v>32</v>
      </c>
      <c r="E296">
        <v>4910</v>
      </c>
      <c r="F296" t="s">
        <v>65</v>
      </c>
      <c r="G296">
        <v>56400</v>
      </c>
      <c r="H296" t="s">
        <v>20</v>
      </c>
      <c r="I296" t="s">
        <v>78</v>
      </c>
      <c r="J296" t="s">
        <v>317</v>
      </c>
      <c r="K296" t="s">
        <v>23</v>
      </c>
      <c r="L296" t="s">
        <v>205</v>
      </c>
      <c r="M296" t="s">
        <v>42</v>
      </c>
      <c r="N296" t="s">
        <v>26</v>
      </c>
      <c r="O296" t="s">
        <v>27</v>
      </c>
      <c r="P296" s="1">
        <v>44799</v>
      </c>
      <c r="Q296">
        <f t="shared" si="20"/>
        <v>0</v>
      </c>
      <c r="R296">
        <f t="shared" si="21"/>
        <v>0</v>
      </c>
      <c r="S296">
        <f t="shared" si="22"/>
        <v>0</v>
      </c>
      <c r="T296" s="11">
        <f t="shared" si="23"/>
        <v>2021</v>
      </c>
      <c r="U296" s="11">
        <f t="shared" si="24"/>
        <v>4910</v>
      </c>
    </row>
    <row r="297" spans="1:21" x14ac:dyDescent="0.3">
      <c r="A297" t="s">
        <v>662</v>
      </c>
      <c r="B297">
        <v>2020</v>
      </c>
      <c r="C297" t="s">
        <v>17</v>
      </c>
      <c r="D297" t="s">
        <v>18</v>
      </c>
      <c r="E297">
        <v>50733</v>
      </c>
      <c r="F297" t="s">
        <v>207</v>
      </c>
      <c r="G297">
        <v>61000</v>
      </c>
      <c r="H297" t="s">
        <v>20</v>
      </c>
      <c r="I297" t="s">
        <v>21</v>
      </c>
      <c r="J297" t="s">
        <v>526</v>
      </c>
      <c r="K297" t="s">
        <v>23</v>
      </c>
      <c r="L297" t="s">
        <v>84</v>
      </c>
      <c r="M297" t="s">
        <v>48</v>
      </c>
      <c r="N297" t="s">
        <v>69</v>
      </c>
      <c r="O297" t="s">
        <v>27</v>
      </c>
      <c r="P297" s="1">
        <v>44799</v>
      </c>
      <c r="Q297">
        <f t="shared" si="20"/>
        <v>0</v>
      </c>
      <c r="R297">
        <f t="shared" si="21"/>
        <v>0</v>
      </c>
      <c r="S297">
        <f t="shared" si="22"/>
        <v>1</v>
      </c>
      <c r="T297" s="11">
        <f t="shared" si="23"/>
        <v>2020</v>
      </c>
      <c r="U297" s="11">
        <f t="shared" si="24"/>
        <v>50733</v>
      </c>
    </row>
    <row r="298" spans="1:21" x14ac:dyDescent="0.3">
      <c r="A298" t="s">
        <v>663</v>
      </c>
      <c r="B298">
        <v>2021</v>
      </c>
      <c r="C298" t="s">
        <v>37</v>
      </c>
      <c r="D298" t="s">
        <v>32</v>
      </c>
      <c r="E298">
        <v>2719</v>
      </c>
      <c r="F298" t="s">
        <v>131</v>
      </c>
      <c r="G298">
        <v>121000</v>
      </c>
      <c r="H298" t="s">
        <v>53</v>
      </c>
      <c r="I298" t="s">
        <v>39</v>
      </c>
      <c r="J298" t="s">
        <v>664</v>
      </c>
      <c r="K298" t="s">
        <v>23</v>
      </c>
      <c r="L298" t="s">
        <v>205</v>
      </c>
      <c r="M298" t="s">
        <v>42</v>
      </c>
      <c r="N298" t="s">
        <v>26</v>
      </c>
      <c r="O298" t="s">
        <v>27</v>
      </c>
      <c r="P298" s="1">
        <v>44799</v>
      </c>
      <c r="Q298">
        <f t="shared" si="20"/>
        <v>1</v>
      </c>
      <c r="R298">
        <f t="shared" si="21"/>
        <v>0</v>
      </c>
      <c r="S298">
        <f t="shared" si="22"/>
        <v>0</v>
      </c>
      <c r="T298" s="11">
        <f t="shared" si="23"/>
        <v>2021</v>
      </c>
      <c r="U298" s="11">
        <f t="shared" si="24"/>
        <v>2719</v>
      </c>
    </row>
    <row r="299" spans="1:21" x14ac:dyDescent="0.3">
      <c r="A299" t="s">
        <v>665</v>
      </c>
      <c r="B299">
        <v>2019</v>
      </c>
      <c r="C299" t="s">
        <v>56</v>
      </c>
      <c r="D299" t="s">
        <v>53</v>
      </c>
      <c r="E299">
        <v>21691</v>
      </c>
      <c r="F299" t="s">
        <v>65</v>
      </c>
      <c r="G299">
        <v>48000</v>
      </c>
      <c r="H299" t="s">
        <v>20</v>
      </c>
      <c r="I299" t="s">
        <v>78</v>
      </c>
      <c r="J299" t="s">
        <v>534</v>
      </c>
      <c r="K299" t="s">
        <v>23</v>
      </c>
      <c r="L299" t="s">
        <v>95</v>
      </c>
      <c r="M299" t="s">
        <v>96</v>
      </c>
      <c r="N299" t="s">
        <v>89</v>
      </c>
      <c r="O299" t="s">
        <v>27</v>
      </c>
      <c r="P299" s="1">
        <v>44799</v>
      </c>
      <c r="Q299">
        <f t="shared" si="20"/>
        <v>0</v>
      </c>
      <c r="R299">
        <f t="shared" si="21"/>
        <v>0</v>
      </c>
      <c r="S299">
        <f t="shared" si="22"/>
        <v>0</v>
      </c>
      <c r="T299" s="11">
        <f t="shared" si="23"/>
        <v>2019</v>
      </c>
      <c r="U299" s="11">
        <f t="shared" si="24"/>
        <v>21691</v>
      </c>
    </row>
    <row r="300" spans="1:21" x14ac:dyDescent="0.3">
      <c r="A300" t="s">
        <v>666</v>
      </c>
      <c r="B300">
        <v>2021</v>
      </c>
      <c r="C300" t="s">
        <v>17</v>
      </c>
      <c r="D300" t="s">
        <v>32</v>
      </c>
      <c r="E300">
        <v>23579</v>
      </c>
      <c r="F300" t="s">
        <v>207</v>
      </c>
      <c r="G300">
        <v>71000</v>
      </c>
      <c r="H300" t="s">
        <v>77</v>
      </c>
      <c r="I300" t="s">
        <v>21</v>
      </c>
      <c r="J300" t="s">
        <v>476</v>
      </c>
      <c r="K300" t="s">
        <v>23</v>
      </c>
      <c r="L300" t="s">
        <v>193</v>
      </c>
      <c r="M300" t="s">
        <v>194</v>
      </c>
      <c r="N300" t="s">
        <v>26</v>
      </c>
      <c r="O300" t="s">
        <v>27</v>
      </c>
      <c r="P300" s="1">
        <v>44799</v>
      </c>
      <c r="Q300">
        <f t="shared" si="20"/>
        <v>0</v>
      </c>
      <c r="R300">
        <f t="shared" si="21"/>
        <v>0</v>
      </c>
      <c r="S300">
        <f t="shared" si="22"/>
        <v>1</v>
      </c>
      <c r="T300" s="11">
        <f t="shared" si="23"/>
        <v>2021</v>
      </c>
      <c r="U300" s="11">
        <f t="shared" si="24"/>
        <v>23579</v>
      </c>
    </row>
    <row r="301" spans="1:21" x14ac:dyDescent="0.3">
      <c r="A301" t="s">
        <v>667</v>
      </c>
      <c r="B301">
        <v>2020</v>
      </c>
      <c r="C301" t="s">
        <v>56</v>
      </c>
      <c r="D301" t="s">
        <v>93</v>
      </c>
      <c r="E301">
        <v>15737</v>
      </c>
      <c r="F301" t="s">
        <v>71</v>
      </c>
      <c r="G301">
        <v>63800</v>
      </c>
      <c r="H301" t="s">
        <v>20</v>
      </c>
      <c r="I301" t="s">
        <v>21</v>
      </c>
      <c r="J301" t="s">
        <v>668</v>
      </c>
      <c r="K301" t="s">
        <v>23</v>
      </c>
      <c r="L301" t="s">
        <v>95</v>
      </c>
      <c r="M301" t="s">
        <v>96</v>
      </c>
      <c r="N301" t="s">
        <v>89</v>
      </c>
      <c r="O301" t="s">
        <v>27</v>
      </c>
      <c r="P301" s="1">
        <v>44799</v>
      </c>
      <c r="Q301">
        <f t="shared" si="20"/>
        <v>0</v>
      </c>
      <c r="R301">
        <f t="shared" si="21"/>
        <v>0</v>
      </c>
      <c r="S301">
        <f t="shared" si="22"/>
        <v>0</v>
      </c>
      <c r="T301" s="11">
        <f t="shared" si="23"/>
        <v>2020</v>
      </c>
      <c r="U301" s="11">
        <f t="shared" si="24"/>
        <v>15737</v>
      </c>
    </row>
    <row r="302" spans="1:21" x14ac:dyDescent="0.3">
      <c r="A302" t="s">
        <v>669</v>
      </c>
      <c r="B302">
        <v>2021</v>
      </c>
      <c r="C302" t="s">
        <v>56</v>
      </c>
      <c r="D302" t="s">
        <v>93</v>
      </c>
      <c r="E302">
        <v>43533</v>
      </c>
      <c r="F302" t="s">
        <v>143</v>
      </c>
      <c r="G302">
        <v>61000</v>
      </c>
      <c r="H302" t="s">
        <v>77</v>
      </c>
      <c r="J302" t="s">
        <v>670</v>
      </c>
      <c r="K302" t="s">
        <v>23</v>
      </c>
      <c r="L302" t="s">
        <v>193</v>
      </c>
      <c r="M302" t="s">
        <v>194</v>
      </c>
      <c r="N302" t="s">
        <v>26</v>
      </c>
      <c r="O302" t="s">
        <v>27</v>
      </c>
      <c r="P302" s="1">
        <v>44799</v>
      </c>
      <c r="Q302">
        <f t="shared" si="20"/>
        <v>0</v>
      </c>
      <c r="R302">
        <f t="shared" si="21"/>
        <v>0</v>
      </c>
      <c r="S302">
        <f t="shared" si="22"/>
        <v>0</v>
      </c>
      <c r="T302" s="11">
        <f t="shared" si="23"/>
        <v>2021</v>
      </c>
      <c r="U302" s="11">
        <f t="shared" si="24"/>
        <v>43533</v>
      </c>
    </row>
    <row r="303" spans="1:21" x14ac:dyDescent="0.3">
      <c r="A303" t="s">
        <v>671</v>
      </c>
      <c r="B303">
        <v>2020</v>
      </c>
      <c r="C303" t="s">
        <v>17</v>
      </c>
      <c r="D303" t="s">
        <v>18</v>
      </c>
      <c r="E303">
        <v>25501</v>
      </c>
      <c r="F303" t="s">
        <v>207</v>
      </c>
      <c r="G303">
        <v>69900</v>
      </c>
      <c r="H303" t="s">
        <v>20</v>
      </c>
      <c r="I303" t="s">
        <v>21</v>
      </c>
      <c r="J303" t="s">
        <v>326</v>
      </c>
      <c r="K303" t="s">
        <v>23</v>
      </c>
      <c r="L303" t="s">
        <v>243</v>
      </c>
      <c r="M303" t="s">
        <v>244</v>
      </c>
      <c r="N303" t="s">
        <v>245</v>
      </c>
      <c r="O303" t="s">
        <v>27</v>
      </c>
      <c r="P303" s="1">
        <v>44799</v>
      </c>
      <c r="Q303">
        <f t="shared" si="20"/>
        <v>0</v>
      </c>
      <c r="R303">
        <f t="shared" si="21"/>
        <v>0</v>
      </c>
      <c r="S303">
        <f t="shared" si="22"/>
        <v>1</v>
      </c>
      <c r="T303" s="11">
        <f t="shared" si="23"/>
        <v>2020</v>
      </c>
      <c r="U303" s="11">
        <f t="shared" si="24"/>
        <v>25501</v>
      </c>
    </row>
    <row r="304" spans="1:21" x14ac:dyDescent="0.3">
      <c r="A304" t="s">
        <v>672</v>
      </c>
      <c r="B304">
        <v>2020</v>
      </c>
      <c r="C304" t="s">
        <v>56</v>
      </c>
      <c r="D304" t="s">
        <v>32</v>
      </c>
      <c r="E304">
        <v>28971</v>
      </c>
      <c r="F304" t="s">
        <v>65</v>
      </c>
      <c r="G304">
        <v>48400</v>
      </c>
      <c r="H304" t="s">
        <v>20</v>
      </c>
      <c r="I304" t="s">
        <v>58</v>
      </c>
      <c r="J304" t="s">
        <v>192</v>
      </c>
      <c r="K304" t="s">
        <v>23</v>
      </c>
      <c r="L304" t="s">
        <v>183</v>
      </c>
      <c r="M304" t="s">
        <v>25</v>
      </c>
      <c r="N304" t="s">
        <v>26</v>
      </c>
      <c r="O304" t="s">
        <v>27</v>
      </c>
      <c r="P304" s="1">
        <v>44799</v>
      </c>
      <c r="Q304">
        <f t="shared" si="20"/>
        <v>0</v>
      </c>
      <c r="R304">
        <f t="shared" si="21"/>
        <v>0</v>
      </c>
      <c r="S304">
        <f t="shared" si="22"/>
        <v>0</v>
      </c>
      <c r="T304" s="11">
        <f t="shared" si="23"/>
        <v>2020</v>
      </c>
      <c r="U304" s="11">
        <f t="shared" si="24"/>
        <v>28971</v>
      </c>
    </row>
    <row r="305" spans="1:21" x14ac:dyDescent="0.3">
      <c r="A305" t="s">
        <v>673</v>
      </c>
      <c r="B305">
        <v>2021</v>
      </c>
      <c r="C305" t="s">
        <v>17</v>
      </c>
      <c r="D305" t="s">
        <v>76</v>
      </c>
      <c r="E305">
        <v>4138</v>
      </c>
      <c r="F305" t="s">
        <v>189</v>
      </c>
      <c r="G305">
        <v>81400</v>
      </c>
      <c r="H305" t="s">
        <v>77</v>
      </c>
      <c r="I305" t="s">
        <v>39</v>
      </c>
      <c r="J305" t="s">
        <v>674</v>
      </c>
      <c r="K305" t="s">
        <v>23</v>
      </c>
      <c r="L305" t="s">
        <v>243</v>
      </c>
      <c r="M305" t="s">
        <v>244</v>
      </c>
      <c r="N305" t="s">
        <v>245</v>
      </c>
      <c r="O305" t="s">
        <v>27</v>
      </c>
      <c r="P305" s="1">
        <v>44799</v>
      </c>
      <c r="Q305">
        <f t="shared" si="20"/>
        <v>0</v>
      </c>
      <c r="R305">
        <f t="shared" si="21"/>
        <v>0</v>
      </c>
      <c r="S305">
        <f t="shared" si="22"/>
        <v>1</v>
      </c>
      <c r="T305" s="11">
        <f t="shared" si="23"/>
        <v>2021</v>
      </c>
      <c r="U305" s="11">
        <f t="shared" si="24"/>
        <v>4138</v>
      </c>
    </row>
    <row r="306" spans="1:21" x14ac:dyDescent="0.3">
      <c r="A306" t="s">
        <v>675</v>
      </c>
      <c r="B306">
        <v>2021</v>
      </c>
      <c r="C306" t="s">
        <v>17</v>
      </c>
      <c r="D306" t="s">
        <v>32</v>
      </c>
      <c r="E306">
        <v>11934</v>
      </c>
      <c r="F306" t="s">
        <v>19</v>
      </c>
      <c r="G306">
        <v>74200</v>
      </c>
      <c r="H306" t="s">
        <v>77</v>
      </c>
      <c r="I306" t="s">
        <v>21</v>
      </c>
      <c r="J306" t="s">
        <v>476</v>
      </c>
      <c r="K306" t="s">
        <v>23</v>
      </c>
      <c r="L306" t="s">
        <v>224</v>
      </c>
      <c r="M306" t="s">
        <v>202</v>
      </c>
      <c r="N306" t="s">
        <v>203</v>
      </c>
      <c r="O306" t="s">
        <v>27</v>
      </c>
      <c r="P306" s="1">
        <v>44799</v>
      </c>
      <c r="Q306">
        <f t="shared" si="20"/>
        <v>0</v>
      </c>
      <c r="R306">
        <f t="shared" si="21"/>
        <v>0</v>
      </c>
      <c r="S306">
        <f t="shared" si="22"/>
        <v>1</v>
      </c>
      <c r="T306" s="11">
        <f t="shared" si="23"/>
        <v>2021</v>
      </c>
      <c r="U306" s="11">
        <f t="shared" si="24"/>
        <v>11934</v>
      </c>
    </row>
    <row r="307" spans="1:21" x14ac:dyDescent="0.3">
      <c r="A307" t="s">
        <v>676</v>
      </c>
      <c r="B307">
        <v>2020</v>
      </c>
      <c r="C307" t="s">
        <v>17</v>
      </c>
      <c r="D307" t="s">
        <v>32</v>
      </c>
      <c r="E307">
        <v>19063</v>
      </c>
      <c r="F307" t="s">
        <v>207</v>
      </c>
      <c r="G307">
        <v>60900</v>
      </c>
      <c r="H307" t="s">
        <v>20</v>
      </c>
      <c r="I307" t="s">
        <v>78</v>
      </c>
      <c r="J307" t="s">
        <v>200</v>
      </c>
      <c r="K307" t="s">
        <v>23</v>
      </c>
      <c r="L307" t="s">
        <v>447</v>
      </c>
      <c r="N307" t="s">
        <v>203</v>
      </c>
      <c r="O307" t="s">
        <v>27</v>
      </c>
      <c r="P307" s="1">
        <v>44799</v>
      </c>
      <c r="Q307">
        <f t="shared" si="20"/>
        <v>0</v>
      </c>
      <c r="R307">
        <f t="shared" si="21"/>
        <v>0</v>
      </c>
      <c r="S307">
        <f t="shared" si="22"/>
        <v>1</v>
      </c>
      <c r="T307" s="11">
        <f t="shared" si="23"/>
        <v>2020</v>
      </c>
      <c r="U307" s="11">
        <f t="shared" si="24"/>
        <v>19063</v>
      </c>
    </row>
    <row r="308" spans="1:21" x14ac:dyDescent="0.3">
      <c r="A308" t="s">
        <v>677</v>
      </c>
      <c r="B308">
        <v>2019</v>
      </c>
      <c r="C308" t="s">
        <v>56</v>
      </c>
      <c r="D308" t="s">
        <v>32</v>
      </c>
      <c r="E308">
        <v>44556</v>
      </c>
      <c r="F308" t="s">
        <v>71</v>
      </c>
      <c r="G308">
        <v>57400</v>
      </c>
      <c r="H308" t="s">
        <v>77</v>
      </c>
      <c r="I308" t="s">
        <v>21</v>
      </c>
      <c r="J308" t="s">
        <v>121</v>
      </c>
      <c r="K308" t="s">
        <v>23</v>
      </c>
      <c r="L308" t="s">
        <v>95</v>
      </c>
      <c r="M308" t="s">
        <v>96</v>
      </c>
      <c r="N308" t="s">
        <v>89</v>
      </c>
      <c r="O308" t="s">
        <v>27</v>
      </c>
      <c r="P308" s="1">
        <v>44798</v>
      </c>
      <c r="Q308">
        <f t="shared" si="20"/>
        <v>0</v>
      </c>
      <c r="R308">
        <f t="shared" si="21"/>
        <v>0</v>
      </c>
      <c r="S308">
        <f t="shared" si="22"/>
        <v>0</v>
      </c>
      <c r="T308" s="11">
        <f t="shared" si="23"/>
        <v>2019</v>
      </c>
      <c r="U308" s="11">
        <f t="shared" si="24"/>
        <v>44556</v>
      </c>
    </row>
    <row r="309" spans="1:21" x14ac:dyDescent="0.3">
      <c r="A309" t="s">
        <v>678</v>
      </c>
      <c r="B309">
        <v>2021</v>
      </c>
      <c r="C309" t="s">
        <v>37</v>
      </c>
      <c r="D309" t="s">
        <v>32</v>
      </c>
      <c r="E309">
        <v>6621</v>
      </c>
      <c r="F309" t="s">
        <v>131</v>
      </c>
      <c r="G309">
        <v>127600</v>
      </c>
      <c r="H309" t="s">
        <v>32</v>
      </c>
      <c r="I309" t="s">
        <v>39</v>
      </c>
      <c r="J309" t="s">
        <v>679</v>
      </c>
      <c r="K309" t="s">
        <v>23</v>
      </c>
      <c r="L309" t="s">
        <v>680</v>
      </c>
      <c r="M309" t="s">
        <v>113</v>
      </c>
      <c r="N309" t="s">
        <v>114</v>
      </c>
      <c r="O309" t="s">
        <v>27</v>
      </c>
      <c r="P309" s="1">
        <v>44798</v>
      </c>
      <c r="Q309">
        <f t="shared" si="20"/>
        <v>1</v>
      </c>
      <c r="R309">
        <f t="shared" si="21"/>
        <v>0</v>
      </c>
      <c r="S309">
        <f t="shared" si="22"/>
        <v>0</v>
      </c>
      <c r="T309" s="11">
        <f t="shared" si="23"/>
        <v>2021</v>
      </c>
      <c r="U309" s="11">
        <f t="shared" si="24"/>
        <v>6621</v>
      </c>
    </row>
    <row r="310" spans="1:21" x14ac:dyDescent="0.3">
      <c r="A310" t="s">
        <v>681</v>
      </c>
      <c r="B310">
        <v>2021</v>
      </c>
      <c r="C310" t="s">
        <v>37</v>
      </c>
      <c r="D310" t="s">
        <v>30</v>
      </c>
      <c r="E310">
        <v>3917</v>
      </c>
      <c r="F310" t="s">
        <v>211</v>
      </c>
      <c r="G310">
        <v>111900</v>
      </c>
      <c r="H310" t="s">
        <v>45</v>
      </c>
      <c r="I310" t="s">
        <v>78</v>
      </c>
      <c r="J310" t="s">
        <v>682</v>
      </c>
      <c r="K310" t="s">
        <v>23</v>
      </c>
      <c r="N310" t="s">
        <v>127</v>
      </c>
      <c r="O310" t="s">
        <v>27</v>
      </c>
      <c r="P310" s="1">
        <v>44798</v>
      </c>
      <c r="Q310">
        <f t="shared" si="20"/>
        <v>1</v>
      </c>
      <c r="R310">
        <f t="shared" si="21"/>
        <v>0</v>
      </c>
      <c r="S310">
        <f t="shared" si="22"/>
        <v>0</v>
      </c>
      <c r="T310" s="11">
        <f t="shared" si="23"/>
        <v>2021</v>
      </c>
      <c r="U310" s="11">
        <f t="shared" si="24"/>
        <v>3917</v>
      </c>
    </row>
    <row r="311" spans="1:21" x14ac:dyDescent="0.3">
      <c r="A311" t="s">
        <v>683</v>
      </c>
      <c r="B311">
        <v>2020</v>
      </c>
      <c r="C311" t="s">
        <v>56</v>
      </c>
      <c r="D311" t="s">
        <v>53</v>
      </c>
      <c r="E311">
        <v>43825</v>
      </c>
      <c r="F311" t="s">
        <v>57</v>
      </c>
      <c r="G311">
        <v>56500</v>
      </c>
      <c r="H311" t="s">
        <v>20</v>
      </c>
      <c r="I311" t="s">
        <v>58</v>
      </c>
      <c r="J311" t="s">
        <v>59</v>
      </c>
      <c r="K311" t="s">
        <v>23</v>
      </c>
      <c r="L311" t="s">
        <v>494</v>
      </c>
      <c r="M311" t="s">
        <v>113</v>
      </c>
      <c r="N311" t="s">
        <v>114</v>
      </c>
      <c r="O311" t="s">
        <v>27</v>
      </c>
      <c r="P311" s="1">
        <v>44798</v>
      </c>
      <c r="Q311">
        <f t="shared" si="20"/>
        <v>0</v>
      </c>
      <c r="R311">
        <f t="shared" si="21"/>
        <v>0</v>
      </c>
      <c r="S311">
        <f t="shared" si="22"/>
        <v>0</v>
      </c>
      <c r="T311" s="11">
        <f t="shared" si="23"/>
        <v>2020</v>
      </c>
      <c r="U311" s="11">
        <f t="shared" si="24"/>
        <v>43825</v>
      </c>
    </row>
    <row r="312" spans="1:21" x14ac:dyDescent="0.3">
      <c r="A312" t="s">
        <v>684</v>
      </c>
      <c r="B312">
        <v>2018</v>
      </c>
      <c r="C312" t="s">
        <v>56</v>
      </c>
      <c r="D312" t="s">
        <v>32</v>
      </c>
      <c r="E312">
        <v>19205</v>
      </c>
      <c r="F312" t="s">
        <v>57</v>
      </c>
      <c r="G312">
        <v>60400</v>
      </c>
      <c r="H312" t="s">
        <v>77</v>
      </c>
      <c r="I312" t="s">
        <v>78</v>
      </c>
      <c r="J312" t="s">
        <v>650</v>
      </c>
      <c r="K312" t="s">
        <v>23</v>
      </c>
      <c r="N312" t="s">
        <v>127</v>
      </c>
      <c r="O312" t="s">
        <v>27</v>
      </c>
      <c r="P312" s="1">
        <v>44798</v>
      </c>
      <c r="Q312">
        <f t="shared" si="20"/>
        <v>0</v>
      </c>
      <c r="R312">
        <f t="shared" si="21"/>
        <v>0</v>
      </c>
      <c r="S312">
        <f t="shared" si="22"/>
        <v>0</v>
      </c>
      <c r="T312" s="11">
        <f t="shared" si="23"/>
        <v>2018</v>
      </c>
      <c r="U312" s="11">
        <f t="shared" si="24"/>
        <v>19205</v>
      </c>
    </row>
    <row r="313" spans="1:21" x14ac:dyDescent="0.3">
      <c r="A313" t="s">
        <v>685</v>
      </c>
      <c r="B313">
        <v>2019</v>
      </c>
      <c r="C313" t="s">
        <v>56</v>
      </c>
      <c r="D313" t="s">
        <v>93</v>
      </c>
      <c r="E313">
        <v>16097</v>
      </c>
      <c r="F313" t="s">
        <v>234</v>
      </c>
      <c r="G313">
        <v>54000</v>
      </c>
      <c r="H313" t="s">
        <v>20</v>
      </c>
      <c r="I313" t="s">
        <v>78</v>
      </c>
      <c r="J313" t="s">
        <v>290</v>
      </c>
      <c r="K313" t="s">
        <v>23</v>
      </c>
      <c r="L313" t="s">
        <v>494</v>
      </c>
      <c r="M313" t="s">
        <v>113</v>
      </c>
      <c r="N313" t="s">
        <v>114</v>
      </c>
      <c r="O313" t="s">
        <v>27</v>
      </c>
      <c r="P313" s="1">
        <v>44798</v>
      </c>
      <c r="Q313">
        <f t="shared" si="20"/>
        <v>0</v>
      </c>
      <c r="R313">
        <f t="shared" si="21"/>
        <v>0</v>
      </c>
      <c r="S313">
        <f t="shared" si="22"/>
        <v>0</v>
      </c>
      <c r="T313" s="11">
        <f t="shared" si="23"/>
        <v>2019</v>
      </c>
      <c r="U313" s="11">
        <f t="shared" si="24"/>
        <v>16097</v>
      </c>
    </row>
    <row r="314" spans="1:21" x14ac:dyDescent="0.3">
      <c r="A314" t="s">
        <v>686</v>
      </c>
      <c r="B314">
        <v>2021</v>
      </c>
      <c r="C314" t="s">
        <v>17</v>
      </c>
      <c r="D314" t="s">
        <v>30</v>
      </c>
      <c r="E314">
        <v>4433</v>
      </c>
      <c r="F314" t="s">
        <v>19</v>
      </c>
      <c r="G314">
        <v>79200</v>
      </c>
      <c r="H314" t="s">
        <v>77</v>
      </c>
      <c r="I314" t="s">
        <v>21</v>
      </c>
      <c r="J314" t="s">
        <v>687</v>
      </c>
      <c r="K314" t="s">
        <v>23</v>
      </c>
      <c r="L314" t="s">
        <v>494</v>
      </c>
      <c r="M314" t="s">
        <v>113</v>
      </c>
      <c r="N314" t="s">
        <v>114</v>
      </c>
      <c r="O314" t="s">
        <v>27</v>
      </c>
      <c r="P314" s="1">
        <v>44798</v>
      </c>
      <c r="Q314">
        <f t="shared" si="20"/>
        <v>0</v>
      </c>
      <c r="R314">
        <f t="shared" si="21"/>
        <v>0</v>
      </c>
      <c r="S314">
        <f t="shared" si="22"/>
        <v>1</v>
      </c>
      <c r="T314" s="11">
        <f t="shared" si="23"/>
        <v>2021</v>
      </c>
      <c r="U314" s="11">
        <f t="shared" si="24"/>
        <v>4433</v>
      </c>
    </row>
    <row r="315" spans="1:21" x14ac:dyDescent="0.3">
      <c r="A315" t="s">
        <v>688</v>
      </c>
      <c r="B315">
        <v>2022</v>
      </c>
      <c r="C315" t="s">
        <v>56</v>
      </c>
      <c r="D315" t="s">
        <v>32</v>
      </c>
      <c r="E315">
        <v>3576</v>
      </c>
      <c r="F315" t="s">
        <v>143</v>
      </c>
      <c r="G315">
        <v>72600</v>
      </c>
      <c r="H315" t="s">
        <v>20</v>
      </c>
      <c r="J315" t="s">
        <v>324</v>
      </c>
      <c r="K315" t="s">
        <v>23</v>
      </c>
      <c r="N315" t="s">
        <v>127</v>
      </c>
      <c r="O315" t="s">
        <v>27</v>
      </c>
      <c r="P315" s="1">
        <v>44798</v>
      </c>
      <c r="Q315">
        <f t="shared" si="20"/>
        <v>0</v>
      </c>
      <c r="R315">
        <f t="shared" si="21"/>
        <v>0</v>
      </c>
      <c r="S315">
        <f t="shared" si="22"/>
        <v>0</v>
      </c>
      <c r="T315" s="11">
        <f t="shared" si="23"/>
        <v>2022</v>
      </c>
      <c r="U315" s="11">
        <f t="shared" si="24"/>
        <v>3576</v>
      </c>
    </row>
    <row r="316" spans="1:21" x14ac:dyDescent="0.3">
      <c r="A316" t="s">
        <v>689</v>
      </c>
      <c r="B316">
        <v>2019</v>
      </c>
      <c r="C316" t="s">
        <v>37</v>
      </c>
      <c r="D316" t="s">
        <v>53</v>
      </c>
      <c r="E316">
        <v>20325</v>
      </c>
      <c r="F316" t="s">
        <v>38</v>
      </c>
      <c r="G316">
        <v>80100</v>
      </c>
      <c r="H316" t="s">
        <v>53</v>
      </c>
      <c r="I316" t="s">
        <v>78</v>
      </c>
      <c r="J316" t="s">
        <v>690</v>
      </c>
      <c r="K316" t="s">
        <v>23</v>
      </c>
      <c r="L316" t="s">
        <v>691</v>
      </c>
      <c r="M316" t="s">
        <v>692</v>
      </c>
      <c r="N316" t="s">
        <v>119</v>
      </c>
      <c r="O316" t="s">
        <v>27</v>
      </c>
      <c r="P316" s="1">
        <v>44798</v>
      </c>
      <c r="Q316">
        <f t="shared" si="20"/>
        <v>1</v>
      </c>
      <c r="R316">
        <f t="shared" si="21"/>
        <v>0</v>
      </c>
      <c r="S316">
        <f t="shared" si="22"/>
        <v>0</v>
      </c>
      <c r="T316" s="11">
        <f t="shared" si="23"/>
        <v>2019</v>
      </c>
      <c r="U316" s="11">
        <f t="shared" si="24"/>
        <v>20325</v>
      </c>
    </row>
    <row r="317" spans="1:21" x14ac:dyDescent="0.3">
      <c r="A317" t="s">
        <v>693</v>
      </c>
      <c r="B317">
        <v>2018</v>
      </c>
      <c r="C317" t="s">
        <v>56</v>
      </c>
      <c r="D317" t="s">
        <v>93</v>
      </c>
      <c r="E317">
        <v>34202</v>
      </c>
      <c r="F317" t="s">
        <v>234</v>
      </c>
      <c r="G317">
        <v>49000</v>
      </c>
      <c r="H317" t="s">
        <v>20</v>
      </c>
      <c r="I317" t="s">
        <v>58</v>
      </c>
      <c r="J317" t="s">
        <v>541</v>
      </c>
      <c r="K317" t="s">
        <v>23</v>
      </c>
      <c r="N317" t="s">
        <v>127</v>
      </c>
      <c r="O317" t="s">
        <v>27</v>
      </c>
      <c r="P317" s="1">
        <v>44798</v>
      </c>
      <c r="Q317">
        <f t="shared" si="20"/>
        <v>0</v>
      </c>
      <c r="R317">
        <f t="shared" si="21"/>
        <v>0</v>
      </c>
      <c r="S317">
        <f t="shared" si="22"/>
        <v>0</v>
      </c>
      <c r="T317" s="11">
        <f t="shared" si="23"/>
        <v>2018</v>
      </c>
      <c r="U317" s="11">
        <f t="shared" si="24"/>
        <v>34202</v>
      </c>
    </row>
    <row r="318" spans="1:21" x14ac:dyDescent="0.3">
      <c r="A318" t="s">
        <v>694</v>
      </c>
      <c r="B318">
        <v>2020</v>
      </c>
      <c r="C318" t="s">
        <v>29</v>
      </c>
      <c r="D318" t="s">
        <v>53</v>
      </c>
      <c r="E318">
        <v>10196</v>
      </c>
      <c r="F318" t="s">
        <v>177</v>
      </c>
      <c r="G318">
        <v>119400</v>
      </c>
      <c r="H318" t="s">
        <v>32</v>
      </c>
      <c r="I318" t="s">
        <v>21</v>
      </c>
      <c r="J318" t="s">
        <v>695</v>
      </c>
      <c r="K318" t="s">
        <v>23</v>
      </c>
      <c r="L318" t="s">
        <v>34</v>
      </c>
      <c r="N318" t="s">
        <v>35</v>
      </c>
      <c r="O318" t="s">
        <v>27</v>
      </c>
      <c r="P318" s="1">
        <v>44798</v>
      </c>
      <c r="Q318">
        <f t="shared" si="20"/>
        <v>0</v>
      </c>
      <c r="R318">
        <f t="shared" si="21"/>
        <v>1</v>
      </c>
      <c r="S318">
        <f t="shared" si="22"/>
        <v>0</v>
      </c>
      <c r="T318" s="11">
        <f t="shared" si="23"/>
        <v>2020</v>
      </c>
      <c r="U318" s="11">
        <f t="shared" si="24"/>
        <v>10196</v>
      </c>
    </row>
    <row r="319" spans="1:21" x14ac:dyDescent="0.3">
      <c r="A319" t="s">
        <v>696</v>
      </c>
      <c r="B319">
        <v>2019</v>
      </c>
      <c r="C319" t="s">
        <v>56</v>
      </c>
      <c r="D319" t="s">
        <v>93</v>
      </c>
      <c r="E319">
        <v>18108</v>
      </c>
      <c r="F319" t="s">
        <v>65</v>
      </c>
      <c r="G319">
        <v>48700</v>
      </c>
      <c r="H319" t="s">
        <v>77</v>
      </c>
      <c r="I319" t="s">
        <v>78</v>
      </c>
      <c r="J319" t="s">
        <v>697</v>
      </c>
      <c r="K319" t="s">
        <v>23</v>
      </c>
      <c r="N319" t="s">
        <v>127</v>
      </c>
      <c r="O319" t="s">
        <v>27</v>
      </c>
      <c r="P319" s="1">
        <v>44798</v>
      </c>
      <c r="Q319">
        <f t="shared" si="20"/>
        <v>0</v>
      </c>
      <c r="R319">
        <f t="shared" si="21"/>
        <v>0</v>
      </c>
      <c r="S319">
        <f t="shared" si="22"/>
        <v>0</v>
      </c>
      <c r="T319" s="11">
        <f t="shared" si="23"/>
        <v>2019</v>
      </c>
      <c r="U319" s="11">
        <f t="shared" si="24"/>
        <v>18108</v>
      </c>
    </row>
    <row r="320" spans="1:21" x14ac:dyDescent="0.3">
      <c r="A320" t="s">
        <v>698</v>
      </c>
      <c r="B320">
        <v>2020</v>
      </c>
      <c r="C320" t="s">
        <v>56</v>
      </c>
      <c r="D320" t="s">
        <v>30</v>
      </c>
      <c r="E320">
        <v>11674</v>
      </c>
      <c r="F320" t="s">
        <v>71</v>
      </c>
      <c r="G320">
        <v>60300</v>
      </c>
      <c r="H320" t="s">
        <v>20</v>
      </c>
      <c r="I320" t="s">
        <v>78</v>
      </c>
      <c r="J320" t="s">
        <v>699</v>
      </c>
      <c r="K320" t="s">
        <v>23</v>
      </c>
      <c r="L320" t="s">
        <v>700</v>
      </c>
      <c r="M320" t="s">
        <v>701</v>
      </c>
      <c r="N320" t="s">
        <v>427</v>
      </c>
      <c r="O320" t="s">
        <v>27</v>
      </c>
      <c r="P320" s="1">
        <v>44798</v>
      </c>
      <c r="Q320">
        <f t="shared" si="20"/>
        <v>0</v>
      </c>
      <c r="R320">
        <f t="shared" si="21"/>
        <v>0</v>
      </c>
      <c r="S320">
        <f t="shared" si="22"/>
        <v>0</v>
      </c>
      <c r="T320" s="11">
        <f t="shared" si="23"/>
        <v>2020</v>
      </c>
      <c r="U320" s="11">
        <f t="shared" si="24"/>
        <v>11674</v>
      </c>
    </row>
    <row r="321" spans="1:21" x14ac:dyDescent="0.3">
      <c r="A321" t="s">
        <v>702</v>
      </c>
      <c r="B321">
        <v>2021</v>
      </c>
      <c r="C321" t="s">
        <v>17</v>
      </c>
      <c r="D321" t="s">
        <v>30</v>
      </c>
      <c r="E321">
        <v>23726</v>
      </c>
      <c r="F321" t="s">
        <v>19</v>
      </c>
      <c r="G321">
        <v>73700</v>
      </c>
      <c r="H321" t="s">
        <v>20</v>
      </c>
      <c r="I321" t="s">
        <v>78</v>
      </c>
      <c r="J321" t="s">
        <v>703</v>
      </c>
      <c r="K321" t="s">
        <v>23</v>
      </c>
      <c r="L321" t="s">
        <v>292</v>
      </c>
      <c r="M321" t="s">
        <v>172</v>
      </c>
      <c r="N321" t="s">
        <v>173</v>
      </c>
      <c r="O321" t="s">
        <v>27</v>
      </c>
      <c r="P321" s="1">
        <v>44798</v>
      </c>
      <c r="Q321">
        <f t="shared" si="20"/>
        <v>0</v>
      </c>
      <c r="R321">
        <f t="shared" si="21"/>
        <v>0</v>
      </c>
      <c r="S321">
        <f t="shared" si="22"/>
        <v>1</v>
      </c>
      <c r="T321" s="11">
        <f t="shared" si="23"/>
        <v>2021</v>
      </c>
      <c r="U321" s="11">
        <f t="shared" si="24"/>
        <v>23726</v>
      </c>
    </row>
    <row r="322" spans="1:21" x14ac:dyDescent="0.3">
      <c r="A322" t="s">
        <v>704</v>
      </c>
      <c r="B322">
        <v>2019</v>
      </c>
      <c r="C322" t="s">
        <v>56</v>
      </c>
      <c r="D322" t="s">
        <v>32</v>
      </c>
      <c r="E322">
        <v>14703</v>
      </c>
      <c r="F322" t="s">
        <v>65</v>
      </c>
      <c r="G322">
        <v>51800</v>
      </c>
      <c r="H322" t="s">
        <v>77</v>
      </c>
      <c r="I322" t="s">
        <v>78</v>
      </c>
      <c r="J322" t="s">
        <v>388</v>
      </c>
      <c r="K322" t="s">
        <v>23</v>
      </c>
      <c r="L322" t="s">
        <v>224</v>
      </c>
      <c r="M322" t="s">
        <v>202</v>
      </c>
      <c r="N322" t="s">
        <v>203</v>
      </c>
      <c r="O322" t="s">
        <v>27</v>
      </c>
      <c r="P322" s="1">
        <v>44798</v>
      </c>
      <c r="Q322">
        <f t="shared" ref="Q322:Q385" si="25">--(C322="ms")</f>
        <v>0</v>
      </c>
      <c r="R322">
        <f t="shared" ref="R322:R385" si="26">--(C322="mx")</f>
        <v>0</v>
      </c>
      <c r="S322">
        <f t="shared" ref="S322:S385" si="27">--(C322="my")</f>
        <v>0</v>
      </c>
      <c r="T322" s="11">
        <f t="shared" ref="T322:T385" si="28">B322</f>
        <v>2019</v>
      </c>
      <c r="U322" s="11">
        <f t="shared" ref="U322:U385" si="29">E322</f>
        <v>14703</v>
      </c>
    </row>
    <row r="323" spans="1:21" x14ac:dyDescent="0.3">
      <c r="A323" t="s">
        <v>705</v>
      </c>
      <c r="B323">
        <v>2021</v>
      </c>
      <c r="C323" t="s">
        <v>56</v>
      </c>
      <c r="D323" t="s">
        <v>32</v>
      </c>
      <c r="E323">
        <v>7982</v>
      </c>
      <c r="F323" t="s">
        <v>143</v>
      </c>
      <c r="G323">
        <v>71800</v>
      </c>
      <c r="H323" t="s">
        <v>77</v>
      </c>
      <c r="J323" t="s">
        <v>706</v>
      </c>
      <c r="K323" t="s">
        <v>23</v>
      </c>
      <c r="L323" t="s">
        <v>171</v>
      </c>
      <c r="M323" t="s">
        <v>172</v>
      </c>
      <c r="N323" t="s">
        <v>173</v>
      </c>
      <c r="O323" t="s">
        <v>27</v>
      </c>
      <c r="P323" s="1">
        <v>44798</v>
      </c>
      <c r="Q323">
        <f t="shared" si="25"/>
        <v>0</v>
      </c>
      <c r="R323">
        <f t="shared" si="26"/>
        <v>0</v>
      </c>
      <c r="S323">
        <f t="shared" si="27"/>
        <v>0</v>
      </c>
      <c r="T323" s="11">
        <f t="shared" si="28"/>
        <v>2021</v>
      </c>
      <c r="U323" s="11">
        <f t="shared" si="29"/>
        <v>7982</v>
      </c>
    </row>
    <row r="324" spans="1:21" x14ac:dyDescent="0.3">
      <c r="A324" t="s">
        <v>707</v>
      </c>
      <c r="B324">
        <v>2018</v>
      </c>
      <c r="C324" t="s">
        <v>56</v>
      </c>
      <c r="D324" t="s">
        <v>53</v>
      </c>
      <c r="E324">
        <v>25059</v>
      </c>
      <c r="F324" t="s">
        <v>57</v>
      </c>
      <c r="G324">
        <v>58700</v>
      </c>
      <c r="H324" t="s">
        <v>20</v>
      </c>
      <c r="I324" t="s">
        <v>58</v>
      </c>
      <c r="J324" t="s">
        <v>59</v>
      </c>
      <c r="K324" t="s">
        <v>23</v>
      </c>
      <c r="L324" t="s">
        <v>224</v>
      </c>
      <c r="M324" t="s">
        <v>202</v>
      </c>
      <c r="N324" t="s">
        <v>203</v>
      </c>
      <c r="O324" t="s">
        <v>27</v>
      </c>
      <c r="P324" s="1">
        <v>44798</v>
      </c>
      <c r="Q324">
        <f t="shared" si="25"/>
        <v>0</v>
      </c>
      <c r="R324">
        <f t="shared" si="26"/>
        <v>0</v>
      </c>
      <c r="S324">
        <f t="shared" si="27"/>
        <v>0</v>
      </c>
      <c r="T324" s="11">
        <f t="shared" si="28"/>
        <v>2018</v>
      </c>
      <c r="U324" s="11">
        <f t="shared" si="29"/>
        <v>25059</v>
      </c>
    </row>
    <row r="325" spans="1:21" x14ac:dyDescent="0.3">
      <c r="A325" t="s">
        <v>708</v>
      </c>
      <c r="B325">
        <v>2021</v>
      </c>
      <c r="C325" t="s">
        <v>17</v>
      </c>
      <c r="D325" t="s">
        <v>18</v>
      </c>
      <c r="E325">
        <v>15363</v>
      </c>
      <c r="F325" t="s">
        <v>189</v>
      </c>
      <c r="G325">
        <v>73600</v>
      </c>
      <c r="H325" t="s">
        <v>77</v>
      </c>
      <c r="I325" t="s">
        <v>39</v>
      </c>
      <c r="J325" t="s">
        <v>709</v>
      </c>
      <c r="K325" t="s">
        <v>23</v>
      </c>
      <c r="L325" t="s">
        <v>456</v>
      </c>
      <c r="M325" t="s">
        <v>164</v>
      </c>
      <c r="N325" t="s">
        <v>26</v>
      </c>
      <c r="O325" t="s">
        <v>27</v>
      </c>
      <c r="P325" s="1">
        <v>44798</v>
      </c>
      <c r="Q325">
        <f t="shared" si="25"/>
        <v>0</v>
      </c>
      <c r="R325">
        <f t="shared" si="26"/>
        <v>0</v>
      </c>
      <c r="S325">
        <f t="shared" si="27"/>
        <v>1</v>
      </c>
      <c r="T325" s="11">
        <f t="shared" si="28"/>
        <v>2021</v>
      </c>
      <c r="U325" s="11">
        <f t="shared" si="29"/>
        <v>15363</v>
      </c>
    </row>
    <row r="326" spans="1:21" x14ac:dyDescent="0.3">
      <c r="A326" t="s">
        <v>710</v>
      </c>
      <c r="B326">
        <v>2018</v>
      </c>
      <c r="C326" t="s">
        <v>29</v>
      </c>
      <c r="D326" t="s">
        <v>32</v>
      </c>
      <c r="E326">
        <v>37607</v>
      </c>
      <c r="F326" t="s">
        <v>104</v>
      </c>
      <c r="G326">
        <v>79300</v>
      </c>
      <c r="H326" t="s">
        <v>105</v>
      </c>
      <c r="I326" t="s">
        <v>110</v>
      </c>
      <c r="J326" t="s">
        <v>711</v>
      </c>
      <c r="K326" t="s">
        <v>23</v>
      </c>
      <c r="L326" t="s">
        <v>712</v>
      </c>
      <c r="M326" t="s">
        <v>25</v>
      </c>
      <c r="N326" t="s">
        <v>26</v>
      </c>
      <c r="O326" t="s">
        <v>27</v>
      </c>
      <c r="P326" s="1">
        <v>44798</v>
      </c>
      <c r="Q326">
        <f t="shared" si="25"/>
        <v>0</v>
      </c>
      <c r="R326">
        <f t="shared" si="26"/>
        <v>1</v>
      </c>
      <c r="S326">
        <f t="shared" si="27"/>
        <v>0</v>
      </c>
      <c r="T326" s="11">
        <f t="shared" si="28"/>
        <v>2018</v>
      </c>
      <c r="U326" s="11">
        <f t="shared" si="29"/>
        <v>37607</v>
      </c>
    </row>
    <row r="327" spans="1:21" x14ac:dyDescent="0.3">
      <c r="A327" t="s">
        <v>713</v>
      </c>
      <c r="B327">
        <v>2021</v>
      </c>
      <c r="C327" t="s">
        <v>37</v>
      </c>
      <c r="D327" t="s">
        <v>76</v>
      </c>
      <c r="E327">
        <v>6473</v>
      </c>
      <c r="F327" t="s">
        <v>131</v>
      </c>
      <c r="G327">
        <v>116400</v>
      </c>
      <c r="H327" t="s">
        <v>45</v>
      </c>
      <c r="I327" t="s">
        <v>78</v>
      </c>
      <c r="J327" t="s">
        <v>714</v>
      </c>
      <c r="K327" t="s">
        <v>23</v>
      </c>
      <c r="L327" t="s">
        <v>205</v>
      </c>
      <c r="M327" t="s">
        <v>42</v>
      </c>
      <c r="N327" t="s">
        <v>26</v>
      </c>
      <c r="O327" t="s">
        <v>27</v>
      </c>
      <c r="P327" s="1">
        <v>44798</v>
      </c>
      <c r="Q327">
        <f t="shared" si="25"/>
        <v>1</v>
      </c>
      <c r="R327">
        <f t="shared" si="26"/>
        <v>0</v>
      </c>
      <c r="S327">
        <f t="shared" si="27"/>
        <v>0</v>
      </c>
      <c r="T327" s="11">
        <f t="shared" si="28"/>
        <v>2021</v>
      </c>
      <c r="U327" s="11">
        <f t="shared" si="29"/>
        <v>6473</v>
      </c>
    </row>
    <row r="328" spans="1:21" x14ac:dyDescent="0.3">
      <c r="A328" t="s">
        <v>715</v>
      </c>
      <c r="B328">
        <v>2020</v>
      </c>
      <c r="C328" t="s">
        <v>37</v>
      </c>
      <c r="D328" t="s">
        <v>51</v>
      </c>
      <c r="E328">
        <v>51093</v>
      </c>
      <c r="F328" t="s">
        <v>38</v>
      </c>
      <c r="G328">
        <v>79000</v>
      </c>
      <c r="H328" t="s">
        <v>53</v>
      </c>
      <c r="I328" t="s">
        <v>78</v>
      </c>
      <c r="J328" t="s">
        <v>716</v>
      </c>
      <c r="K328" t="s">
        <v>23</v>
      </c>
      <c r="L328" t="s">
        <v>205</v>
      </c>
      <c r="M328" t="s">
        <v>42</v>
      </c>
      <c r="N328" t="s">
        <v>26</v>
      </c>
      <c r="O328" t="s">
        <v>27</v>
      </c>
      <c r="P328" s="1">
        <v>44798</v>
      </c>
      <c r="Q328">
        <f t="shared" si="25"/>
        <v>1</v>
      </c>
      <c r="R328">
        <f t="shared" si="26"/>
        <v>0</v>
      </c>
      <c r="S328">
        <f t="shared" si="27"/>
        <v>0</v>
      </c>
      <c r="T328" s="11">
        <f t="shared" si="28"/>
        <v>2020</v>
      </c>
      <c r="U328" s="11">
        <f t="shared" si="29"/>
        <v>51093</v>
      </c>
    </row>
    <row r="329" spans="1:21" x14ac:dyDescent="0.3">
      <c r="A329" t="s">
        <v>717</v>
      </c>
      <c r="B329">
        <v>2018</v>
      </c>
      <c r="C329" t="s">
        <v>37</v>
      </c>
      <c r="D329" t="s">
        <v>53</v>
      </c>
      <c r="E329">
        <v>45522</v>
      </c>
      <c r="F329" t="s">
        <v>52</v>
      </c>
      <c r="G329">
        <v>74800</v>
      </c>
      <c r="H329" t="s">
        <v>53</v>
      </c>
      <c r="I329" t="s">
        <v>39</v>
      </c>
      <c r="J329" t="s">
        <v>718</v>
      </c>
      <c r="K329" t="s">
        <v>23</v>
      </c>
      <c r="L329" t="s">
        <v>600</v>
      </c>
      <c r="N329" t="s">
        <v>26</v>
      </c>
      <c r="O329" t="s">
        <v>27</v>
      </c>
      <c r="P329" s="1">
        <v>44798</v>
      </c>
      <c r="Q329">
        <f t="shared" si="25"/>
        <v>1</v>
      </c>
      <c r="R329">
        <f t="shared" si="26"/>
        <v>0</v>
      </c>
      <c r="S329">
        <f t="shared" si="27"/>
        <v>0</v>
      </c>
      <c r="T329" s="11">
        <f t="shared" si="28"/>
        <v>2018</v>
      </c>
      <c r="U329" s="11">
        <f t="shared" si="29"/>
        <v>45522</v>
      </c>
    </row>
    <row r="330" spans="1:21" x14ac:dyDescent="0.3">
      <c r="A330" t="s">
        <v>719</v>
      </c>
      <c r="B330">
        <v>2021</v>
      </c>
      <c r="C330" t="s">
        <v>37</v>
      </c>
      <c r="D330" t="s">
        <v>53</v>
      </c>
      <c r="E330">
        <v>7340</v>
      </c>
      <c r="F330" t="s">
        <v>131</v>
      </c>
      <c r="G330">
        <v>119000</v>
      </c>
      <c r="H330" t="s">
        <v>53</v>
      </c>
      <c r="I330" t="s">
        <v>78</v>
      </c>
      <c r="J330" t="s">
        <v>512</v>
      </c>
      <c r="K330" t="s">
        <v>23</v>
      </c>
      <c r="L330" t="s">
        <v>41</v>
      </c>
      <c r="M330" t="s">
        <v>42</v>
      </c>
      <c r="N330" t="s">
        <v>26</v>
      </c>
      <c r="O330" t="s">
        <v>27</v>
      </c>
      <c r="P330" s="1">
        <v>44798</v>
      </c>
      <c r="Q330">
        <f t="shared" si="25"/>
        <v>1</v>
      </c>
      <c r="R330">
        <f t="shared" si="26"/>
        <v>0</v>
      </c>
      <c r="S330">
        <f t="shared" si="27"/>
        <v>0</v>
      </c>
      <c r="T330" s="11">
        <f t="shared" si="28"/>
        <v>2021</v>
      </c>
      <c r="U330" s="11">
        <f t="shared" si="29"/>
        <v>7340</v>
      </c>
    </row>
    <row r="331" spans="1:21" x14ac:dyDescent="0.3">
      <c r="A331" t="s">
        <v>720</v>
      </c>
      <c r="B331">
        <v>2018</v>
      </c>
      <c r="C331" t="s">
        <v>29</v>
      </c>
      <c r="D331" t="s">
        <v>32</v>
      </c>
      <c r="E331">
        <v>24283</v>
      </c>
      <c r="F331" t="s">
        <v>270</v>
      </c>
      <c r="G331">
        <v>87500</v>
      </c>
      <c r="H331" t="s">
        <v>32</v>
      </c>
      <c r="I331" t="s">
        <v>21</v>
      </c>
      <c r="J331" t="s">
        <v>721</v>
      </c>
      <c r="K331" t="s">
        <v>23</v>
      </c>
      <c r="L331" t="s">
        <v>183</v>
      </c>
      <c r="M331" t="s">
        <v>25</v>
      </c>
      <c r="N331" t="s">
        <v>26</v>
      </c>
      <c r="O331" t="s">
        <v>27</v>
      </c>
      <c r="P331" s="1">
        <v>44798</v>
      </c>
      <c r="Q331">
        <f t="shared" si="25"/>
        <v>0</v>
      </c>
      <c r="R331">
        <f t="shared" si="26"/>
        <v>1</v>
      </c>
      <c r="S331">
        <f t="shared" si="27"/>
        <v>0</v>
      </c>
      <c r="T331" s="11">
        <f t="shared" si="28"/>
        <v>2018</v>
      </c>
      <c r="U331" s="11">
        <f t="shared" si="29"/>
        <v>24283</v>
      </c>
    </row>
    <row r="332" spans="1:21" x14ac:dyDescent="0.3">
      <c r="A332" t="s">
        <v>722</v>
      </c>
      <c r="B332">
        <v>2019</v>
      </c>
      <c r="C332" t="s">
        <v>37</v>
      </c>
      <c r="D332" t="s">
        <v>51</v>
      </c>
      <c r="E332">
        <v>26824</v>
      </c>
      <c r="F332" t="s">
        <v>38</v>
      </c>
      <c r="G332">
        <v>85300</v>
      </c>
      <c r="H332" t="s">
        <v>53</v>
      </c>
      <c r="I332" t="s">
        <v>78</v>
      </c>
      <c r="J332" t="s">
        <v>716</v>
      </c>
      <c r="K332" t="s">
        <v>23</v>
      </c>
      <c r="L332" t="s">
        <v>224</v>
      </c>
      <c r="M332" t="s">
        <v>202</v>
      </c>
      <c r="N332" t="s">
        <v>203</v>
      </c>
      <c r="O332" t="s">
        <v>27</v>
      </c>
      <c r="P332" s="1">
        <v>44798</v>
      </c>
      <c r="Q332">
        <f t="shared" si="25"/>
        <v>1</v>
      </c>
      <c r="R332">
        <f t="shared" si="26"/>
        <v>0</v>
      </c>
      <c r="S332">
        <f t="shared" si="27"/>
        <v>0</v>
      </c>
      <c r="T332" s="11">
        <f t="shared" si="28"/>
        <v>2019</v>
      </c>
      <c r="U332" s="11">
        <f t="shared" si="29"/>
        <v>26824</v>
      </c>
    </row>
    <row r="333" spans="1:21" x14ac:dyDescent="0.3">
      <c r="A333" t="s">
        <v>723</v>
      </c>
      <c r="B333">
        <v>2018</v>
      </c>
      <c r="C333" t="s">
        <v>56</v>
      </c>
      <c r="D333" t="s">
        <v>30</v>
      </c>
      <c r="E333">
        <v>26321</v>
      </c>
      <c r="F333" t="s">
        <v>57</v>
      </c>
      <c r="G333">
        <v>55800</v>
      </c>
      <c r="H333" t="s">
        <v>20</v>
      </c>
      <c r="I333" t="s">
        <v>78</v>
      </c>
      <c r="J333" t="s">
        <v>124</v>
      </c>
      <c r="K333" t="s">
        <v>23</v>
      </c>
      <c r="L333" t="s">
        <v>122</v>
      </c>
      <c r="M333" t="s">
        <v>113</v>
      </c>
      <c r="N333" t="s">
        <v>114</v>
      </c>
      <c r="O333" t="s">
        <v>27</v>
      </c>
      <c r="P333" s="1">
        <v>44798</v>
      </c>
      <c r="Q333">
        <f t="shared" si="25"/>
        <v>0</v>
      </c>
      <c r="R333">
        <f t="shared" si="26"/>
        <v>0</v>
      </c>
      <c r="S333">
        <f t="shared" si="27"/>
        <v>0</v>
      </c>
      <c r="T333" s="11">
        <f t="shared" si="28"/>
        <v>2018</v>
      </c>
      <c r="U333" s="11">
        <f t="shared" si="29"/>
        <v>26321</v>
      </c>
    </row>
    <row r="334" spans="1:21" x14ac:dyDescent="0.3">
      <c r="A334" t="s">
        <v>724</v>
      </c>
      <c r="B334">
        <v>2021</v>
      </c>
      <c r="C334" t="s">
        <v>17</v>
      </c>
      <c r="D334" t="s">
        <v>30</v>
      </c>
      <c r="E334">
        <v>25253</v>
      </c>
      <c r="F334" t="s">
        <v>19</v>
      </c>
      <c r="G334">
        <v>71200</v>
      </c>
      <c r="H334" t="s">
        <v>77</v>
      </c>
      <c r="I334" t="s">
        <v>21</v>
      </c>
      <c r="J334" t="s">
        <v>725</v>
      </c>
      <c r="K334" t="s">
        <v>23</v>
      </c>
      <c r="L334" t="s">
        <v>122</v>
      </c>
      <c r="M334" t="s">
        <v>113</v>
      </c>
      <c r="N334" t="s">
        <v>114</v>
      </c>
      <c r="O334" t="s">
        <v>27</v>
      </c>
      <c r="P334" s="1">
        <v>44798</v>
      </c>
      <c r="Q334">
        <f t="shared" si="25"/>
        <v>0</v>
      </c>
      <c r="R334">
        <f t="shared" si="26"/>
        <v>0</v>
      </c>
      <c r="S334">
        <f t="shared" si="27"/>
        <v>1</v>
      </c>
      <c r="T334" s="11">
        <f t="shared" si="28"/>
        <v>2021</v>
      </c>
      <c r="U334" s="11">
        <f t="shared" si="29"/>
        <v>25253</v>
      </c>
    </row>
    <row r="335" spans="1:21" x14ac:dyDescent="0.3">
      <c r="A335" t="s">
        <v>726</v>
      </c>
      <c r="B335">
        <v>2020</v>
      </c>
      <c r="C335" t="s">
        <v>29</v>
      </c>
      <c r="D335" t="s">
        <v>51</v>
      </c>
      <c r="E335">
        <v>27885</v>
      </c>
      <c r="F335" t="s">
        <v>177</v>
      </c>
      <c r="G335">
        <v>108400</v>
      </c>
      <c r="H335" t="s">
        <v>53</v>
      </c>
      <c r="I335" t="s">
        <v>110</v>
      </c>
      <c r="J335" t="s">
        <v>727</v>
      </c>
      <c r="K335" t="s">
        <v>23</v>
      </c>
      <c r="L335" t="s">
        <v>95</v>
      </c>
      <c r="M335" t="s">
        <v>96</v>
      </c>
      <c r="N335" t="s">
        <v>89</v>
      </c>
      <c r="O335" t="s">
        <v>27</v>
      </c>
      <c r="P335" s="1">
        <v>44798</v>
      </c>
      <c r="Q335">
        <f t="shared" si="25"/>
        <v>0</v>
      </c>
      <c r="R335">
        <f t="shared" si="26"/>
        <v>1</v>
      </c>
      <c r="S335">
        <f t="shared" si="27"/>
        <v>0</v>
      </c>
      <c r="T335" s="11">
        <f t="shared" si="28"/>
        <v>2020</v>
      </c>
      <c r="U335" s="11">
        <f t="shared" si="29"/>
        <v>27885</v>
      </c>
    </row>
    <row r="336" spans="1:21" x14ac:dyDescent="0.3">
      <c r="A336" t="s">
        <v>728</v>
      </c>
      <c r="B336">
        <v>2018</v>
      </c>
      <c r="C336" t="s">
        <v>56</v>
      </c>
      <c r="D336" t="s">
        <v>32</v>
      </c>
      <c r="E336">
        <v>27025</v>
      </c>
      <c r="F336" t="s">
        <v>636</v>
      </c>
      <c r="G336">
        <v>44400</v>
      </c>
      <c r="H336" t="s">
        <v>20</v>
      </c>
      <c r="I336" t="s">
        <v>78</v>
      </c>
      <c r="J336" t="s">
        <v>729</v>
      </c>
      <c r="K336" t="s">
        <v>23</v>
      </c>
      <c r="L336" t="s">
        <v>84</v>
      </c>
      <c r="M336" t="s">
        <v>48</v>
      </c>
      <c r="N336" t="s">
        <v>69</v>
      </c>
      <c r="O336" t="s">
        <v>27</v>
      </c>
      <c r="P336" s="1">
        <v>44798</v>
      </c>
      <c r="Q336">
        <f t="shared" si="25"/>
        <v>0</v>
      </c>
      <c r="R336">
        <f t="shared" si="26"/>
        <v>0</v>
      </c>
      <c r="S336">
        <f t="shared" si="27"/>
        <v>0</v>
      </c>
      <c r="T336" s="11">
        <f t="shared" si="28"/>
        <v>2018</v>
      </c>
      <c r="U336" s="11">
        <f t="shared" si="29"/>
        <v>27025</v>
      </c>
    </row>
    <row r="337" spans="1:21" x14ac:dyDescent="0.3">
      <c r="A337" t="s">
        <v>730</v>
      </c>
      <c r="B337">
        <v>2019</v>
      </c>
      <c r="C337" t="s">
        <v>56</v>
      </c>
      <c r="D337" t="s">
        <v>93</v>
      </c>
      <c r="E337">
        <v>25377</v>
      </c>
      <c r="F337" t="s">
        <v>71</v>
      </c>
      <c r="G337">
        <v>55500</v>
      </c>
      <c r="H337" t="s">
        <v>20</v>
      </c>
      <c r="I337" t="s">
        <v>58</v>
      </c>
      <c r="J337" t="s">
        <v>541</v>
      </c>
      <c r="K337" t="s">
        <v>23</v>
      </c>
      <c r="L337" t="s">
        <v>474</v>
      </c>
      <c r="M337" t="s">
        <v>255</v>
      </c>
      <c r="N337" t="s">
        <v>256</v>
      </c>
      <c r="O337" t="s">
        <v>27</v>
      </c>
      <c r="P337" s="1">
        <v>44798</v>
      </c>
      <c r="Q337">
        <f t="shared" si="25"/>
        <v>0</v>
      </c>
      <c r="R337">
        <f t="shared" si="26"/>
        <v>0</v>
      </c>
      <c r="S337">
        <f t="shared" si="27"/>
        <v>0</v>
      </c>
      <c r="T337" s="11">
        <f t="shared" si="28"/>
        <v>2019</v>
      </c>
      <c r="U337" s="11">
        <f t="shared" si="29"/>
        <v>25377</v>
      </c>
    </row>
    <row r="338" spans="1:21" x14ac:dyDescent="0.3">
      <c r="A338" t="s">
        <v>731</v>
      </c>
      <c r="B338">
        <v>2019</v>
      </c>
      <c r="C338" t="s">
        <v>56</v>
      </c>
      <c r="D338" t="s">
        <v>76</v>
      </c>
      <c r="E338">
        <v>20136</v>
      </c>
      <c r="F338" t="s">
        <v>71</v>
      </c>
      <c r="G338">
        <v>56200</v>
      </c>
      <c r="H338" t="s">
        <v>20</v>
      </c>
      <c r="I338" t="s">
        <v>58</v>
      </c>
      <c r="J338" t="s">
        <v>585</v>
      </c>
      <c r="K338" t="s">
        <v>23</v>
      </c>
      <c r="L338" t="s">
        <v>47</v>
      </c>
      <c r="M338" t="s">
        <v>48</v>
      </c>
      <c r="N338" t="s">
        <v>49</v>
      </c>
      <c r="O338" t="s">
        <v>27</v>
      </c>
      <c r="P338" s="1">
        <v>44798</v>
      </c>
      <c r="Q338">
        <f t="shared" si="25"/>
        <v>0</v>
      </c>
      <c r="R338">
        <f t="shared" si="26"/>
        <v>0</v>
      </c>
      <c r="S338">
        <f t="shared" si="27"/>
        <v>0</v>
      </c>
      <c r="T338" s="11">
        <f t="shared" si="28"/>
        <v>2019</v>
      </c>
      <c r="U338" s="11">
        <f t="shared" si="29"/>
        <v>20136</v>
      </c>
    </row>
    <row r="339" spans="1:21" x14ac:dyDescent="0.3">
      <c r="A339" t="s">
        <v>732</v>
      </c>
      <c r="B339">
        <v>2020</v>
      </c>
      <c r="C339" t="s">
        <v>56</v>
      </c>
      <c r="D339" t="s">
        <v>32</v>
      </c>
      <c r="E339">
        <v>25533</v>
      </c>
      <c r="F339" t="s">
        <v>71</v>
      </c>
      <c r="G339">
        <v>62000</v>
      </c>
      <c r="H339" t="s">
        <v>20</v>
      </c>
      <c r="I339" t="s">
        <v>58</v>
      </c>
      <c r="J339" t="s">
        <v>373</v>
      </c>
      <c r="K339" t="s">
        <v>23</v>
      </c>
      <c r="L339" t="s">
        <v>474</v>
      </c>
      <c r="M339" t="s">
        <v>255</v>
      </c>
      <c r="N339" t="s">
        <v>256</v>
      </c>
      <c r="O339" t="s">
        <v>27</v>
      </c>
      <c r="P339" s="1">
        <v>44798</v>
      </c>
      <c r="Q339">
        <f t="shared" si="25"/>
        <v>0</v>
      </c>
      <c r="R339">
        <f t="shared" si="26"/>
        <v>0</v>
      </c>
      <c r="S339">
        <f t="shared" si="27"/>
        <v>0</v>
      </c>
      <c r="T339" s="11">
        <f t="shared" si="28"/>
        <v>2020</v>
      </c>
      <c r="U339" s="11">
        <f t="shared" si="29"/>
        <v>25533</v>
      </c>
    </row>
    <row r="340" spans="1:21" x14ac:dyDescent="0.3">
      <c r="A340" t="s">
        <v>733</v>
      </c>
      <c r="B340">
        <v>2018</v>
      </c>
      <c r="C340" t="s">
        <v>29</v>
      </c>
      <c r="D340" t="s">
        <v>53</v>
      </c>
      <c r="E340">
        <v>27807</v>
      </c>
      <c r="F340" t="s">
        <v>104</v>
      </c>
      <c r="G340">
        <v>73800</v>
      </c>
      <c r="H340" t="s">
        <v>32</v>
      </c>
      <c r="I340" t="s">
        <v>21</v>
      </c>
      <c r="J340" t="s">
        <v>734</v>
      </c>
      <c r="K340" t="s">
        <v>23</v>
      </c>
      <c r="L340" t="s">
        <v>84</v>
      </c>
      <c r="M340" t="s">
        <v>48</v>
      </c>
      <c r="N340" t="s">
        <v>69</v>
      </c>
      <c r="O340" t="s">
        <v>27</v>
      </c>
      <c r="P340" s="1">
        <v>44798</v>
      </c>
      <c r="Q340">
        <f t="shared" si="25"/>
        <v>0</v>
      </c>
      <c r="R340">
        <f t="shared" si="26"/>
        <v>1</v>
      </c>
      <c r="S340">
        <f t="shared" si="27"/>
        <v>0</v>
      </c>
      <c r="T340" s="11">
        <f t="shared" si="28"/>
        <v>2018</v>
      </c>
      <c r="U340" s="11">
        <f t="shared" si="29"/>
        <v>27807</v>
      </c>
    </row>
    <row r="341" spans="1:21" x14ac:dyDescent="0.3">
      <c r="A341" t="s">
        <v>735</v>
      </c>
      <c r="B341">
        <v>2020</v>
      </c>
      <c r="C341" t="s">
        <v>17</v>
      </c>
      <c r="D341" t="s">
        <v>18</v>
      </c>
      <c r="E341">
        <v>27525</v>
      </c>
      <c r="F341" t="s">
        <v>156</v>
      </c>
      <c r="G341">
        <v>67600</v>
      </c>
      <c r="H341" t="s">
        <v>20</v>
      </c>
      <c r="I341" t="s">
        <v>21</v>
      </c>
      <c r="J341" t="s">
        <v>736</v>
      </c>
      <c r="K341" t="s">
        <v>23</v>
      </c>
      <c r="L341" t="s">
        <v>247</v>
      </c>
      <c r="M341" t="s">
        <v>248</v>
      </c>
      <c r="N341" t="s">
        <v>249</v>
      </c>
      <c r="O341" t="s">
        <v>27</v>
      </c>
      <c r="P341" s="1">
        <v>44798</v>
      </c>
      <c r="Q341">
        <f t="shared" si="25"/>
        <v>0</v>
      </c>
      <c r="R341">
        <f t="shared" si="26"/>
        <v>0</v>
      </c>
      <c r="S341">
        <f t="shared" si="27"/>
        <v>1</v>
      </c>
      <c r="T341" s="11">
        <f t="shared" si="28"/>
        <v>2020</v>
      </c>
      <c r="U341" s="11">
        <f t="shared" si="29"/>
        <v>27525</v>
      </c>
    </row>
    <row r="342" spans="1:21" x14ac:dyDescent="0.3">
      <c r="A342" t="s">
        <v>737</v>
      </c>
      <c r="B342">
        <v>2021</v>
      </c>
      <c r="C342" t="s">
        <v>37</v>
      </c>
      <c r="D342" t="s">
        <v>32</v>
      </c>
      <c r="E342">
        <v>14299</v>
      </c>
      <c r="F342" t="s">
        <v>211</v>
      </c>
      <c r="G342">
        <v>102500</v>
      </c>
      <c r="H342" t="s">
        <v>53</v>
      </c>
      <c r="I342" t="s">
        <v>78</v>
      </c>
      <c r="J342" t="s">
        <v>738</v>
      </c>
      <c r="K342" t="s">
        <v>23</v>
      </c>
      <c r="L342" t="s">
        <v>342</v>
      </c>
      <c r="M342" t="s">
        <v>244</v>
      </c>
      <c r="N342" t="s">
        <v>245</v>
      </c>
      <c r="O342" t="s">
        <v>27</v>
      </c>
      <c r="P342" s="1">
        <v>44798</v>
      </c>
      <c r="Q342">
        <f t="shared" si="25"/>
        <v>1</v>
      </c>
      <c r="R342">
        <f t="shared" si="26"/>
        <v>0</v>
      </c>
      <c r="S342">
        <f t="shared" si="27"/>
        <v>0</v>
      </c>
      <c r="T342" s="11">
        <f t="shared" si="28"/>
        <v>2021</v>
      </c>
      <c r="U342" s="11">
        <f t="shared" si="29"/>
        <v>14299</v>
      </c>
    </row>
    <row r="343" spans="1:21" x14ac:dyDescent="0.3">
      <c r="A343" t="s">
        <v>739</v>
      </c>
      <c r="B343">
        <v>2021</v>
      </c>
      <c r="C343" t="s">
        <v>56</v>
      </c>
      <c r="D343" t="s">
        <v>53</v>
      </c>
      <c r="E343">
        <v>12129</v>
      </c>
      <c r="F343" t="s">
        <v>65</v>
      </c>
      <c r="G343">
        <v>58400</v>
      </c>
      <c r="H343" t="s">
        <v>77</v>
      </c>
      <c r="I343" t="s">
        <v>58</v>
      </c>
      <c r="J343" t="s">
        <v>126</v>
      </c>
      <c r="K343" t="s">
        <v>23</v>
      </c>
      <c r="L343" t="s">
        <v>95</v>
      </c>
      <c r="M343" t="s">
        <v>96</v>
      </c>
      <c r="N343" t="s">
        <v>89</v>
      </c>
      <c r="O343" t="s">
        <v>27</v>
      </c>
      <c r="P343" s="1">
        <v>44798</v>
      </c>
      <c r="Q343">
        <f t="shared" si="25"/>
        <v>0</v>
      </c>
      <c r="R343">
        <f t="shared" si="26"/>
        <v>0</v>
      </c>
      <c r="S343">
        <f t="shared" si="27"/>
        <v>0</v>
      </c>
      <c r="T343" s="11">
        <f t="shared" si="28"/>
        <v>2021</v>
      </c>
      <c r="U343" s="11">
        <f t="shared" si="29"/>
        <v>12129</v>
      </c>
    </row>
    <row r="344" spans="1:21" x14ac:dyDescent="0.3">
      <c r="A344" t="s">
        <v>740</v>
      </c>
      <c r="B344">
        <v>2022</v>
      </c>
      <c r="C344" t="s">
        <v>17</v>
      </c>
      <c r="D344" t="s">
        <v>76</v>
      </c>
      <c r="E344">
        <v>6148</v>
      </c>
      <c r="F344" t="s">
        <v>189</v>
      </c>
      <c r="G344">
        <v>79400</v>
      </c>
      <c r="H344" t="s">
        <v>77</v>
      </c>
      <c r="I344" t="s">
        <v>39</v>
      </c>
      <c r="J344" t="s">
        <v>741</v>
      </c>
      <c r="K344" t="s">
        <v>23</v>
      </c>
      <c r="L344" t="s">
        <v>243</v>
      </c>
      <c r="M344" t="s">
        <v>244</v>
      </c>
      <c r="N344" t="s">
        <v>245</v>
      </c>
      <c r="O344" t="s">
        <v>27</v>
      </c>
      <c r="P344" s="1">
        <v>44798</v>
      </c>
      <c r="Q344">
        <f t="shared" si="25"/>
        <v>0</v>
      </c>
      <c r="R344">
        <f t="shared" si="26"/>
        <v>0</v>
      </c>
      <c r="S344">
        <f t="shared" si="27"/>
        <v>1</v>
      </c>
      <c r="T344" s="11">
        <f t="shared" si="28"/>
        <v>2022</v>
      </c>
      <c r="U344" s="11">
        <f t="shared" si="29"/>
        <v>6148</v>
      </c>
    </row>
    <row r="345" spans="1:21" x14ac:dyDescent="0.3">
      <c r="A345" t="s">
        <v>742</v>
      </c>
      <c r="B345">
        <v>2019</v>
      </c>
      <c r="C345" t="s">
        <v>56</v>
      </c>
      <c r="D345" t="s">
        <v>93</v>
      </c>
      <c r="E345">
        <v>32768</v>
      </c>
      <c r="F345" t="s">
        <v>65</v>
      </c>
      <c r="G345">
        <v>47800</v>
      </c>
      <c r="H345" t="s">
        <v>20</v>
      </c>
      <c r="I345" t="s">
        <v>58</v>
      </c>
      <c r="J345" t="s">
        <v>294</v>
      </c>
      <c r="K345" t="s">
        <v>23</v>
      </c>
      <c r="L345" t="s">
        <v>205</v>
      </c>
      <c r="M345" t="s">
        <v>42</v>
      </c>
      <c r="N345" t="s">
        <v>26</v>
      </c>
      <c r="O345" t="s">
        <v>27</v>
      </c>
      <c r="P345" s="1">
        <v>44797</v>
      </c>
      <c r="Q345">
        <f t="shared" si="25"/>
        <v>0</v>
      </c>
      <c r="R345">
        <f t="shared" si="26"/>
        <v>0</v>
      </c>
      <c r="S345">
        <f t="shared" si="27"/>
        <v>0</v>
      </c>
      <c r="T345" s="11">
        <f t="shared" si="28"/>
        <v>2019</v>
      </c>
      <c r="U345" s="11">
        <f t="shared" si="29"/>
        <v>32768</v>
      </c>
    </row>
    <row r="346" spans="1:21" x14ac:dyDescent="0.3">
      <c r="A346" t="s">
        <v>743</v>
      </c>
      <c r="B346">
        <v>2019</v>
      </c>
      <c r="C346" t="s">
        <v>56</v>
      </c>
      <c r="D346" t="s">
        <v>32</v>
      </c>
      <c r="E346">
        <v>28432</v>
      </c>
      <c r="F346" t="s">
        <v>71</v>
      </c>
      <c r="G346">
        <v>60500</v>
      </c>
      <c r="H346" t="s">
        <v>77</v>
      </c>
      <c r="I346" t="s">
        <v>21</v>
      </c>
      <c r="J346" t="s">
        <v>121</v>
      </c>
      <c r="K346" t="s">
        <v>23</v>
      </c>
      <c r="L346" t="s">
        <v>543</v>
      </c>
      <c r="M346" t="s">
        <v>544</v>
      </c>
      <c r="N346" t="s">
        <v>545</v>
      </c>
      <c r="O346" t="s">
        <v>27</v>
      </c>
      <c r="P346" s="1">
        <v>44797</v>
      </c>
      <c r="Q346">
        <f t="shared" si="25"/>
        <v>0</v>
      </c>
      <c r="R346">
        <f t="shared" si="26"/>
        <v>0</v>
      </c>
      <c r="S346">
        <f t="shared" si="27"/>
        <v>0</v>
      </c>
      <c r="T346" s="11">
        <f t="shared" si="28"/>
        <v>2019</v>
      </c>
      <c r="U346" s="11">
        <f t="shared" si="29"/>
        <v>28432</v>
      </c>
    </row>
    <row r="347" spans="1:21" x14ac:dyDescent="0.3">
      <c r="A347" t="s">
        <v>744</v>
      </c>
      <c r="B347">
        <v>2019</v>
      </c>
      <c r="C347" t="s">
        <v>56</v>
      </c>
      <c r="D347" t="s">
        <v>76</v>
      </c>
      <c r="E347">
        <v>31776</v>
      </c>
      <c r="F347" t="s">
        <v>234</v>
      </c>
      <c r="G347">
        <v>50800</v>
      </c>
      <c r="H347" t="s">
        <v>20</v>
      </c>
      <c r="I347" t="s">
        <v>58</v>
      </c>
      <c r="J347" t="s">
        <v>585</v>
      </c>
      <c r="K347" t="s">
        <v>23</v>
      </c>
      <c r="L347" t="s">
        <v>24</v>
      </c>
      <c r="M347" t="s">
        <v>25</v>
      </c>
      <c r="N347" t="s">
        <v>26</v>
      </c>
      <c r="O347" t="s">
        <v>27</v>
      </c>
      <c r="P347" s="1">
        <v>44797</v>
      </c>
      <c r="Q347">
        <f t="shared" si="25"/>
        <v>0</v>
      </c>
      <c r="R347">
        <f t="shared" si="26"/>
        <v>0</v>
      </c>
      <c r="S347">
        <f t="shared" si="27"/>
        <v>0</v>
      </c>
      <c r="T347" s="11">
        <f t="shared" si="28"/>
        <v>2019</v>
      </c>
      <c r="U347" s="11">
        <f t="shared" si="29"/>
        <v>31776</v>
      </c>
    </row>
    <row r="348" spans="1:21" x14ac:dyDescent="0.3">
      <c r="A348" t="s">
        <v>745</v>
      </c>
      <c r="B348">
        <v>2021</v>
      </c>
      <c r="C348" t="s">
        <v>37</v>
      </c>
      <c r="D348" t="s">
        <v>76</v>
      </c>
      <c r="E348">
        <v>10309</v>
      </c>
      <c r="F348" t="s">
        <v>131</v>
      </c>
      <c r="G348">
        <v>112300</v>
      </c>
      <c r="H348" t="s">
        <v>45</v>
      </c>
      <c r="I348" t="s">
        <v>78</v>
      </c>
      <c r="J348" t="s">
        <v>714</v>
      </c>
      <c r="K348" t="s">
        <v>23</v>
      </c>
      <c r="L348" t="s">
        <v>100</v>
      </c>
      <c r="M348" t="s">
        <v>101</v>
      </c>
      <c r="N348" t="s">
        <v>102</v>
      </c>
      <c r="O348" t="s">
        <v>27</v>
      </c>
      <c r="P348" s="1">
        <v>44797</v>
      </c>
      <c r="Q348">
        <f t="shared" si="25"/>
        <v>1</v>
      </c>
      <c r="R348">
        <f t="shared" si="26"/>
        <v>0</v>
      </c>
      <c r="S348">
        <f t="shared" si="27"/>
        <v>0</v>
      </c>
      <c r="T348" s="11">
        <f t="shared" si="28"/>
        <v>2021</v>
      </c>
      <c r="U348" s="11">
        <f t="shared" si="29"/>
        <v>10309</v>
      </c>
    </row>
    <row r="349" spans="1:21" x14ac:dyDescent="0.3">
      <c r="A349" t="s">
        <v>746</v>
      </c>
      <c r="B349">
        <v>2019</v>
      </c>
      <c r="C349" t="s">
        <v>56</v>
      </c>
      <c r="D349" t="s">
        <v>76</v>
      </c>
      <c r="E349">
        <v>35330</v>
      </c>
      <c r="F349" t="s">
        <v>65</v>
      </c>
      <c r="G349">
        <v>44500</v>
      </c>
      <c r="H349" t="s">
        <v>20</v>
      </c>
      <c r="I349" t="s">
        <v>58</v>
      </c>
      <c r="J349" t="s">
        <v>399</v>
      </c>
      <c r="K349" t="s">
        <v>23</v>
      </c>
      <c r="L349" t="s">
        <v>24</v>
      </c>
      <c r="M349" t="s">
        <v>25</v>
      </c>
      <c r="N349" t="s">
        <v>26</v>
      </c>
      <c r="O349" t="s">
        <v>27</v>
      </c>
      <c r="P349" s="1">
        <v>44797</v>
      </c>
      <c r="Q349">
        <f t="shared" si="25"/>
        <v>0</v>
      </c>
      <c r="R349">
        <f t="shared" si="26"/>
        <v>0</v>
      </c>
      <c r="S349">
        <f t="shared" si="27"/>
        <v>0</v>
      </c>
      <c r="T349" s="11">
        <f t="shared" si="28"/>
        <v>2019</v>
      </c>
      <c r="U349" s="11">
        <f t="shared" si="29"/>
        <v>35330</v>
      </c>
    </row>
    <row r="350" spans="1:21" x14ac:dyDescent="0.3">
      <c r="A350" t="s">
        <v>747</v>
      </c>
      <c r="B350">
        <v>2022</v>
      </c>
      <c r="C350" t="s">
        <v>56</v>
      </c>
      <c r="D350" t="s">
        <v>53</v>
      </c>
      <c r="E350">
        <v>4809</v>
      </c>
      <c r="F350" t="s">
        <v>748</v>
      </c>
      <c r="G350">
        <v>59100</v>
      </c>
      <c r="H350" t="s">
        <v>20</v>
      </c>
      <c r="I350" t="s">
        <v>58</v>
      </c>
      <c r="J350" t="s">
        <v>66</v>
      </c>
      <c r="K350" t="s">
        <v>23</v>
      </c>
      <c r="L350" t="s">
        <v>87</v>
      </c>
      <c r="M350" t="s">
        <v>88</v>
      </c>
      <c r="N350" t="s">
        <v>89</v>
      </c>
      <c r="O350" t="s">
        <v>27</v>
      </c>
      <c r="P350" s="1">
        <v>44797</v>
      </c>
      <c r="Q350">
        <f t="shared" si="25"/>
        <v>0</v>
      </c>
      <c r="R350">
        <f t="shared" si="26"/>
        <v>0</v>
      </c>
      <c r="S350">
        <f t="shared" si="27"/>
        <v>0</v>
      </c>
      <c r="T350" s="11">
        <f t="shared" si="28"/>
        <v>2022</v>
      </c>
      <c r="U350" s="11">
        <f t="shared" si="29"/>
        <v>4809</v>
      </c>
    </row>
    <row r="351" spans="1:21" x14ac:dyDescent="0.3">
      <c r="A351" t="s">
        <v>749</v>
      </c>
      <c r="B351">
        <v>2016</v>
      </c>
      <c r="C351" t="s">
        <v>29</v>
      </c>
      <c r="D351" t="s">
        <v>32</v>
      </c>
      <c r="E351">
        <v>54290</v>
      </c>
      <c r="F351" t="s">
        <v>153</v>
      </c>
      <c r="G351">
        <v>75400</v>
      </c>
      <c r="H351" t="s">
        <v>53</v>
      </c>
      <c r="I351" t="s">
        <v>110</v>
      </c>
      <c r="J351" t="s">
        <v>750</v>
      </c>
      <c r="K351" t="s">
        <v>23</v>
      </c>
      <c r="L351" t="s">
        <v>254</v>
      </c>
      <c r="M351" t="s">
        <v>255</v>
      </c>
      <c r="N351" t="s">
        <v>256</v>
      </c>
      <c r="O351" t="s">
        <v>27</v>
      </c>
      <c r="P351" s="1">
        <v>44797</v>
      </c>
      <c r="Q351">
        <f t="shared" si="25"/>
        <v>0</v>
      </c>
      <c r="R351">
        <f t="shared" si="26"/>
        <v>1</v>
      </c>
      <c r="S351">
        <f t="shared" si="27"/>
        <v>0</v>
      </c>
      <c r="T351" s="11">
        <f t="shared" si="28"/>
        <v>2016</v>
      </c>
      <c r="U351" s="11">
        <f t="shared" si="29"/>
        <v>54290</v>
      </c>
    </row>
    <row r="352" spans="1:21" x14ac:dyDescent="0.3">
      <c r="A352" t="s">
        <v>751</v>
      </c>
      <c r="B352">
        <v>2019</v>
      </c>
      <c r="C352" t="s">
        <v>37</v>
      </c>
      <c r="D352" t="s">
        <v>51</v>
      </c>
      <c r="E352">
        <v>41188</v>
      </c>
      <c r="F352" t="s">
        <v>104</v>
      </c>
      <c r="G352">
        <v>69700</v>
      </c>
      <c r="H352" t="s">
        <v>53</v>
      </c>
      <c r="I352" t="s">
        <v>78</v>
      </c>
      <c r="J352" t="s">
        <v>752</v>
      </c>
      <c r="K352" t="s">
        <v>23</v>
      </c>
      <c r="L352" t="s">
        <v>84</v>
      </c>
      <c r="M352" t="s">
        <v>48</v>
      </c>
      <c r="N352" t="s">
        <v>69</v>
      </c>
      <c r="O352" t="s">
        <v>27</v>
      </c>
      <c r="P352" s="1">
        <v>44797</v>
      </c>
      <c r="Q352">
        <f t="shared" si="25"/>
        <v>1</v>
      </c>
      <c r="R352">
        <f t="shared" si="26"/>
        <v>0</v>
      </c>
      <c r="S352">
        <f t="shared" si="27"/>
        <v>0</v>
      </c>
      <c r="T352" s="11">
        <f t="shared" si="28"/>
        <v>2019</v>
      </c>
      <c r="U352" s="11">
        <f t="shared" si="29"/>
        <v>41188</v>
      </c>
    </row>
    <row r="353" spans="1:21" x14ac:dyDescent="0.3">
      <c r="A353" t="s">
        <v>753</v>
      </c>
      <c r="B353">
        <v>2021</v>
      </c>
      <c r="C353" t="s">
        <v>56</v>
      </c>
      <c r="D353" t="s">
        <v>32</v>
      </c>
      <c r="E353">
        <v>12015</v>
      </c>
      <c r="F353" t="s">
        <v>57</v>
      </c>
      <c r="G353">
        <v>68600</v>
      </c>
      <c r="H353" t="s">
        <v>20</v>
      </c>
      <c r="I353" t="s">
        <v>58</v>
      </c>
      <c r="J353" t="s">
        <v>168</v>
      </c>
      <c r="K353" t="s">
        <v>23</v>
      </c>
      <c r="L353" t="s">
        <v>474</v>
      </c>
      <c r="M353" t="s">
        <v>255</v>
      </c>
      <c r="N353" t="s">
        <v>256</v>
      </c>
      <c r="O353" t="s">
        <v>27</v>
      </c>
      <c r="P353" s="1">
        <v>44797</v>
      </c>
      <c r="Q353">
        <f t="shared" si="25"/>
        <v>0</v>
      </c>
      <c r="R353">
        <f t="shared" si="26"/>
        <v>0</v>
      </c>
      <c r="S353">
        <f t="shared" si="27"/>
        <v>0</v>
      </c>
      <c r="T353" s="11">
        <f t="shared" si="28"/>
        <v>2021</v>
      </c>
      <c r="U353" s="11">
        <f t="shared" si="29"/>
        <v>12015</v>
      </c>
    </row>
    <row r="354" spans="1:21" x14ac:dyDescent="0.3">
      <c r="A354" t="s">
        <v>754</v>
      </c>
      <c r="B354">
        <v>2018</v>
      </c>
      <c r="C354" t="s">
        <v>37</v>
      </c>
      <c r="D354" t="s">
        <v>30</v>
      </c>
      <c r="E354">
        <v>28673</v>
      </c>
      <c r="F354" t="s">
        <v>52</v>
      </c>
      <c r="G354">
        <v>79400</v>
      </c>
      <c r="H354" t="s">
        <v>53</v>
      </c>
      <c r="I354" t="s">
        <v>78</v>
      </c>
      <c r="J354" t="s">
        <v>755</v>
      </c>
      <c r="K354" t="s">
        <v>23</v>
      </c>
      <c r="L354" t="s">
        <v>756</v>
      </c>
      <c r="M354" t="s">
        <v>261</v>
      </c>
      <c r="N354" t="s">
        <v>262</v>
      </c>
      <c r="O354" t="s">
        <v>27</v>
      </c>
      <c r="P354" s="1">
        <v>44797</v>
      </c>
      <c r="Q354">
        <f t="shared" si="25"/>
        <v>1</v>
      </c>
      <c r="R354">
        <f t="shared" si="26"/>
        <v>0</v>
      </c>
      <c r="S354">
        <f t="shared" si="27"/>
        <v>0</v>
      </c>
      <c r="T354" s="11">
        <f t="shared" si="28"/>
        <v>2018</v>
      </c>
      <c r="U354" s="11">
        <f t="shared" si="29"/>
        <v>28673</v>
      </c>
    </row>
    <row r="355" spans="1:21" x14ac:dyDescent="0.3">
      <c r="A355" t="s">
        <v>757</v>
      </c>
      <c r="B355">
        <v>2020</v>
      </c>
      <c r="C355" t="s">
        <v>56</v>
      </c>
      <c r="D355" t="s">
        <v>93</v>
      </c>
      <c r="E355">
        <v>14520</v>
      </c>
      <c r="F355" t="s">
        <v>71</v>
      </c>
      <c r="G355">
        <v>65400</v>
      </c>
      <c r="H355" t="s">
        <v>20</v>
      </c>
      <c r="I355" t="s">
        <v>21</v>
      </c>
      <c r="J355" t="s">
        <v>668</v>
      </c>
      <c r="K355" t="s">
        <v>23</v>
      </c>
      <c r="L355" t="s">
        <v>84</v>
      </c>
      <c r="M355" t="s">
        <v>48</v>
      </c>
      <c r="N355" t="s">
        <v>69</v>
      </c>
      <c r="O355" t="s">
        <v>27</v>
      </c>
      <c r="P355" s="1">
        <v>44797</v>
      </c>
      <c r="Q355">
        <f t="shared" si="25"/>
        <v>0</v>
      </c>
      <c r="R355">
        <f t="shared" si="26"/>
        <v>0</v>
      </c>
      <c r="S355">
        <f t="shared" si="27"/>
        <v>0</v>
      </c>
      <c r="T355" s="11">
        <f t="shared" si="28"/>
        <v>2020</v>
      </c>
      <c r="U355" s="11">
        <f t="shared" si="29"/>
        <v>14520</v>
      </c>
    </row>
    <row r="356" spans="1:21" x14ac:dyDescent="0.3">
      <c r="A356" t="s">
        <v>758</v>
      </c>
      <c r="B356">
        <v>2019</v>
      </c>
      <c r="C356" t="s">
        <v>56</v>
      </c>
      <c r="D356" t="s">
        <v>93</v>
      </c>
      <c r="E356">
        <v>35372</v>
      </c>
      <c r="F356" t="s">
        <v>65</v>
      </c>
      <c r="G356">
        <v>44000</v>
      </c>
      <c r="H356" t="s">
        <v>20</v>
      </c>
      <c r="I356" t="s">
        <v>78</v>
      </c>
      <c r="J356" t="s">
        <v>536</v>
      </c>
      <c r="K356" t="s">
        <v>23</v>
      </c>
      <c r="L356" t="s">
        <v>60</v>
      </c>
      <c r="M356" t="s">
        <v>48</v>
      </c>
      <c r="N356" t="s">
        <v>49</v>
      </c>
      <c r="O356" t="s">
        <v>27</v>
      </c>
      <c r="P356" s="1">
        <v>44797</v>
      </c>
      <c r="Q356">
        <f t="shared" si="25"/>
        <v>0</v>
      </c>
      <c r="R356">
        <f t="shared" si="26"/>
        <v>0</v>
      </c>
      <c r="S356">
        <f t="shared" si="27"/>
        <v>0</v>
      </c>
      <c r="T356" s="11">
        <f t="shared" si="28"/>
        <v>2019</v>
      </c>
      <c r="U356" s="11">
        <f t="shared" si="29"/>
        <v>35372</v>
      </c>
    </row>
    <row r="357" spans="1:21" x14ac:dyDescent="0.3">
      <c r="A357" t="s">
        <v>759</v>
      </c>
      <c r="B357">
        <v>2018</v>
      </c>
      <c r="C357" t="s">
        <v>29</v>
      </c>
      <c r="D357" t="s">
        <v>53</v>
      </c>
      <c r="E357">
        <v>23317</v>
      </c>
      <c r="F357" t="s">
        <v>52</v>
      </c>
      <c r="G357">
        <v>86600</v>
      </c>
      <c r="H357" t="s">
        <v>45</v>
      </c>
      <c r="I357" t="s">
        <v>21</v>
      </c>
      <c r="J357" t="s">
        <v>760</v>
      </c>
      <c r="K357" t="s">
        <v>23</v>
      </c>
      <c r="L357" t="s">
        <v>474</v>
      </c>
      <c r="M357" t="s">
        <v>255</v>
      </c>
      <c r="N357" t="s">
        <v>256</v>
      </c>
      <c r="O357" t="s">
        <v>27</v>
      </c>
      <c r="P357" s="1">
        <v>44797</v>
      </c>
      <c r="Q357">
        <f t="shared" si="25"/>
        <v>0</v>
      </c>
      <c r="R357">
        <f t="shared" si="26"/>
        <v>1</v>
      </c>
      <c r="S357">
        <f t="shared" si="27"/>
        <v>0</v>
      </c>
      <c r="T357" s="11">
        <f t="shared" si="28"/>
        <v>2018</v>
      </c>
      <c r="U357" s="11">
        <f t="shared" si="29"/>
        <v>23317</v>
      </c>
    </row>
    <row r="358" spans="1:21" x14ac:dyDescent="0.3">
      <c r="A358" t="s">
        <v>761</v>
      </c>
      <c r="B358">
        <v>2019</v>
      </c>
      <c r="C358" t="s">
        <v>56</v>
      </c>
      <c r="D358" t="s">
        <v>53</v>
      </c>
      <c r="E358">
        <v>31099</v>
      </c>
      <c r="F358" t="s">
        <v>65</v>
      </c>
      <c r="G358">
        <v>44700</v>
      </c>
      <c r="H358" t="s">
        <v>20</v>
      </c>
      <c r="I358" t="s">
        <v>78</v>
      </c>
      <c r="J358" t="s">
        <v>534</v>
      </c>
      <c r="K358" t="s">
        <v>23</v>
      </c>
      <c r="L358" t="s">
        <v>84</v>
      </c>
      <c r="M358" t="s">
        <v>48</v>
      </c>
      <c r="N358" t="s">
        <v>69</v>
      </c>
      <c r="O358" t="s">
        <v>27</v>
      </c>
      <c r="P358" s="1">
        <v>44797</v>
      </c>
      <c r="Q358">
        <f t="shared" si="25"/>
        <v>0</v>
      </c>
      <c r="R358">
        <f t="shared" si="26"/>
        <v>0</v>
      </c>
      <c r="S358">
        <f t="shared" si="27"/>
        <v>0</v>
      </c>
      <c r="T358" s="11">
        <f t="shared" si="28"/>
        <v>2019</v>
      </c>
      <c r="U358" s="11">
        <f t="shared" si="29"/>
        <v>31099</v>
      </c>
    </row>
    <row r="359" spans="1:21" x14ac:dyDescent="0.3">
      <c r="A359" t="s">
        <v>762</v>
      </c>
      <c r="B359">
        <v>2021</v>
      </c>
      <c r="C359" t="s">
        <v>17</v>
      </c>
      <c r="D359" t="s">
        <v>76</v>
      </c>
      <c r="E359">
        <v>17852</v>
      </c>
      <c r="F359" t="s">
        <v>189</v>
      </c>
      <c r="G359">
        <v>71100</v>
      </c>
      <c r="H359" t="s">
        <v>77</v>
      </c>
      <c r="I359" t="s">
        <v>39</v>
      </c>
      <c r="J359" t="s">
        <v>741</v>
      </c>
      <c r="K359" t="s">
        <v>23</v>
      </c>
      <c r="L359" t="s">
        <v>763</v>
      </c>
      <c r="M359" t="s">
        <v>426</v>
      </c>
      <c r="N359" t="s">
        <v>35</v>
      </c>
      <c r="O359" t="s">
        <v>27</v>
      </c>
      <c r="P359" s="1">
        <v>44797</v>
      </c>
      <c r="Q359">
        <f t="shared" si="25"/>
        <v>0</v>
      </c>
      <c r="R359">
        <f t="shared" si="26"/>
        <v>0</v>
      </c>
      <c r="S359">
        <f t="shared" si="27"/>
        <v>1</v>
      </c>
      <c r="T359" s="11">
        <f t="shared" si="28"/>
        <v>2021</v>
      </c>
      <c r="U359" s="11">
        <f t="shared" si="29"/>
        <v>17852</v>
      </c>
    </row>
    <row r="360" spans="1:21" x14ac:dyDescent="0.3">
      <c r="A360" t="s">
        <v>764</v>
      </c>
      <c r="B360">
        <v>2018</v>
      </c>
      <c r="C360" t="s">
        <v>56</v>
      </c>
      <c r="D360" t="s">
        <v>53</v>
      </c>
      <c r="E360">
        <v>54937</v>
      </c>
      <c r="F360" t="s">
        <v>234</v>
      </c>
      <c r="G360">
        <v>44800</v>
      </c>
      <c r="H360" t="s">
        <v>20</v>
      </c>
      <c r="I360" t="s">
        <v>78</v>
      </c>
      <c r="J360" t="s">
        <v>403</v>
      </c>
      <c r="K360" t="s">
        <v>23</v>
      </c>
      <c r="L360" t="s">
        <v>34</v>
      </c>
      <c r="N360" t="s">
        <v>35</v>
      </c>
      <c r="O360" t="s">
        <v>27</v>
      </c>
      <c r="P360" s="1">
        <v>44797</v>
      </c>
      <c r="Q360">
        <f t="shared" si="25"/>
        <v>0</v>
      </c>
      <c r="R360">
        <f t="shared" si="26"/>
        <v>0</v>
      </c>
      <c r="S360">
        <f t="shared" si="27"/>
        <v>0</v>
      </c>
      <c r="T360" s="11">
        <f t="shared" si="28"/>
        <v>2018</v>
      </c>
      <c r="U360" s="11">
        <f t="shared" si="29"/>
        <v>54937</v>
      </c>
    </row>
    <row r="361" spans="1:21" x14ac:dyDescent="0.3">
      <c r="A361" t="s">
        <v>765</v>
      </c>
      <c r="B361">
        <v>2021</v>
      </c>
      <c r="C361" t="s">
        <v>37</v>
      </c>
      <c r="D361" t="s">
        <v>30</v>
      </c>
      <c r="E361">
        <v>19552</v>
      </c>
      <c r="F361" t="s">
        <v>131</v>
      </c>
      <c r="G361">
        <v>111200</v>
      </c>
      <c r="H361" t="s">
        <v>53</v>
      </c>
      <c r="I361" t="s">
        <v>78</v>
      </c>
      <c r="J361" t="s">
        <v>766</v>
      </c>
      <c r="K361" t="s">
        <v>23</v>
      </c>
      <c r="L361" t="s">
        <v>342</v>
      </c>
      <c r="M361" t="s">
        <v>244</v>
      </c>
      <c r="N361" t="s">
        <v>245</v>
      </c>
      <c r="O361" t="s">
        <v>27</v>
      </c>
      <c r="P361" s="1">
        <v>44797</v>
      </c>
      <c r="Q361">
        <f t="shared" si="25"/>
        <v>1</v>
      </c>
      <c r="R361">
        <f t="shared" si="26"/>
        <v>0</v>
      </c>
      <c r="S361">
        <f t="shared" si="27"/>
        <v>0</v>
      </c>
      <c r="T361" s="11">
        <f t="shared" si="28"/>
        <v>2021</v>
      </c>
      <c r="U361" s="11">
        <f t="shared" si="29"/>
        <v>19552</v>
      </c>
    </row>
    <row r="362" spans="1:21" x14ac:dyDescent="0.3">
      <c r="A362" t="s">
        <v>767</v>
      </c>
      <c r="B362">
        <v>2020</v>
      </c>
      <c r="C362" t="s">
        <v>56</v>
      </c>
      <c r="D362" t="s">
        <v>93</v>
      </c>
      <c r="E362">
        <v>49845</v>
      </c>
      <c r="F362" t="s">
        <v>65</v>
      </c>
      <c r="G362">
        <v>44800</v>
      </c>
      <c r="H362" t="s">
        <v>20</v>
      </c>
      <c r="I362" t="s">
        <v>58</v>
      </c>
      <c r="J362" t="s">
        <v>294</v>
      </c>
      <c r="K362" t="s">
        <v>23</v>
      </c>
      <c r="L362" t="s">
        <v>768</v>
      </c>
      <c r="M362" t="s">
        <v>68</v>
      </c>
      <c r="N362" t="s">
        <v>69</v>
      </c>
      <c r="O362" t="s">
        <v>27</v>
      </c>
      <c r="P362" s="1">
        <v>44797</v>
      </c>
      <c r="Q362">
        <f t="shared" si="25"/>
        <v>0</v>
      </c>
      <c r="R362">
        <f t="shared" si="26"/>
        <v>0</v>
      </c>
      <c r="S362">
        <f t="shared" si="27"/>
        <v>0</v>
      </c>
      <c r="T362" s="11">
        <f t="shared" si="28"/>
        <v>2020</v>
      </c>
      <c r="U362" s="11">
        <f t="shared" si="29"/>
        <v>49845</v>
      </c>
    </row>
    <row r="363" spans="1:21" x14ac:dyDescent="0.3">
      <c r="A363" t="s">
        <v>769</v>
      </c>
      <c r="B363">
        <v>2020</v>
      </c>
      <c r="C363" t="s">
        <v>56</v>
      </c>
      <c r="D363" t="s">
        <v>53</v>
      </c>
      <c r="E363">
        <v>13012</v>
      </c>
      <c r="F363" t="s">
        <v>57</v>
      </c>
      <c r="G363">
        <v>64800</v>
      </c>
      <c r="H363" t="s">
        <v>77</v>
      </c>
      <c r="I363" t="s">
        <v>58</v>
      </c>
      <c r="J363" t="s">
        <v>770</v>
      </c>
      <c r="K363" t="s">
        <v>23</v>
      </c>
      <c r="L363" t="s">
        <v>474</v>
      </c>
      <c r="M363" t="s">
        <v>255</v>
      </c>
      <c r="N363" t="s">
        <v>256</v>
      </c>
      <c r="O363" t="s">
        <v>27</v>
      </c>
      <c r="P363" s="1">
        <v>44797</v>
      </c>
      <c r="Q363">
        <f t="shared" si="25"/>
        <v>0</v>
      </c>
      <c r="R363">
        <f t="shared" si="26"/>
        <v>0</v>
      </c>
      <c r="S363">
        <f t="shared" si="27"/>
        <v>0</v>
      </c>
      <c r="T363" s="11">
        <f t="shared" si="28"/>
        <v>2020</v>
      </c>
      <c r="U363" s="11">
        <f t="shared" si="29"/>
        <v>13012</v>
      </c>
    </row>
    <row r="364" spans="1:21" x14ac:dyDescent="0.3">
      <c r="A364" t="s">
        <v>771</v>
      </c>
      <c r="B364">
        <v>2019</v>
      </c>
      <c r="C364" t="s">
        <v>56</v>
      </c>
      <c r="D364" t="s">
        <v>32</v>
      </c>
      <c r="E364">
        <v>32138</v>
      </c>
      <c r="F364" t="s">
        <v>65</v>
      </c>
      <c r="G364">
        <v>45000</v>
      </c>
      <c r="H364" t="s">
        <v>77</v>
      </c>
      <c r="I364" t="s">
        <v>58</v>
      </c>
      <c r="J364" t="s">
        <v>266</v>
      </c>
      <c r="K364" t="s">
        <v>23</v>
      </c>
      <c r="L364" t="s">
        <v>474</v>
      </c>
      <c r="M364" t="s">
        <v>255</v>
      </c>
      <c r="N364" t="s">
        <v>256</v>
      </c>
      <c r="O364" t="s">
        <v>27</v>
      </c>
      <c r="P364" s="1">
        <v>44797</v>
      </c>
      <c r="Q364">
        <f t="shared" si="25"/>
        <v>0</v>
      </c>
      <c r="R364">
        <f t="shared" si="26"/>
        <v>0</v>
      </c>
      <c r="S364">
        <f t="shared" si="27"/>
        <v>0</v>
      </c>
      <c r="T364" s="11">
        <f t="shared" si="28"/>
        <v>2019</v>
      </c>
      <c r="U364" s="11">
        <f t="shared" si="29"/>
        <v>32138</v>
      </c>
    </row>
    <row r="365" spans="1:21" x14ac:dyDescent="0.3">
      <c r="A365" t="s">
        <v>772</v>
      </c>
      <c r="B365">
        <v>2020</v>
      </c>
      <c r="C365" t="s">
        <v>56</v>
      </c>
      <c r="D365" t="s">
        <v>32</v>
      </c>
      <c r="E365">
        <v>39553</v>
      </c>
      <c r="F365" t="s">
        <v>65</v>
      </c>
      <c r="G365">
        <v>47200</v>
      </c>
      <c r="H365" t="s">
        <v>77</v>
      </c>
      <c r="I365" t="s">
        <v>58</v>
      </c>
      <c r="J365" t="s">
        <v>266</v>
      </c>
      <c r="K365" t="s">
        <v>23</v>
      </c>
      <c r="L365" t="s">
        <v>47</v>
      </c>
      <c r="M365" t="s">
        <v>48</v>
      </c>
      <c r="N365" t="s">
        <v>49</v>
      </c>
      <c r="O365" t="s">
        <v>27</v>
      </c>
      <c r="P365" s="1">
        <v>44797</v>
      </c>
      <c r="Q365">
        <f t="shared" si="25"/>
        <v>0</v>
      </c>
      <c r="R365">
        <f t="shared" si="26"/>
        <v>0</v>
      </c>
      <c r="S365">
        <f t="shared" si="27"/>
        <v>0</v>
      </c>
      <c r="T365" s="11">
        <f t="shared" si="28"/>
        <v>2020</v>
      </c>
      <c r="U365" s="11">
        <f t="shared" si="29"/>
        <v>39553</v>
      </c>
    </row>
    <row r="366" spans="1:21" x14ac:dyDescent="0.3">
      <c r="A366" t="s">
        <v>773</v>
      </c>
      <c r="B366">
        <v>2019</v>
      </c>
      <c r="C366" t="s">
        <v>56</v>
      </c>
      <c r="D366" t="s">
        <v>30</v>
      </c>
      <c r="E366">
        <v>27988</v>
      </c>
      <c r="F366" t="s">
        <v>65</v>
      </c>
      <c r="G366">
        <v>45700</v>
      </c>
      <c r="H366" t="s">
        <v>20</v>
      </c>
      <c r="I366" t="s">
        <v>58</v>
      </c>
      <c r="J366" t="s">
        <v>774</v>
      </c>
      <c r="K366" t="s">
        <v>23</v>
      </c>
      <c r="L366" t="s">
        <v>47</v>
      </c>
      <c r="M366" t="s">
        <v>48</v>
      </c>
      <c r="N366" t="s">
        <v>49</v>
      </c>
      <c r="O366" t="s">
        <v>27</v>
      </c>
      <c r="P366" s="1">
        <v>44797</v>
      </c>
      <c r="Q366">
        <f t="shared" si="25"/>
        <v>0</v>
      </c>
      <c r="R366">
        <f t="shared" si="26"/>
        <v>0</v>
      </c>
      <c r="S366">
        <f t="shared" si="27"/>
        <v>0</v>
      </c>
      <c r="T366" s="11">
        <f t="shared" si="28"/>
        <v>2019</v>
      </c>
      <c r="U366" s="11">
        <f t="shared" si="29"/>
        <v>27988</v>
      </c>
    </row>
    <row r="367" spans="1:21" x14ac:dyDescent="0.3">
      <c r="A367" t="s">
        <v>775</v>
      </c>
      <c r="B367">
        <v>2019</v>
      </c>
      <c r="C367" t="s">
        <v>56</v>
      </c>
      <c r="D367" t="s">
        <v>53</v>
      </c>
      <c r="E367">
        <v>36042</v>
      </c>
      <c r="F367" t="s">
        <v>65</v>
      </c>
      <c r="G367">
        <v>47100</v>
      </c>
      <c r="H367" t="s">
        <v>20</v>
      </c>
      <c r="I367" t="s">
        <v>78</v>
      </c>
      <c r="J367" t="s">
        <v>534</v>
      </c>
      <c r="K367" t="s">
        <v>23</v>
      </c>
      <c r="L367" t="s">
        <v>345</v>
      </c>
      <c r="M367" t="s">
        <v>48</v>
      </c>
      <c r="N367" t="s">
        <v>69</v>
      </c>
      <c r="O367" t="s">
        <v>27</v>
      </c>
      <c r="P367" s="1">
        <v>44797</v>
      </c>
      <c r="Q367">
        <f t="shared" si="25"/>
        <v>0</v>
      </c>
      <c r="R367">
        <f t="shared" si="26"/>
        <v>0</v>
      </c>
      <c r="S367">
        <f t="shared" si="27"/>
        <v>0</v>
      </c>
      <c r="T367" s="11">
        <f t="shared" si="28"/>
        <v>2019</v>
      </c>
      <c r="U367" s="11">
        <f t="shared" si="29"/>
        <v>36042</v>
      </c>
    </row>
    <row r="368" spans="1:21" x14ac:dyDescent="0.3">
      <c r="A368" t="s">
        <v>776</v>
      </c>
      <c r="B368">
        <v>2019</v>
      </c>
      <c r="C368" t="s">
        <v>56</v>
      </c>
      <c r="D368" t="s">
        <v>76</v>
      </c>
      <c r="E368">
        <v>29617</v>
      </c>
      <c r="F368" t="s">
        <v>65</v>
      </c>
      <c r="G368">
        <v>45800</v>
      </c>
      <c r="H368" t="s">
        <v>77</v>
      </c>
      <c r="I368" t="s">
        <v>58</v>
      </c>
      <c r="J368" t="s">
        <v>378</v>
      </c>
      <c r="K368" t="s">
        <v>23</v>
      </c>
      <c r="L368" t="s">
        <v>47</v>
      </c>
      <c r="M368" t="s">
        <v>48</v>
      </c>
      <c r="N368" t="s">
        <v>49</v>
      </c>
      <c r="O368" t="s">
        <v>27</v>
      </c>
      <c r="P368" s="1">
        <v>44797</v>
      </c>
      <c r="Q368">
        <f t="shared" si="25"/>
        <v>0</v>
      </c>
      <c r="R368">
        <f t="shared" si="26"/>
        <v>0</v>
      </c>
      <c r="S368">
        <f t="shared" si="27"/>
        <v>0</v>
      </c>
      <c r="T368" s="11">
        <f t="shared" si="28"/>
        <v>2019</v>
      </c>
      <c r="U368" s="11">
        <f t="shared" si="29"/>
        <v>29617</v>
      </c>
    </row>
    <row r="369" spans="1:21" x14ac:dyDescent="0.3">
      <c r="A369" t="s">
        <v>777</v>
      </c>
      <c r="B369">
        <v>2019</v>
      </c>
      <c r="C369" t="s">
        <v>56</v>
      </c>
      <c r="D369" t="s">
        <v>32</v>
      </c>
      <c r="E369">
        <v>31499</v>
      </c>
      <c r="F369" t="s">
        <v>65</v>
      </c>
      <c r="G369">
        <v>46500</v>
      </c>
      <c r="H369" t="s">
        <v>20</v>
      </c>
      <c r="I369" t="s">
        <v>58</v>
      </c>
      <c r="J369" t="s">
        <v>192</v>
      </c>
      <c r="K369" t="s">
        <v>23</v>
      </c>
      <c r="L369" t="s">
        <v>84</v>
      </c>
      <c r="M369" t="s">
        <v>48</v>
      </c>
      <c r="N369" t="s">
        <v>69</v>
      </c>
      <c r="O369" t="s">
        <v>27</v>
      </c>
      <c r="P369" s="1">
        <v>44797</v>
      </c>
      <c r="Q369">
        <f t="shared" si="25"/>
        <v>0</v>
      </c>
      <c r="R369">
        <f t="shared" si="26"/>
        <v>0</v>
      </c>
      <c r="S369">
        <f t="shared" si="27"/>
        <v>0</v>
      </c>
      <c r="T369" s="11">
        <f t="shared" si="28"/>
        <v>2019</v>
      </c>
      <c r="U369" s="11">
        <f t="shared" si="29"/>
        <v>31499</v>
      </c>
    </row>
    <row r="370" spans="1:21" x14ac:dyDescent="0.3">
      <c r="A370" t="s">
        <v>778</v>
      </c>
      <c r="B370">
        <v>2019</v>
      </c>
      <c r="C370" t="s">
        <v>56</v>
      </c>
      <c r="D370" t="s">
        <v>53</v>
      </c>
      <c r="E370">
        <v>33444</v>
      </c>
      <c r="F370" t="s">
        <v>65</v>
      </c>
      <c r="G370">
        <v>46300</v>
      </c>
      <c r="H370" t="s">
        <v>20</v>
      </c>
      <c r="I370" t="s">
        <v>58</v>
      </c>
      <c r="J370" t="s">
        <v>66</v>
      </c>
      <c r="K370" t="s">
        <v>23</v>
      </c>
      <c r="L370" t="s">
        <v>779</v>
      </c>
      <c r="M370" t="s">
        <v>780</v>
      </c>
      <c r="N370" t="s">
        <v>256</v>
      </c>
      <c r="O370" t="s">
        <v>27</v>
      </c>
      <c r="P370" s="1">
        <v>44797</v>
      </c>
      <c r="Q370">
        <f t="shared" si="25"/>
        <v>0</v>
      </c>
      <c r="R370">
        <f t="shared" si="26"/>
        <v>0</v>
      </c>
      <c r="S370">
        <f t="shared" si="27"/>
        <v>0</v>
      </c>
      <c r="T370" s="11">
        <f t="shared" si="28"/>
        <v>2019</v>
      </c>
      <c r="U370" s="11">
        <f t="shared" si="29"/>
        <v>33444</v>
      </c>
    </row>
    <row r="371" spans="1:21" x14ac:dyDescent="0.3">
      <c r="A371" t="s">
        <v>781</v>
      </c>
      <c r="B371">
        <v>2019</v>
      </c>
      <c r="C371" t="s">
        <v>56</v>
      </c>
      <c r="D371" t="s">
        <v>30</v>
      </c>
      <c r="E371">
        <v>31307</v>
      </c>
      <c r="F371" t="s">
        <v>65</v>
      </c>
      <c r="G371">
        <v>45400</v>
      </c>
      <c r="H371" t="s">
        <v>20</v>
      </c>
      <c r="I371" t="s">
        <v>58</v>
      </c>
      <c r="J371" t="s">
        <v>774</v>
      </c>
      <c r="K371" t="s">
        <v>23</v>
      </c>
      <c r="L371" t="s">
        <v>47</v>
      </c>
      <c r="M371" t="s">
        <v>48</v>
      </c>
      <c r="N371" t="s">
        <v>49</v>
      </c>
      <c r="O371" t="s">
        <v>27</v>
      </c>
      <c r="P371" s="1">
        <v>44797</v>
      </c>
      <c r="Q371">
        <f t="shared" si="25"/>
        <v>0</v>
      </c>
      <c r="R371">
        <f t="shared" si="26"/>
        <v>0</v>
      </c>
      <c r="S371">
        <f t="shared" si="27"/>
        <v>0</v>
      </c>
      <c r="T371" s="11">
        <f t="shared" si="28"/>
        <v>2019</v>
      </c>
      <c r="U371" s="11">
        <f t="shared" si="29"/>
        <v>31307</v>
      </c>
    </row>
    <row r="372" spans="1:21" x14ac:dyDescent="0.3">
      <c r="A372" t="s">
        <v>782</v>
      </c>
      <c r="B372">
        <v>2019</v>
      </c>
      <c r="C372" t="s">
        <v>56</v>
      </c>
      <c r="D372" t="s">
        <v>32</v>
      </c>
      <c r="E372">
        <v>6704</v>
      </c>
      <c r="F372" t="s">
        <v>65</v>
      </c>
      <c r="G372">
        <v>46700</v>
      </c>
      <c r="H372" t="s">
        <v>77</v>
      </c>
      <c r="I372" t="s">
        <v>78</v>
      </c>
      <c r="J372" t="s">
        <v>388</v>
      </c>
      <c r="K372" t="s">
        <v>23</v>
      </c>
      <c r="L372" t="s">
        <v>763</v>
      </c>
      <c r="M372" t="s">
        <v>426</v>
      </c>
      <c r="N372" t="s">
        <v>35</v>
      </c>
      <c r="O372" t="s">
        <v>27</v>
      </c>
      <c r="P372" s="1">
        <v>44797</v>
      </c>
      <c r="Q372">
        <f t="shared" si="25"/>
        <v>0</v>
      </c>
      <c r="R372">
        <f t="shared" si="26"/>
        <v>0</v>
      </c>
      <c r="S372">
        <f t="shared" si="27"/>
        <v>0</v>
      </c>
      <c r="T372" s="11">
        <f t="shared" si="28"/>
        <v>2019</v>
      </c>
      <c r="U372" s="11">
        <f t="shared" si="29"/>
        <v>6704</v>
      </c>
    </row>
    <row r="373" spans="1:21" x14ac:dyDescent="0.3">
      <c r="A373" t="s">
        <v>783</v>
      </c>
      <c r="B373">
        <v>2019</v>
      </c>
      <c r="C373" t="s">
        <v>56</v>
      </c>
      <c r="D373" t="s">
        <v>32</v>
      </c>
      <c r="E373">
        <v>27949</v>
      </c>
      <c r="F373" t="s">
        <v>65</v>
      </c>
      <c r="G373">
        <v>45000</v>
      </c>
      <c r="H373" t="s">
        <v>77</v>
      </c>
      <c r="I373" t="s">
        <v>58</v>
      </c>
      <c r="J373" t="s">
        <v>266</v>
      </c>
      <c r="K373" t="s">
        <v>23</v>
      </c>
      <c r="L373" t="s">
        <v>784</v>
      </c>
      <c r="M373" t="s">
        <v>68</v>
      </c>
      <c r="N373" t="s">
        <v>69</v>
      </c>
      <c r="O373" t="s">
        <v>27</v>
      </c>
      <c r="P373" s="1">
        <v>44797</v>
      </c>
      <c r="Q373">
        <f t="shared" si="25"/>
        <v>0</v>
      </c>
      <c r="R373">
        <f t="shared" si="26"/>
        <v>0</v>
      </c>
      <c r="S373">
        <f t="shared" si="27"/>
        <v>0</v>
      </c>
      <c r="T373" s="11">
        <f t="shared" si="28"/>
        <v>2019</v>
      </c>
      <c r="U373" s="11">
        <f t="shared" si="29"/>
        <v>27949</v>
      </c>
    </row>
    <row r="374" spans="1:21" x14ac:dyDescent="0.3">
      <c r="A374" t="s">
        <v>785</v>
      </c>
      <c r="B374">
        <v>2018</v>
      </c>
      <c r="C374" t="s">
        <v>29</v>
      </c>
      <c r="D374" t="s">
        <v>53</v>
      </c>
      <c r="E374">
        <v>37041</v>
      </c>
      <c r="F374" t="s">
        <v>270</v>
      </c>
      <c r="G374">
        <v>94700</v>
      </c>
      <c r="H374" t="s">
        <v>53</v>
      </c>
      <c r="I374" t="s">
        <v>21</v>
      </c>
      <c r="J374" t="s">
        <v>786</v>
      </c>
      <c r="K374" t="s">
        <v>23</v>
      </c>
      <c r="L374" t="s">
        <v>371</v>
      </c>
      <c r="M374" t="s">
        <v>48</v>
      </c>
      <c r="N374" t="s">
        <v>49</v>
      </c>
      <c r="O374" t="s">
        <v>27</v>
      </c>
      <c r="P374" s="1">
        <v>44797</v>
      </c>
      <c r="Q374">
        <f t="shared" si="25"/>
        <v>0</v>
      </c>
      <c r="R374">
        <f t="shared" si="26"/>
        <v>1</v>
      </c>
      <c r="S374">
        <f t="shared" si="27"/>
        <v>0</v>
      </c>
      <c r="T374" s="11">
        <f t="shared" si="28"/>
        <v>2018</v>
      </c>
      <c r="U374" s="11">
        <f t="shared" si="29"/>
        <v>37041</v>
      </c>
    </row>
    <row r="375" spans="1:21" x14ac:dyDescent="0.3">
      <c r="A375" t="s">
        <v>787</v>
      </c>
      <c r="B375">
        <v>2019</v>
      </c>
      <c r="C375" t="s">
        <v>56</v>
      </c>
      <c r="D375" t="s">
        <v>30</v>
      </c>
      <c r="E375">
        <v>35214</v>
      </c>
      <c r="F375" t="s">
        <v>65</v>
      </c>
      <c r="G375">
        <v>44800</v>
      </c>
      <c r="H375" t="s">
        <v>20</v>
      </c>
      <c r="I375" t="s">
        <v>58</v>
      </c>
      <c r="J375" t="s">
        <v>774</v>
      </c>
      <c r="K375" t="s">
        <v>23</v>
      </c>
      <c r="L375" t="s">
        <v>84</v>
      </c>
      <c r="M375" t="s">
        <v>48</v>
      </c>
      <c r="N375" t="s">
        <v>69</v>
      </c>
      <c r="O375" t="s">
        <v>27</v>
      </c>
      <c r="P375" s="1">
        <v>44797</v>
      </c>
      <c r="Q375">
        <f t="shared" si="25"/>
        <v>0</v>
      </c>
      <c r="R375">
        <f t="shared" si="26"/>
        <v>0</v>
      </c>
      <c r="S375">
        <f t="shared" si="27"/>
        <v>0</v>
      </c>
      <c r="T375" s="11">
        <f t="shared" si="28"/>
        <v>2019</v>
      </c>
      <c r="U375" s="11">
        <f t="shared" si="29"/>
        <v>35214</v>
      </c>
    </row>
    <row r="376" spans="1:21" x14ac:dyDescent="0.3">
      <c r="A376" t="s">
        <v>788</v>
      </c>
      <c r="B376">
        <v>2019</v>
      </c>
      <c r="C376" t="s">
        <v>29</v>
      </c>
      <c r="D376" t="s">
        <v>32</v>
      </c>
      <c r="E376">
        <v>32936</v>
      </c>
      <c r="F376" t="s">
        <v>44</v>
      </c>
      <c r="G376">
        <v>102100</v>
      </c>
      <c r="H376" t="s">
        <v>32</v>
      </c>
      <c r="I376" t="s">
        <v>110</v>
      </c>
      <c r="J376" t="s">
        <v>111</v>
      </c>
      <c r="K376" t="s">
        <v>23</v>
      </c>
      <c r="L376" t="s">
        <v>34</v>
      </c>
      <c r="N376" t="s">
        <v>35</v>
      </c>
      <c r="O376" t="s">
        <v>27</v>
      </c>
      <c r="P376" s="1">
        <v>44797</v>
      </c>
      <c r="Q376">
        <f t="shared" si="25"/>
        <v>0</v>
      </c>
      <c r="R376">
        <f t="shared" si="26"/>
        <v>1</v>
      </c>
      <c r="S376">
        <f t="shared" si="27"/>
        <v>0</v>
      </c>
      <c r="T376" s="11">
        <f t="shared" si="28"/>
        <v>2019</v>
      </c>
      <c r="U376" s="11">
        <f t="shared" si="29"/>
        <v>32936</v>
      </c>
    </row>
    <row r="377" spans="1:21" x14ac:dyDescent="0.3">
      <c r="A377" t="s">
        <v>789</v>
      </c>
      <c r="B377">
        <v>2019</v>
      </c>
      <c r="C377" t="s">
        <v>56</v>
      </c>
      <c r="D377" t="s">
        <v>53</v>
      </c>
      <c r="E377">
        <v>29632</v>
      </c>
      <c r="F377" t="s">
        <v>65</v>
      </c>
      <c r="G377">
        <v>44600</v>
      </c>
      <c r="H377" t="s">
        <v>20</v>
      </c>
      <c r="I377" t="s">
        <v>78</v>
      </c>
      <c r="J377" t="s">
        <v>534</v>
      </c>
      <c r="K377" t="s">
        <v>23</v>
      </c>
      <c r="L377" t="s">
        <v>84</v>
      </c>
      <c r="M377" t="s">
        <v>48</v>
      </c>
      <c r="N377" t="s">
        <v>69</v>
      </c>
      <c r="O377" t="s">
        <v>27</v>
      </c>
      <c r="P377" s="1">
        <v>44797</v>
      </c>
      <c r="Q377">
        <f t="shared" si="25"/>
        <v>0</v>
      </c>
      <c r="R377">
        <f t="shared" si="26"/>
        <v>0</v>
      </c>
      <c r="S377">
        <f t="shared" si="27"/>
        <v>0</v>
      </c>
      <c r="T377" s="11">
        <f t="shared" si="28"/>
        <v>2019</v>
      </c>
      <c r="U377" s="11">
        <f t="shared" si="29"/>
        <v>29632</v>
      </c>
    </row>
    <row r="378" spans="1:21" x14ac:dyDescent="0.3">
      <c r="A378" t="s">
        <v>790</v>
      </c>
      <c r="B378">
        <v>2020</v>
      </c>
      <c r="C378" t="s">
        <v>17</v>
      </c>
      <c r="D378" t="s">
        <v>30</v>
      </c>
      <c r="E378">
        <v>45388</v>
      </c>
      <c r="F378" t="s">
        <v>156</v>
      </c>
      <c r="G378">
        <v>64200</v>
      </c>
      <c r="H378" t="s">
        <v>20</v>
      </c>
      <c r="I378" t="s">
        <v>39</v>
      </c>
      <c r="J378" t="s">
        <v>190</v>
      </c>
      <c r="K378" t="s">
        <v>23</v>
      </c>
      <c r="L378" t="s">
        <v>779</v>
      </c>
      <c r="M378" t="s">
        <v>780</v>
      </c>
      <c r="N378" t="s">
        <v>256</v>
      </c>
      <c r="O378" t="s">
        <v>27</v>
      </c>
      <c r="P378" s="1">
        <v>44797</v>
      </c>
      <c r="Q378">
        <f t="shared" si="25"/>
        <v>0</v>
      </c>
      <c r="R378">
        <f t="shared" si="26"/>
        <v>0</v>
      </c>
      <c r="S378">
        <f t="shared" si="27"/>
        <v>1</v>
      </c>
      <c r="T378" s="11">
        <f t="shared" si="28"/>
        <v>2020</v>
      </c>
      <c r="U378" s="11">
        <f t="shared" si="29"/>
        <v>45388</v>
      </c>
    </row>
    <row r="379" spans="1:21" x14ac:dyDescent="0.3">
      <c r="A379" t="s">
        <v>791</v>
      </c>
      <c r="B379">
        <v>2018</v>
      </c>
      <c r="C379" t="s">
        <v>37</v>
      </c>
      <c r="D379" t="s">
        <v>53</v>
      </c>
      <c r="E379">
        <v>35787</v>
      </c>
      <c r="F379" t="s">
        <v>104</v>
      </c>
      <c r="G379">
        <v>71200</v>
      </c>
      <c r="H379" t="s">
        <v>105</v>
      </c>
      <c r="I379" t="s">
        <v>78</v>
      </c>
      <c r="J379" t="s">
        <v>792</v>
      </c>
      <c r="K379" t="s">
        <v>23</v>
      </c>
      <c r="L379" t="s">
        <v>371</v>
      </c>
      <c r="M379" t="s">
        <v>48</v>
      </c>
      <c r="N379" t="s">
        <v>49</v>
      </c>
      <c r="O379" t="s">
        <v>27</v>
      </c>
      <c r="P379" s="1">
        <v>44797</v>
      </c>
      <c r="Q379">
        <f t="shared" si="25"/>
        <v>1</v>
      </c>
      <c r="R379">
        <f t="shared" si="26"/>
        <v>0</v>
      </c>
      <c r="S379">
        <f t="shared" si="27"/>
        <v>0</v>
      </c>
      <c r="T379" s="11">
        <f t="shared" si="28"/>
        <v>2018</v>
      </c>
      <c r="U379" s="11">
        <f t="shared" si="29"/>
        <v>35787</v>
      </c>
    </row>
    <row r="380" spans="1:21" x14ac:dyDescent="0.3">
      <c r="A380" t="s">
        <v>793</v>
      </c>
      <c r="B380">
        <v>2022</v>
      </c>
      <c r="C380" t="s">
        <v>37</v>
      </c>
      <c r="D380" t="s">
        <v>51</v>
      </c>
      <c r="E380">
        <v>3657</v>
      </c>
      <c r="F380" t="s">
        <v>131</v>
      </c>
      <c r="G380">
        <v>129800</v>
      </c>
      <c r="H380" t="s">
        <v>45</v>
      </c>
      <c r="I380" t="s">
        <v>39</v>
      </c>
      <c r="J380" t="s">
        <v>473</v>
      </c>
      <c r="K380" t="s">
        <v>23</v>
      </c>
      <c r="L380" t="s">
        <v>197</v>
      </c>
      <c r="M380" t="s">
        <v>198</v>
      </c>
      <c r="N380" t="s">
        <v>26</v>
      </c>
      <c r="O380" t="s">
        <v>27</v>
      </c>
      <c r="P380" s="1">
        <v>44797</v>
      </c>
      <c r="Q380">
        <f t="shared" si="25"/>
        <v>1</v>
      </c>
      <c r="R380">
        <f t="shared" si="26"/>
        <v>0</v>
      </c>
      <c r="S380">
        <f t="shared" si="27"/>
        <v>0</v>
      </c>
      <c r="T380" s="11">
        <f t="shared" si="28"/>
        <v>2022</v>
      </c>
      <c r="U380" s="11">
        <f t="shared" si="29"/>
        <v>3657</v>
      </c>
    </row>
    <row r="381" spans="1:21" x14ac:dyDescent="0.3">
      <c r="A381" t="s">
        <v>794</v>
      </c>
      <c r="B381">
        <v>2021</v>
      </c>
      <c r="C381" t="s">
        <v>29</v>
      </c>
      <c r="D381" t="s">
        <v>32</v>
      </c>
      <c r="E381">
        <v>15931</v>
      </c>
      <c r="F381" t="s">
        <v>31</v>
      </c>
      <c r="G381">
        <v>112400</v>
      </c>
      <c r="H381" t="s">
        <v>53</v>
      </c>
      <c r="I381" t="s">
        <v>110</v>
      </c>
      <c r="J381" t="s">
        <v>795</v>
      </c>
      <c r="K381" t="s">
        <v>23</v>
      </c>
      <c r="L381" t="s">
        <v>87</v>
      </c>
      <c r="M381" t="s">
        <v>88</v>
      </c>
      <c r="N381" t="s">
        <v>89</v>
      </c>
      <c r="O381" t="s">
        <v>27</v>
      </c>
      <c r="P381" s="1">
        <v>44797</v>
      </c>
      <c r="Q381">
        <f t="shared" si="25"/>
        <v>0</v>
      </c>
      <c r="R381">
        <f t="shared" si="26"/>
        <v>1</v>
      </c>
      <c r="S381">
        <f t="shared" si="27"/>
        <v>0</v>
      </c>
      <c r="T381" s="11">
        <f t="shared" si="28"/>
        <v>2021</v>
      </c>
      <c r="U381" s="11">
        <f t="shared" si="29"/>
        <v>15931</v>
      </c>
    </row>
    <row r="382" spans="1:21" x14ac:dyDescent="0.3">
      <c r="A382" t="s">
        <v>796</v>
      </c>
      <c r="B382">
        <v>2021</v>
      </c>
      <c r="C382" t="s">
        <v>37</v>
      </c>
      <c r="D382" t="s">
        <v>51</v>
      </c>
      <c r="E382">
        <v>6323</v>
      </c>
      <c r="F382" t="s">
        <v>131</v>
      </c>
      <c r="G382">
        <v>120600</v>
      </c>
      <c r="H382" t="s">
        <v>53</v>
      </c>
      <c r="I382" t="s">
        <v>39</v>
      </c>
      <c r="J382" t="s">
        <v>319</v>
      </c>
      <c r="K382" t="s">
        <v>23</v>
      </c>
      <c r="L382" t="s">
        <v>330</v>
      </c>
      <c r="M382" t="s">
        <v>42</v>
      </c>
      <c r="N382" t="s">
        <v>26</v>
      </c>
      <c r="O382" t="s">
        <v>27</v>
      </c>
      <c r="P382" s="1">
        <v>44797</v>
      </c>
      <c r="Q382">
        <f t="shared" si="25"/>
        <v>1</v>
      </c>
      <c r="R382">
        <f t="shared" si="26"/>
        <v>0</v>
      </c>
      <c r="S382">
        <f t="shared" si="27"/>
        <v>0</v>
      </c>
      <c r="T382" s="11">
        <f t="shared" si="28"/>
        <v>2021</v>
      </c>
      <c r="U382" s="11">
        <f t="shared" si="29"/>
        <v>6323</v>
      </c>
    </row>
    <row r="383" spans="1:21" x14ac:dyDescent="0.3">
      <c r="A383" t="s">
        <v>797</v>
      </c>
      <c r="B383">
        <v>2021</v>
      </c>
      <c r="C383" t="s">
        <v>37</v>
      </c>
      <c r="D383" t="s">
        <v>53</v>
      </c>
      <c r="E383">
        <v>7375</v>
      </c>
      <c r="F383" t="s">
        <v>131</v>
      </c>
      <c r="G383">
        <v>115200</v>
      </c>
      <c r="H383" t="s">
        <v>53</v>
      </c>
      <c r="I383" t="s">
        <v>39</v>
      </c>
      <c r="J383" t="s">
        <v>552</v>
      </c>
      <c r="K383" t="s">
        <v>23</v>
      </c>
      <c r="L383" t="s">
        <v>100</v>
      </c>
      <c r="M383" t="s">
        <v>101</v>
      </c>
      <c r="N383" t="s">
        <v>102</v>
      </c>
      <c r="O383" t="s">
        <v>27</v>
      </c>
      <c r="P383" s="1">
        <v>44797</v>
      </c>
      <c r="Q383">
        <f t="shared" si="25"/>
        <v>1</v>
      </c>
      <c r="R383">
        <f t="shared" si="26"/>
        <v>0</v>
      </c>
      <c r="S383">
        <f t="shared" si="27"/>
        <v>0</v>
      </c>
      <c r="T383" s="11">
        <f t="shared" si="28"/>
        <v>2021</v>
      </c>
      <c r="U383" s="11">
        <f t="shared" si="29"/>
        <v>7375</v>
      </c>
    </row>
    <row r="384" spans="1:21" x14ac:dyDescent="0.3">
      <c r="A384" t="s">
        <v>798</v>
      </c>
      <c r="B384">
        <v>2022</v>
      </c>
      <c r="C384" t="s">
        <v>37</v>
      </c>
      <c r="D384" t="s">
        <v>32</v>
      </c>
      <c r="E384">
        <v>9035</v>
      </c>
      <c r="F384" t="s">
        <v>606</v>
      </c>
      <c r="G384">
        <v>118400</v>
      </c>
      <c r="H384" t="s">
        <v>53</v>
      </c>
      <c r="I384" t="s">
        <v>39</v>
      </c>
      <c r="J384" t="s">
        <v>664</v>
      </c>
      <c r="K384" t="s">
        <v>23</v>
      </c>
      <c r="L384" t="s">
        <v>158</v>
      </c>
      <c r="M384" t="s">
        <v>42</v>
      </c>
      <c r="N384" t="s">
        <v>26</v>
      </c>
      <c r="O384" t="s">
        <v>27</v>
      </c>
      <c r="P384" s="1">
        <v>44797</v>
      </c>
      <c r="Q384">
        <f t="shared" si="25"/>
        <v>1</v>
      </c>
      <c r="R384">
        <f t="shared" si="26"/>
        <v>0</v>
      </c>
      <c r="S384">
        <f t="shared" si="27"/>
        <v>0</v>
      </c>
      <c r="T384" s="11">
        <f t="shared" si="28"/>
        <v>2022</v>
      </c>
      <c r="U384" s="11">
        <f t="shared" si="29"/>
        <v>9035</v>
      </c>
    </row>
    <row r="385" spans="1:21" x14ac:dyDescent="0.3">
      <c r="A385" t="s">
        <v>799</v>
      </c>
      <c r="B385">
        <v>2017</v>
      </c>
      <c r="C385" t="s">
        <v>29</v>
      </c>
      <c r="D385" t="s">
        <v>76</v>
      </c>
      <c r="E385">
        <v>81699</v>
      </c>
      <c r="F385" t="s">
        <v>52</v>
      </c>
      <c r="G385">
        <v>79900</v>
      </c>
      <c r="H385" t="s">
        <v>32</v>
      </c>
      <c r="I385" t="s">
        <v>110</v>
      </c>
      <c r="J385" t="s">
        <v>800</v>
      </c>
      <c r="K385" t="s">
        <v>23</v>
      </c>
      <c r="L385" t="s">
        <v>680</v>
      </c>
      <c r="M385" t="s">
        <v>113</v>
      </c>
      <c r="N385" t="s">
        <v>114</v>
      </c>
      <c r="O385" t="s">
        <v>27</v>
      </c>
      <c r="P385" s="1">
        <v>44797</v>
      </c>
      <c r="Q385">
        <f t="shared" si="25"/>
        <v>0</v>
      </c>
      <c r="R385">
        <f t="shared" si="26"/>
        <v>1</v>
      </c>
      <c r="S385">
        <f t="shared" si="27"/>
        <v>0</v>
      </c>
      <c r="T385" s="11">
        <f t="shared" si="28"/>
        <v>2017</v>
      </c>
      <c r="U385" s="11">
        <f t="shared" si="29"/>
        <v>81699</v>
      </c>
    </row>
    <row r="386" spans="1:21" x14ac:dyDescent="0.3">
      <c r="A386" t="s">
        <v>801</v>
      </c>
      <c r="B386">
        <v>2022</v>
      </c>
      <c r="C386" t="s">
        <v>17</v>
      </c>
      <c r="D386" t="s">
        <v>32</v>
      </c>
      <c r="E386">
        <v>5629</v>
      </c>
      <c r="F386" t="s">
        <v>19</v>
      </c>
      <c r="G386">
        <v>83600</v>
      </c>
      <c r="H386" t="s">
        <v>77</v>
      </c>
      <c r="I386" t="s">
        <v>21</v>
      </c>
      <c r="J386" t="s">
        <v>802</v>
      </c>
      <c r="K386" t="s">
        <v>23</v>
      </c>
      <c r="L386" t="s">
        <v>24</v>
      </c>
      <c r="M386" t="s">
        <v>25</v>
      </c>
      <c r="N386" t="s">
        <v>26</v>
      </c>
      <c r="O386" t="s">
        <v>27</v>
      </c>
      <c r="P386" s="1">
        <v>44797</v>
      </c>
      <c r="Q386">
        <f t="shared" ref="Q386:Q449" si="30">--(C386="ms")</f>
        <v>0</v>
      </c>
      <c r="R386">
        <f t="shared" ref="R386:R449" si="31">--(C386="mx")</f>
        <v>0</v>
      </c>
      <c r="S386">
        <f t="shared" ref="S386:S449" si="32">--(C386="my")</f>
        <v>1</v>
      </c>
      <c r="T386" s="11">
        <f t="shared" ref="T386:T449" si="33">B386</f>
        <v>2022</v>
      </c>
      <c r="U386" s="11">
        <f t="shared" ref="U386:U449" si="34">E386</f>
        <v>5629</v>
      </c>
    </row>
    <row r="387" spans="1:21" x14ac:dyDescent="0.3">
      <c r="A387" t="s">
        <v>803</v>
      </c>
      <c r="B387">
        <v>2020</v>
      </c>
      <c r="C387" t="s">
        <v>56</v>
      </c>
      <c r="D387" t="s">
        <v>32</v>
      </c>
      <c r="E387">
        <v>47125</v>
      </c>
      <c r="F387" t="s">
        <v>65</v>
      </c>
      <c r="G387">
        <v>45100</v>
      </c>
      <c r="H387" t="s">
        <v>20</v>
      </c>
      <c r="I387" t="s">
        <v>78</v>
      </c>
      <c r="J387" t="s">
        <v>317</v>
      </c>
      <c r="K387" t="s">
        <v>23</v>
      </c>
      <c r="L387" t="s">
        <v>122</v>
      </c>
      <c r="M387" t="s">
        <v>113</v>
      </c>
      <c r="N387" t="s">
        <v>114</v>
      </c>
      <c r="O387" t="s">
        <v>27</v>
      </c>
      <c r="P387" s="1">
        <v>44797</v>
      </c>
      <c r="Q387">
        <f t="shared" si="30"/>
        <v>0</v>
      </c>
      <c r="R387">
        <f t="shared" si="31"/>
        <v>0</v>
      </c>
      <c r="S387">
        <f t="shared" si="32"/>
        <v>0</v>
      </c>
      <c r="T387" s="11">
        <f t="shared" si="33"/>
        <v>2020</v>
      </c>
      <c r="U387" s="11">
        <f t="shared" si="34"/>
        <v>47125</v>
      </c>
    </row>
    <row r="388" spans="1:21" x14ac:dyDescent="0.3">
      <c r="A388" t="s">
        <v>804</v>
      </c>
      <c r="B388">
        <v>2018</v>
      </c>
      <c r="C388" t="s">
        <v>29</v>
      </c>
      <c r="D388" t="s">
        <v>53</v>
      </c>
      <c r="E388">
        <v>21130</v>
      </c>
      <c r="F388" t="s">
        <v>104</v>
      </c>
      <c r="G388">
        <v>79300</v>
      </c>
      <c r="H388" t="s">
        <v>45</v>
      </c>
      <c r="I388" t="s">
        <v>21</v>
      </c>
      <c r="J388" t="s">
        <v>640</v>
      </c>
      <c r="K388" t="s">
        <v>23</v>
      </c>
      <c r="L388" t="s">
        <v>183</v>
      </c>
      <c r="M388" t="s">
        <v>25</v>
      </c>
      <c r="N388" t="s">
        <v>26</v>
      </c>
      <c r="O388" t="s">
        <v>27</v>
      </c>
      <c r="P388" s="1">
        <v>44797</v>
      </c>
      <c r="Q388">
        <f t="shared" si="30"/>
        <v>0</v>
      </c>
      <c r="R388">
        <f t="shared" si="31"/>
        <v>1</v>
      </c>
      <c r="S388">
        <f t="shared" si="32"/>
        <v>0</v>
      </c>
      <c r="T388" s="11">
        <f t="shared" si="33"/>
        <v>2018</v>
      </c>
      <c r="U388" s="11">
        <f t="shared" si="34"/>
        <v>21130</v>
      </c>
    </row>
    <row r="389" spans="1:21" x14ac:dyDescent="0.3">
      <c r="A389" t="s">
        <v>805</v>
      </c>
      <c r="B389">
        <v>2022</v>
      </c>
      <c r="C389" t="s">
        <v>56</v>
      </c>
      <c r="D389" t="s">
        <v>32</v>
      </c>
      <c r="E389">
        <v>7267</v>
      </c>
      <c r="F389" t="s">
        <v>143</v>
      </c>
      <c r="G389">
        <v>71600</v>
      </c>
      <c r="H389" t="s">
        <v>20</v>
      </c>
      <c r="J389" t="s">
        <v>324</v>
      </c>
      <c r="K389" t="s">
        <v>23</v>
      </c>
      <c r="L389" t="s">
        <v>806</v>
      </c>
      <c r="N389" t="s">
        <v>149</v>
      </c>
      <c r="O389" t="s">
        <v>27</v>
      </c>
      <c r="P389" s="1">
        <v>44797</v>
      </c>
      <c r="Q389">
        <f t="shared" si="30"/>
        <v>0</v>
      </c>
      <c r="R389">
        <f t="shared" si="31"/>
        <v>0</v>
      </c>
      <c r="S389">
        <f t="shared" si="32"/>
        <v>0</v>
      </c>
      <c r="T389" s="11">
        <f t="shared" si="33"/>
        <v>2022</v>
      </c>
      <c r="U389" s="11">
        <f t="shared" si="34"/>
        <v>7267</v>
      </c>
    </row>
    <row r="390" spans="1:21" x14ac:dyDescent="0.3">
      <c r="A390" t="s">
        <v>807</v>
      </c>
      <c r="B390">
        <v>2019</v>
      </c>
      <c r="C390" t="s">
        <v>56</v>
      </c>
      <c r="D390" t="s">
        <v>30</v>
      </c>
      <c r="E390">
        <v>16115</v>
      </c>
      <c r="F390" t="s">
        <v>71</v>
      </c>
      <c r="G390">
        <v>60200</v>
      </c>
      <c r="H390" t="s">
        <v>77</v>
      </c>
      <c r="I390" t="s">
        <v>21</v>
      </c>
      <c r="J390" t="s">
        <v>444</v>
      </c>
      <c r="K390" t="s">
        <v>23</v>
      </c>
      <c r="L390" t="s">
        <v>183</v>
      </c>
      <c r="M390" t="s">
        <v>25</v>
      </c>
      <c r="N390" t="s">
        <v>26</v>
      </c>
      <c r="O390" t="s">
        <v>27</v>
      </c>
      <c r="P390" s="1">
        <v>44797</v>
      </c>
      <c r="Q390">
        <f t="shared" si="30"/>
        <v>0</v>
      </c>
      <c r="R390">
        <f t="shared" si="31"/>
        <v>0</v>
      </c>
      <c r="S390">
        <f t="shared" si="32"/>
        <v>0</v>
      </c>
      <c r="T390" s="11">
        <f t="shared" si="33"/>
        <v>2019</v>
      </c>
      <c r="U390" s="11">
        <f t="shared" si="34"/>
        <v>16115</v>
      </c>
    </row>
    <row r="391" spans="1:21" x14ac:dyDescent="0.3">
      <c r="A391" t="s">
        <v>808</v>
      </c>
      <c r="B391">
        <v>2019</v>
      </c>
      <c r="C391" t="s">
        <v>56</v>
      </c>
      <c r="D391" t="s">
        <v>93</v>
      </c>
      <c r="E391">
        <v>7650</v>
      </c>
      <c r="F391" t="s">
        <v>71</v>
      </c>
      <c r="G391">
        <v>55700</v>
      </c>
      <c r="H391" t="s">
        <v>20</v>
      </c>
      <c r="I391" t="s">
        <v>58</v>
      </c>
      <c r="J391" t="s">
        <v>541</v>
      </c>
      <c r="K391" t="s">
        <v>23</v>
      </c>
      <c r="L391" t="s">
        <v>147</v>
      </c>
      <c r="M391" t="s">
        <v>148</v>
      </c>
      <c r="N391" t="s">
        <v>149</v>
      </c>
      <c r="O391" t="s">
        <v>27</v>
      </c>
      <c r="P391" s="1">
        <v>44797</v>
      </c>
      <c r="Q391">
        <f t="shared" si="30"/>
        <v>0</v>
      </c>
      <c r="R391">
        <f t="shared" si="31"/>
        <v>0</v>
      </c>
      <c r="S391">
        <f t="shared" si="32"/>
        <v>0</v>
      </c>
      <c r="T391" s="11">
        <f t="shared" si="33"/>
        <v>2019</v>
      </c>
      <c r="U391" s="11">
        <f t="shared" si="34"/>
        <v>7650</v>
      </c>
    </row>
    <row r="392" spans="1:21" x14ac:dyDescent="0.3">
      <c r="A392" t="s">
        <v>809</v>
      </c>
      <c r="B392">
        <v>2019</v>
      </c>
      <c r="C392" t="s">
        <v>56</v>
      </c>
      <c r="D392" t="s">
        <v>53</v>
      </c>
      <c r="E392">
        <v>45069</v>
      </c>
      <c r="F392" t="s">
        <v>71</v>
      </c>
      <c r="G392">
        <v>54700</v>
      </c>
      <c r="H392" t="s">
        <v>20</v>
      </c>
      <c r="I392" t="s">
        <v>58</v>
      </c>
      <c r="J392" t="s">
        <v>579</v>
      </c>
      <c r="K392" t="s">
        <v>23</v>
      </c>
      <c r="L392" t="s">
        <v>228</v>
      </c>
      <c r="M392" t="s">
        <v>25</v>
      </c>
      <c r="N392" t="s">
        <v>26</v>
      </c>
      <c r="O392" t="s">
        <v>27</v>
      </c>
      <c r="P392" s="1">
        <v>44797</v>
      </c>
      <c r="Q392">
        <f t="shared" si="30"/>
        <v>0</v>
      </c>
      <c r="R392">
        <f t="shared" si="31"/>
        <v>0</v>
      </c>
      <c r="S392">
        <f t="shared" si="32"/>
        <v>0</v>
      </c>
      <c r="T392" s="11">
        <f t="shared" si="33"/>
        <v>2019</v>
      </c>
      <c r="U392" s="11">
        <f t="shared" si="34"/>
        <v>45069</v>
      </c>
    </row>
    <row r="393" spans="1:21" x14ac:dyDescent="0.3">
      <c r="A393" t="s">
        <v>810</v>
      </c>
      <c r="B393">
        <v>2019</v>
      </c>
      <c r="C393" t="s">
        <v>56</v>
      </c>
      <c r="D393" t="s">
        <v>32</v>
      </c>
      <c r="E393">
        <v>72481</v>
      </c>
      <c r="F393" t="s">
        <v>65</v>
      </c>
      <c r="G393">
        <v>44500</v>
      </c>
      <c r="H393" t="s">
        <v>20</v>
      </c>
      <c r="I393" t="s">
        <v>58</v>
      </c>
      <c r="J393" t="s">
        <v>192</v>
      </c>
      <c r="K393" t="s">
        <v>23</v>
      </c>
      <c r="L393" t="s">
        <v>147</v>
      </c>
      <c r="M393" t="s">
        <v>148</v>
      </c>
      <c r="N393" t="s">
        <v>149</v>
      </c>
      <c r="O393" t="s">
        <v>27</v>
      </c>
      <c r="P393" s="1">
        <v>44797</v>
      </c>
      <c r="Q393">
        <f t="shared" si="30"/>
        <v>0</v>
      </c>
      <c r="R393">
        <f t="shared" si="31"/>
        <v>0</v>
      </c>
      <c r="S393">
        <f t="shared" si="32"/>
        <v>0</v>
      </c>
      <c r="T393" s="11">
        <f t="shared" si="33"/>
        <v>2019</v>
      </c>
      <c r="U393" s="11">
        <f t="shared" si="34"/>
        <v>72481</v>
      </c>
    </row>
    <row r="394" spans="1:21" x14ac:dyDescent="0.3">
      <c r="A394" t="s">
        <v>811</v>
      </c>
      <c r="B394">
        <v>2019</v>
      </c>
      <c r="C394" t="s">
        <v>56</v>
      </c>
      <c r="D394" t="s">
        <v>32</v>
      </c>
      <c r="E394">
        <v>17470</v>
      </c>
      <c r="F394" t="s">
        <v>65</v>
      </c>
      <c r="G394">
        <v>49200</v>
      </c>
      <c r="H394" t="s">
        <v>20</v>
      </c>
      <c r="I394" t="s">
        <v>78</v>
      </c>
      <c r="J394" t="s">
        <v>317</v>
      </c>
      <c r="K394" t="s">
        <v>23</v>
      </c>
      <c r="L394" t="s">
        <v>183</v>
      </c>
      <c r="M394" t="s">
        <v>25</v>
      </c>
      <c r="N394" t="s">
        <v>26</v>
      </c>
      <c r="O394" t="s">
        <v>27</v>
      </c>
      <c r="P394" s="1">
        <v>44797</v>
      </c>
      <c r="Q394">
        <f t="shared" si="30"/>
        <v>0</v>
      </c>
      <c r="R394">
        <f t="shared" si="31"/>
        <v>0</v>
      </c>
      <c r="S394">
        <f t="shared" si="32"/>
        <v>0</v>
      </c>
      <c r="T394" s="11">
        <f t="shared" si="33"/>
        <v>2019</v>
      </c>
      <c r="U394" s="11">
        <f t="shared" si="34"/>
        <v>17470</v>
      </c>
    </row>
    <row r="395" spans="1:21" x14ac:dyDescent="0.3">
      <c r="A395" t="s">
        <v>812</v>
      </c>
      <c r="B395">
        <v>2020</v>
      </c>
      <c r="C395" t="s">
        <v>56</v>
      </c>
      <c r="D395" t="s">
        <v>30</v>
      </c>
      <c r="E395">
        <v>39671</v>
      </c>
      <c r="F395" t="s">
        <v>71</v>
      </c>
      <c r="G395">
        <v>57500</v>
      </c>
      <c r="H395" t="s">
        <v>20</v>
      </c>
      <c r="I395" t="s">
        <v>21</v>
      </c>
      <c r="J395" t="s">
        <v>813</v>
      </c>
      <c r="K395" t="s">
        <v>23</v>
      </c>
      <c r="N395" t="s">
        <v>127</v>
      </c>
      <c r="O395" t="s">
        <v>27</v>
      </c>
      <c r="P395" s="1">
        <v>44797</v>
      </c>
      <c r="Q395">
        <f t="shared" si="30"/>
        <v>0</v>
      </c>
      <c r="R395">
        <f t="shared" si="31"/>
        <v>0</v>
      </c>
      <c r="S395">
        <f t="shared" si="32"/>
        <v>0</v>
      </c>
      <c r="T395" s="11">
        <f t="shared" si="33"/>
        <v>2020</v>
      </c>
      <c r="U395" s="11">
        <f t="shared" si="34"/>
        <v>39671</v>
      </c>
    </row>
    <row r="396" spans="1:21" x14ac:dyDescent="0.3">
      <c r="A396" t="s">
        <v>814</v>
      </c>
      <c r="B396">
        <v>2019</v>
      </c>
      <c r="C396" t="s">
        <v>56</v>
      </c>
      <c r="D396" t="s">
        <v>32</v>
      </c>
      <c r="E396">
        <v>33395</v>
      </c>
      <c r="F396" t="s">
        <v>65</v>
      </c>
      <c r="G396">
        <v>48500</v>
      </c>
      <c r="H396" t="s">
        <v>20</v>
      </c>
      <c r="I396" t="s">
        <v>78</v>
      </c>
      <c r="J396" t="s">
        <v>317</v>
      </c>
      <c r="K396" t="s">
        <v>23</v>
      </c>
      <c r="L396" t="s">
        <v>24</v>
      </c>
      <c r="M396" t="s">
        <v>25</v>
      </c>
      <c r="N396" t="s">
        <v>26</v>
      </c>
      <c r="O396" t="s">
        <v>27</v>
      </c>
      <c r="P396" s="1">
        <v>44797</v>
      </c>
      <c r="Q396">
        <f t="shared" si="30"/>
        <v>0</v>
      </c>
      <c r="R396">
        <f t="shared" si="31"/>
        <v>0</v>
      </c>
      <c r="S396">
        <f t="shared" si="32"/>
        <v>0</v>
      </c>
      <c r="T396" s="11">
        <f t="shared" si="33"/>
        <v>2019</v>
      </c>
      <c r="U396" s="11">
        <f t="shared" si="34"/>
        <v>33395</v>
      </c>
    </row>
    <row r="397" spans="1:21" x14ac:dyDescent="0.3">
      <c r="A397" t="s">
        <v>815</v>
      </c>
      <c r="B397">
        <v>2020</v>
      </c>
      <c r="C397" t="s">
        <v>56</v>
      </c>
      <c r="D397" t="s">
        <v>93</v>
      </c>
      <c r="E397">
        <v>49468</v>
      </c>
      <c r="F397" t="s">
        <v>65</v>
      </c>
      <c r="G397">
        <v>48700</v>
      </c>
      <c r="H397" t="s">
        <v>20</v>
      </c>
      <c r="I397" t="s">
        <v>58</v>
      </c>
      <c r="J397" t="s">
        <v>294</v>
      </c>
      <c r="K397" t="s">
        <v>23</v>
      </c>
      <c r="N397" t="s">
        <v>127</v>
      </c>
      <c r="O397" t="s">
        <v>27</v>
      </c>
      <c r="P397" s="1">
        <v>44797</v>
      </c>
      <c r="Q397">
        <f t="shared" si="30"/>
        <v>0</v>
      </c>
      <c r="R397">
        <f t="shared" si="31"/>
        <v>0</v>
      </c>
      <c r="S397">
        <f t="shared" si="32"/>
        <v>0</v>
      </c>
      <c r="T397" s="11">
        <f t="shared" si="33"/>
        <v>2020</v>
      </c>
      <c r="U397" s="11">
        <f t="shared" si="34"/>
        <v>49468</v>
      </c>
    </row>
    <row r="398" spans="1:21" x14ac:dyDescent="0.3">
      <c r="A398" t="s">
        <v>816</v>
      </c>
      <c r="B398">
        <v>2018</v>
      </c>
      <c r="C398" t="s">
        <v>37</v>
      </c>
      <c r="D398" t="s">
        <v>53</v>
      </c>
      <c r="E398">
        <v>45826</v>
      </c>
      <c r="F398" t="s">
        <v>104</v>
      </c>
      <c r="G398">
        <v>65900</v>
      </c>
      <c r="H398" t="s">
        <v>53</v>
      </c>
      <c r="I398" t="s">
        <v>78</v>
      </c>
      <c r="J398" t="s">
        <v>817</v>
      </c>
      <c r="K398" t="s">
        <v>23</v>
      </c>
      <c r="L398" t="s">
        <v>490</v>
      </c>
      <c r="M398" t="s">
        <v>491</v>
      </c>
      <c r="N398" t="s">
        <v>406</v>
      </c>
      <c r="O398" t="s">
        <v>27</v>
      </c>
      <c r="P398" s="1">
        <v>44797</v>
      </c>
      <c r="Q398">
        <f t="shared" si="30"/>
        <v>1</v>
      </c>
      <c r="R398">
        <f t="shared" si="31"/>
        <v>0</v>
      </c>
      <c r="S398">
        <f t="shared" si="32"/>
        <v>0</v>
      </c>
      <c r="T398" s="11">
        <f t="shared" si="33"/>
        <v>2018</v>
      </c>
      <c r="U398" s="11">
        <f t="shared" si="34"/>
        <v>45826</v>
      </c>
    </row>
    <row r="399" spans="1:21" x14ac:dyDescent="0.3">
      <c r="A399" t="s">
        <v>818</v>
      </c>
      <c r="B399">
        <v>2019</v>
      </c>
      <c r="C399" t="s">
        <v>56</v>
      </c>
      <c r="D399" t="s">
        <v>32</v>
      </c>
      <c r="E399">
        <v>42742</v>
      </c>
      <c r="F399" t="s">
        <v>57</v>
      </c>
      <c r="G399">
        <v>54600</v>
      </c>
      <c r="H399" t="s">
        <v>77</v>
      </c>
      <c r="I399" t="s">
        <v>58</v>
      </c>
      <c r="J399" t="s">
        <v>411</v>
      </c>
      <c r="K399" t="s">
        <v>23</v>
      </c>
      <c r="L399" t="s">
        <v>297</v>
      </c>
      <c r="N399" t="s">
        <v>298</v>
      </c>
      <c r="O399" t="s">
        <v>27</v>
      </c>
      <c r="P399" s="1">
        <v>44797</v>
      </c>
      <c r="Q399">
        <f t="shared" si="30"/>
        <v>0</v>
      </c>
      <c r="R399">
        <f t="shared" si="31"/>
        <v>0</v>
      </c>
      <c r="S399">
        <f t="shared" si="32"/>
        <v>0</v>
      </c>
      <c r="T399" s="11">
        <f t="shared" si="33"/>
        <v>2019</v>
      </c>
      <c r="U399" s="11">
        <f t="shared" si="34"/>
        <v>42742</v>
      </c>
    </row>
    <row r="400" spans="1:21" x14ac:dyDescent="0.3">
      <c r="A400" t="s">
        <v>819</v>
      </c>
      <c r="B400">
        <v>2020</v>
      </c>
      <c r="C400" t="s">
        <v>56</v>
      </c>
      <c r="D400" t="s">
        <v>30</v>
      </c>
      <c r="E400">
        <v>3473</v>
      </c>
      <c r="F400" t="s">
        <v>65</v>
      </c>
      <c r="G400">
        <v>48800</v>
      </c>
      <c r="H400" t="s">
        <v>20</v>
      </c>
      <c r="I400" t="s">
        <v>58</v>
      </c>
      <c r="J400" t="s">
        <v>774</v>
      </c>
      <c r="K400" t="s">
        <v>23</v>
      </c>
      <c r="L400" t="s">
        <v>494</v>
      </c>
      <c r="M400" t="s">
        <v>113</v>
      </c>
      <c r="N400" t="s">
        <v>114</v>
      </c>
      <c r="O400" t="s">
        <v>27</v>
      </c>
      <c r="P400" s="1">
        <v>44797</v>
      </c>
      <c r="Q400">
        <f t="shared" si="30"/>
        <v>0</v>
      </c>
      <c r="R400">
        <f t="shared" si="31"/>
        <v>0</v>
      </c>
      <c r="S400">
        <f t="shared" si="32"/>
        <v>0</v>
      </c>
      <c r="T400" s="11">
        <f t="shared" si="33"/>
        <v>2020</v>
      </c>
      <c r="U400" s="11">
        <f t="shared" si="34"/>
        <v>3473</v>
      </c>
    </row>
    <row r="401" spans="1:21" x14ac:dyDescent="0.3">
      <c r="A401" t="s">
        <v>820</v>
      </c>
      <c r="B401">
        <v>2020</v>
      </c>
      <c r="C401" t="s">
        <v>29</v>
      </c>
      <c r="D401" t="s">
        <v>53</v>
      </c>
      <c r="E401">
        <v>18053</v>
      </c>
      <c r="F401" t="s">
        <v>44</v>
      </c>
      <c r="G401">
        <v>116000</v>
      </c>
      <c r="H401" t="s">
        <v>45</v>
      </c>
      <c r="I401" t="s">
        <v>110</v>
      </c>
      <c r="J401" t="s">
        <v>821</v>
      </c>
      <c r="K401" t="s">
        <v>23</v>
      </c>
      <c r="L401" t="s">
        <v>456</v>
      </c>
      <c r="M401" t="s">
        <v>164</v>
      </c>
      <c r="N401" t="s">
        <v>26</v>
      </c>
      <c r="O401" t="s">
        <v>27</v>
      </c>
      <c r="P401" s="1">
        <v>44797</v>
      </c>
      <c r="Q401">
        <f t="shared" si="30"/>
        <v>0</v>
      </c>
      <c r="R401">
        <f t="shared" si="31"/>
        <v>1</v>
      </c>
      <c r="S401">
        <f t="shared" si="32"/>
        <v>0</v>
      </c>
      <c r="T401" s="11">
        <f t="shared" si="33"/>
        <v>2020</v>
      </c>
      <c r="U401" s="11">
        <f t="shared" si="34"/>
        <v>18053</v>
      </c>
    </row>
    <row r="402" spans="1:21" x14ac:dyDescent="0.3">
      <c r="A402" t="s">
        <v>822</v>
      </c>
      <c r="B402">
        <v>2018</v>
      </c>
      <c r="C402" t="s">
        <v>29</v>
      </c>
      <c r="D402" t="s">
        <v>32</v>
      </c>
      <c r="E402">
        <v>29630</v>
      </c>
      <c r="F402" t="s">
        <v>52</v>
      </c>
      <c r="G402">
        <v>81500</v>
      </c>
      <c r="H402" t="s">
        <v>53</v>
      </c>
      <c r="I402" t="s">
        <v>110</v>
      </c>
      <c r="J402" t="s">
        <v>823</v>
      </c>
      <c r="K402" t="s">
        <v>23</v>
      </c>
      <c r="N402" t="s">
        <v>127</v>
      </c>
      <c r="O402" t="s">
        <v>27</v>
      </c>
      <c r="P402" s="1">
        <v>44797</v>
      </c>
      <c r="Q402">
        <f t="shared" si="30"/>
        <v>0</v>
      </c>
      <c r="R402">
        <f t="shared" si="31"/>
        <v>1</v>
      </c>
      <c r="S402">
        <f t="shared" si="32"/>
        <v>0</v>
      </c>
      <c r="T402" s="11">
        <f t="shared" si="33"/>
        <v>2018</v>
      </c>
      <c r="U402" s="11">
        <f t="shared" si="34"/>
        <v>29630</v>
      </c>
    </row>
    <row r="403" spans="1:21" x14ac:dyDescent="0.3">
      <c r="A403" t="s">
        <v>824</v>
      </c>
      <c r="B403">
        <v>2017</v>
      </c>
      <c r="C403" t="s">
        <v>29</v>
      </c>
      <c r="D403" t="s">
        <v>53</v>
      </c>
      <c r="E403">
        <v>25626</v>
      </c>
      <c r="F403" t="s">
        <v>52</v>
      </c>
      <c r="G403">
        <v>83100</v>
      </c>
      <c r="H403" t="s">
        <v>53</v>
      </c>
      <c r="I403" t="s">
        <v>110</v>
      </c>
      <c r="J403" t="s">
        <v>825</v>
      </c>
      <c r="K403" t="s">
        <v>23</v>
      </c>
      <c r="L403" t="s">
        <v>158</v>
      </c>
      <c r="M403" t="s">
        <v>42</v>
      </c>
      <c r="N403" t="s">
        <v>26</v>
      </c>
      <c r="O403" t="s">
        <v>27</v>
      </c>
      <c r="P403" s="1">
        <v>44797</v>
      </c>
      <c r="Q403">
        <f t="shared" si="30"/>
        <v>0</v>
      </c>
      <c r="R403">
        <f t="shared" si="31"/>
        <v>1</v>
      </c>
      <c r="S403">
        <f t="shared" si="32"/>
        <v>0</v>
      </c>
      <c r="T403" s="11">
        <f t="shared" si="33"/>
        <v>2017</v>
      </c>
      <c r="U403" s="11">
        <f t="shared" si="34"/>
        <v>25626</v>
      </c>
    </row>
    <row r="404" spans="1:21" x14ac:dyDescent="0.3">
      <c r="A404" t="s">
        <v>826</v>
      </c>
      <c r="B404">
        <v>2019</v>
      </c>
      <c r="C404" t="s">
        <v>56</v>
      </c>
      <c r="D404" t="s">
        <v>32</v>
      </c>
      <c r="E404">
        <v>28720</v>
      </c>
      <c r="F404" t="s">
        <v>65</v>
      </c>
      <c r="G404">
        <v>47400</v>
      </c>
      <c r="H404" t="s">
        <v>20</v>
      </c>
      <c r="I404" t="s">
        <v>78</v>
      </c>
      <c r="J404" t="s">
        <v>317</v>
      </c>
      <c r="K404" t="s">
        <v>23</v>
      </c>
      <c r="N404" t="s">
        <v>127</v>
      </c>
      <c r="O404" t="s">
        <v>27</v>
      </c>
      <c r="P404" s="1">
        <v>44797</v>
      </c>
      <c r="Q404">
        <f t="shared" si="30"/>
        <v>0</v>
      </c>
      <c r="R404">
        <f t="shared" si="31"/>
        <v>0</v>
      </c>
      <c r="S404">
        <f t="shared" si="32"/>
        <v>0</v>
      </c>
      <c r="T404" s="11">
        <f t="shared" si="33"/>
        <v>2019</v>
      </c>
      <c r="U404" s="11">
        <f t="shared" si="34"/>
        <v>28720</v>
      </c>
    </row>
    <row r="405" spans="1:21" x14ac:dyDescent="0.3">
      <c r="A405" t="s">
        <v>827</v>
      </c>
      <c r="B405">
        <v>2021</v>
      </c>
      <c r="C405" t="s">
        <v>37</v>
      </c>
      <c r="D405" t="s">
        <v>53</v>
      </c>
      <c r="E405">
        <v>6371</v>
      </c>
      <c r="F405" t="s">
        <v>131</v>
      </c>
      <c r="G405">
        <v>117100</v>
      </c>
      <c r="H405" t="s">
        <v>32</v>
      </c>
      <c r="I405" t="s">
        <v>39</v>
      </c>
      <c r="J405" t="s">
        <v>828</v>
      </c>
      <c r="K405" t="s">
        <v>23</v>
      </c>
      <c r="L405" t="s">
        <v>829</v>
      </c>
      <c r="M405" t="s">
        <v>830</v>
      </c>
      <c r="N405" t="s">
        <v>831</v>
      </c>
      <c r="O405" t="s">
        <v>27</v>
      </c>
      <c r="P405" s="1">
        <v>44797</v>
      </c>
      <c r="Q405">
        <f t="shared" si="30"/>
        <v>1</v>
      </c>
      <c r="R405">
        <f t="shared" si="31"/>
        <v>0</v>
      </c>
      <c r="S405">
        <f t="shared" si="32"/>
        <v>0</v>
      </c>
      <c r="T405" s="11">
        <f t="shared" si="33"/>
        <v>2021</v>
      </c>
      <c r="U405" s="11">
        <f t="shared" si="34"/>
        <v>6371</v>
      </c>
    </row>
    <row r="406" spans="1:21" x14ac:dyDescent="0.3">
      <c r="A406" t="s">
        <v>832</v>
      </c>
      <c r="B406">
        <v>2020</v>
      </c>
      <c r="C406" t="s">
        <v>37</v>
      </c>
      <c r="D406" t="s">
        <v>32</v>
      </c>
      <c r="E406">
        <v>61048</v>
      </c>
      <c r="F406" t="s">
        <v>38</v>
      </c>
      <c r="G406">
        <v>74000</v>
      </c>
      <c r="H406" t="s">
        <v>53</v>
      </c>
      <c r="I406" t="s">
        <v>39</v>
      </c>
      <c r="J406" t="s">
        <v>833</v>
      </c>
      <c r="K406" t="s">
        <v>23</v>
      </c>
      <c r="N406" t="s">
        <v>127</v>
      </c>
      <c r="O406" t="s">
        <v>27</v>
      </c>
      <c r="P406" s="1">
        <v>44797</v>
      </c>
      <c r="Q406">
        <f t="shared" si="30"/>
        <v>1</v>
      </c>
      <c r="R406">
        <f t="shared" si="31"/>
        <v>0</v>
      </c>
      <c r="S406">
        <f t="shared" si="32"/>
        <v>0</v>
      </c>
      <c r="T406" s="11">
        <f t="shared" si="33"/>
        <v>2020</v>
      </c>
      <c r="U406" s="11">
        <f t="shared" si="34"/>
        <v>61048</v>
      </c>
    </row>
    <row r="407" spans="1:21" x14ac:dyDescent="0.3">
      <c r="A407" t="s">
        <v>834</v>
      </c>
      <c r="B407">
        <v>2022</v>
      </c>
      <c r="C407" t="s">
        <v>17</v>
      </c>
      <c r="D407" t="s">
        <v>76</v>
      </c>
      <c r="E407">
        <v>5949</v>
      </c>
      <c r="F407" t="s">
        <v>189</v>
      </c>
      <c r="G407">
        <v>82400</v>
      </c>
      <c r="H407" t="s">
        <v>77</v>
      </c>
      <c r="I407" t="s">
        <v>39</v>
      </c>
      <c r="J407" t="s">
        <v>835</v>
      </c>
      <c r="K407" t="s">
        <v>23</v>
      </c>
      <c r="L407" t="s">
        <v>163</v>
      </c>
      <c r="M407" t="s">
        <v>164</v>
      </c>
      <c r="N407" t="s">
        <v>26</v>
      </c>
      <c r="O407" t="s">
        <v>27</v>
      </c>
      <c r="P407" s="1">
        <v>44797</v>
      </c>
      <c r="Q407">
        <f t="shared" si="30"/>
        <v>0</v>
      </c>
      <c r="R407">
        <f t="shared" si="31"/>
        <v>0</v>
      </c>
      <c r="S407">
        <f t="shared" si="32"/>
        <v>1</v>
      </c>
      <c r="T407" s="11">
        <f t="shared" si="33"/>
        <v>2022</v>
      </c>
      <c r="U407" s="11">
        <f t="shared" si="34"/>
        <v>5949</v>
      </c>
    </row>
    <row r="408" spans="1:21" x14ac:dyDescent="0.3">
      <c r="A408" t="s">
        <v>836</v>
      </c>
      <c r="B408">
        <v>2019</v>
      </c>
      <c r="C408" t="s">
        <v>56</v>
      </c>
      <c r="D408" t="s">
        <v>30</v>
      </c>
      <c r="E408">
        <v>29072</v>
      </c>
      <c r="F408" t="s">
        <v>65</v>
      </c>
      <c r="G408">
        <v>46100</v>
      </c>
      <c r="H408" t="s">
        <v>77</v>
      </c>
      <c r="I408" t="s">
        <v>58</v>
      </c>
      <c r="J408" t="s">
        <v>837</v>
      </c>
      <c r="K408" t="s">
        <v>23</v>
      </c>
      <c r="L408" t="s">
        <v>205</v>
      </c>
      <c r="M408" t="s">
        <v>42</v>
      </c>
      <c r="N408" t="s">
        <v>26</v>
      </c>
      <c r="O408" t="s">
        <v>27</v>
      </c>
      <c r="P408" s="1">
        <v>44797</v>
      </c>
      <c r="Q408">
        <f t="shared" si="30"/>
        <v>0</v>
      </c>
      <c r="R408">
        <f t="shared" si="31"/>
        <v>0</v>
      </c>
      <c r="S408">
        <f t="shared" si="32"/>
        <v>0</v>
      </c>
      <c r="T408" s="11">
        <f t="shared" si="33"/>
        <v>2019</v>
      </c>
      <c r="U408" s="11">
        <f t="shared" si="34"/>
        <v>29072</v>
      </c>
    </row>
    <row r="409" spans="1:21" x14ac:dyDescent="0.3">
      <c r="A409" t="s">
        <v>838</v>
      </c>
      <c r="B409">
        <v>2021</v>
      </c>
      <c r="C409" t="s">
        <v>56</v>
      </c>
      <c r="D409" t="s">
        <v>93</v>
      </c>
      <c r="E409">
        <v>8633</v>
      </c>
      <c r="F409" t="s">
        <v>57</v>
      </c>
      <c r="G409">
        <v>65100</v>
      </c>
      <c r="H409" t="s">
        <v>20</v>
      </c>
      <c r="I409" t="s">
        <v>78</v>
      </c>
      <c r="J409" t="s">
        <v>218</v>
      </c>
      <c r="K409" t="s">
        <v>23</v>
      </c>
      <c r="L409" t="s">
        <v>24</v>
      </c>
      <c r="M409" t="s">
        <v>25</v>
      </c>
      <c r="N409" t="s">
        <v>26</v>
      </c>
      <c r="O409" t="s">
        <v>27</v>
      </c>
      <c r="P409" s="1">
        <v>44797</v>
      </c>
      <c r="Q409">
        <f t="shared" si="30"/>
        <v>0</v>
      </c>
      <c r="R409">
        <f t="shared" si="31"/>
        <v>0</v>
      </c>
      <c r="S409">
        <f t="shared" si="32"/>
        <v>0</v>
      </c>
      <c r="T409" s="11">
        <f t="shared" si="33"/>
        <v>2021</v>
      </c>
      <c r="U409" s="11">
        <f t="shared" si="34"/>
        <v>8633</v>
      </c>
    </row>
    <row r="410" spans="1:21" x14ac:dyDescent="0.3">
      <c r="A410" t="s">
        <v>839</v>
      </c>
      <c r="B410">
        <v>2020</v>
      </c>
      <c r="C410" t="s">
        <v>56</v>
      </c>
      <c r="D410" t="s">
        <v>30</v>
      </c>
      <c r="E410">
        <v>31901</v>
      </c>
      <c r="F410" t="s">
        <v>65</v>
      </c>
      <c r="G410">
        <v>48300</v>
      </c>
      <c r="H410" t="s">
        <v>20</v>
      </c>
      <c r="I410" t="s">
        <v>78</v>
      </c>
      <c r="J410" t="s">
        <v>840</v>
      </c>
      <c r="K410" t="s">
        <v>23</v>
      </c>
      <c r="L410" t="s">
        <v>205</v>
      </c>
      <c r="M410" t="s">
        <v>42</v>
      </c>
      <c r="N410" t="s">
        <v>26</v>
      </c>
      <c r="O410" t="s">
        <v>27</v>
      </c>
      <c r="P410" s="1">
        <v>44797</v>
      </c>
      <c r="Q410">
        <f t="shared" si="30"/>
        <v>0</v>
      </c>
      <c r="R410">
        <f t="shared" si="31"/>
        <v>0</v>
      </c>
      <c r="S410">
        <f t="shared" si="32"/>
        <v>0</v>
      </c>
      <c r="T410" s="11">
        <f t="shared" si="33"/>
        <v>2020</v>
      </c>
      <c r="U410" s="11">
        <f t="shared" si="34"/>
        <v>31901</v>
      </c>
    </row>
    <row r="411" spans="1:21" x14ac:dyDescent="0.3">
      <c r="A411" t="s">
        <v>841</v>
      </c>
      <c r="B411">
        <v>2020</v>
      </c>
      <c r="C411" t="s">
        <v>56</v>
      </c>
      <c r="D411" t="s">
        <v>93</v>
      </c>
      <c r="E411">
        <v>23280</v>
      </c>
      <c r="F411" t="s">
        <v>57</v>
      </c>
      <c r="G411">
        <v>61400</v>
      </c>
      <c r="H411" t="s">
        <v>20</v>
      </c>
      <c r="I411" t="s">
        <v>58</v>
      </c>
      <c r="J411" t="s">
        <v>842</v>
      </c>
      <c r="K411" t="s">
        <v>23</v>
      </c>
      <c r="L411" t="s">
        <v>513</v>
      </c>
      <c r="M411" t="s">
        <v>42</v>
      </c>
      <c r="N411" t="s">
        <v>26</v>
      </c>
      <c r="O411" t="s">
        <v>27</v>
      </c>
      <c r="P411" s="1">
        <v>44797</v>
      </c>
      <c r="Q411">
        <f t="shared" si="30"/>
        <v>0</v>
      </c>
      <c r="R411">
        <f t="shared" si="31"/>
        <v>0</v>
      </c>
      <c r="S411">
        <f t="shared" si="32"/>
        <v>0</v>
      </c>
      <c r="T411" s="11">
        <f t="shared" si="33"/>
        <v>2020</v>
      </c>
      <c r="U411" s="11">
        <f t="shared" si="34"/>
        <v>23280</v>
      </c>
    </row>
    <row r="412" spans="1:21" x14ac:dyDescent="0.3">
      <c r="A412" t="s">
        <v>843</v>
      </c>
      <c r="B412">
        <v>2020</v>
      </c>
      <c r="C412" t="s">
        <v>56</v>
      </c>
      <c r="D412" t="s">
        <v>93</v>
      </c>
      <c r="E412">
        <v>24797</v>
      </c>
      <c r="F412" t="s">
        <v>65</v>
      </c>
      <c r="G412">
        <v>50900</v>
      </c>
      <c r="H412" t="s">
        <v>77</v>
      </c>
      <c r="I412" t="s">
        <v>78</v>
      </c>
      <c r="J412" t="s">
        <v>697</v>
      </c>
      <c r="K412" t="s">
        <v>23</v>
      </c>
      <c r="L412" t="s">
        <v>330</v>
      </c>
      <c r="M412" t="s">
        <v>42</v>
      </c>
      <c r="N412" t="s">
        <v>26</v>
      </c>
      <c r="O412" t="s">
        <v>27</v>
      </c>
      <c r="P412" s="1">
        <v>44797</v>
      </c>
      <c r="Q412">
        <f t="shared" si="30"/>
        <v>0</v>
      </c>
      <c r="R412">
        <f t="shared" si="31"/>
        <v>0</v>
      </c>
      <c r="S412">
        <f t="shared" si="32"/>
        <v>0</v>
      </c>
      <c r="T412" s="11">
        <f t="shared" si="33"/>
        <v>2020</v>
      </c>
      <c r="U412" s="11">
        <f t="shared" si="34"/>
        <v>24797</v>
      </c>
    </row>
    <row r="413" spans="1:21" x14ac:dyDescent="0.3">
      <c r="A413" t="s">
        <v>844</v>
      </c>
      <c r="B413">
        <v>2019</v>
      </c>
      <c r="C413" t="s">
        <v>56</v>
      </c>
      <c r="D413" t="s">
        <v>32</v>
      </c>
      <c r="E413">
        <v>21976</v>
      </c>
      <c r="F413" t="s">
        <v>57</v>
      </c>
      <c r="G413">
        <v>57700</v>
      </c>
      <c r="H413" t="s">
        <v>77</v>
      </c>
      <c r="I413" t="s">
        <v>58</v>
      </c>
      <c r="J413" t="s">
        <v>411</v>
      </c>
      <c r="K413" t="s">
        <v>23</v>
      </c>
      <c r="L413" t="s">
        <v>205</v>
      </c>
      <c r="M413" t="s">
        <v>42</v>
      </c>
      <c r="N413" t="s">
        <v>26</v>
      </c>
      <c r="O413" t="s">
        <v>27</v>
      </c>
      <c r="P413" s="1">
        <v>44797</v>
      </c>
      <c r="Q413">
        <f t="shared" si="30"/>
        <v>0</v>
      </c>
      <c r="R413">
        <f t="shared" si="31"/>
        <v>0</v>
      </c>
      <c r="S413">
        <f t="shared" si="32"/>
        <v>0</v>
      </c>
      <c r="T413" s="11">
        <f t="shared" si="33"/>
        <v>2019</v>
      </c>
      <c r="U413" s="11">
        <f t="shared" si="34"/>
        <v>21976</v>
      </c>
    </row>
    <row r="414" spans="1:21" x14ac:dyDescent="0.3">
      <c r="A414" t="s">
        <v>845</v>
      </c>
      <c r="B414">
        <v>2020</v>
      </c>
      <c r="C414" t="s">
        <v>56</v>
      </c>
      <c r="D414" t="s">
        <v>53</v>
      </c>
      <c r="E414">
        <v>11179</v>
      </c>
      <c r="F414" t="s">
        <v>65</v>
      </c>
      <c r="G414">
        <v>54200</v>
      </c>
      <c r="H414" t="s">
        <v>20</v>
      </c>
      <c r="I414" t="s">
        <v>58</v>
      </c>
      <c r="J414" t="s">
        <v>66</v>
      </c>
      <c r="K414" t="s">
        <v>23</v>
      </c>
      <c r="L414" t="s">
        <v>509</v>
      </c>
      <c r="N414" t="s">
        <v>26</v>
      </c>
      <c r="O414" t="s">
        <v>27</v>
      </c>
      <c r="P414" s="1">
        <v>44797</v>
      </c>
      <c r="Q414">
        <f t="shared" si="30"/>
        <v>0</v>
      </c>
      <c r="R414">
        <f t="shared" si="31"/>
        <v>0</v>
      </c>
      <c r="S414">
        <f t="shared" si="32"/>
        <v>0</v>
      </c>
      <c r="T414" s="11">
        <f t="shared" si="33"/>
        <v>2020</v>
      </c>
      <c r="U414" s="11">
        <f t="shared" si="34"/>
        <v>11179</v>
      </c>
    </row>
    <row r="415" spans="1:21" x14ac:dyDescent="0.3">
      <c r="A415" t="s">
        <v>846</v>
      </c>
      <c r="B415">
        <v>2019</v>
      </c>
      <c r="C415" t="s">
        <v>56</v>
      </c>
      <c r="D415" t="s">
        <v>93</v>
      </c>
      <c r="E415">
        <v>18133</v>
      </c>
      <c r="F415" t="s">
        <v>57</v>
      </c>
      <c r="G415">
        <v>57400</v>
      </c>
      <c r="H415" t="s">
        <v>20</v>
      </c>
      <c r="I415" t="s">
        <v>58</v>
      </c>
      <c r="J415" t="s">
        <v>842</v>
      </c>
      <c r="K415" t="s">
        <v>23</v>
      </c>
      <c r="L415" t="s">
        <v>158</v>
      </c>
      <c r="M415" t="s">
        <v>42</v>
      </c>
      <c r="N415" t="s">
        <v>26</v>
      </c>
      <c r="O415" t="s">
        <v>27</v>
      </c>
      <c r="P415" s="1">
        <v>44797</v>
      </c>
      <c r="Q415">
        <f t="shared" si="30"/>
        <v>0</v>
      </c>
      <c r="R415">
        <f t="shared" si="31"/>
        <v>0</v>
      </c>
      <c r="S415">
        <f t="shared" si="32"/>
        <v>0</v>
      </c>
      <c r="T415" s="11">
        <f t="shared" si="33"/>
        <v>2019</v>
      </c>
      <c r="U415" s="11">
        <f t="shared" si="34"/>
        <v>18133</v>
      </c>
    </row>
    <row r="416" spans="1:21" x14ac:dyDescent="0.3">
      <c r="A416" t="s">
        <v>847</v>
      </c>
      <c r="B416">
        <v>2018</v>
      </c>
      <c r="C416" t="s">
        <v>29</v>
      </c>
      <c r="D416" t="s">
        <v>51</v>
      </c>
      <c r="E416">
        <v>29296</v>
      </c>
      <c r="F416" t="s">
        <v>270</v>
      </c>
      <c r="G416">
        <v>89200</v>
      </c>
      <c r="H416" t="s">
        <v>32</v>
      </c>
      <c r="I416" t="s">
        <v>21</v>
      </c>
      <c r="J416" t="s">
        <v>848</v>
      </c>
      <c r="K416" t="s">
        <v>23</v>
      </c>
      <c r="L416" t="s">
        <v>330</v>
      </c>
      <c r="M416" t="s">
        <v>42</v>
      </c>
      <c r="N416" t="s">
        <v>26</v>
      </c>
      <c r="O416" t="s">
        <v>27</v>
      </c>
      <c r="P416" s="1">
        <v>44797</v>
      </c>
      <c r="Q416">
        <f t="shared" si="30"/>
        <v>0</v>
      </c>
      <c r="R416">
        <f t="shared" si="31"/>
        <v>1</v>
      </c>
      <c r="S416">
        <f t="shared" si="32"/>
        <v>0</v>
      </c>
      <c r="T416" s="11">
        <f t="shared" si="33"/>
        <v>2018</v>
      </c>
      <c r="U416" s="11">
        <f t="shared" si="34"/>
        <v>29296</v>
      </c>
    </row>
    <row r="417" spans="1:21" x14ac:dyDescent="0.3">
      <c r="A417" t="s">
        <v>849</v>
      </c>
      <c r="B417">
        <v>2019</v>
      </c>
      <c r="C417" t="s">
        <v>56</v>
      </c>
      <c r="D417" t="s">
        <v>76</v>
      </c>
      <c r="E417">
        <v>17618</v>
      </c>
      <c r="F417" t="s">
        <v>65</v>
      </c>
      <c r="G417">
        <v>50100</v>
      </c>
      <c r="H417" t="s">
        <v>77</v>
      </c>
      <c r="I417" t="s">
        <v>58</v>
      </c>
      <c r="J417" t="s">
        <v>378</v>
      </c>
      <c r="K417" t="s">
        <v>23</v>
      </c>
      <c r="L417" t="s">
        <v>163</v>
      </c>
      <c r="M417" t="s">
        <v>164</v>
      </c>
      <c r="N417" t="s">
        <v>26</v>
      </c>
      <c r="O417" t="s">
        <v>27</v>
      </c>
      <c r="P417" s="1">
        <v>44797</v>
      </c>
      <c r="Q417">
        <f t="shared" si="30"/>
        <v>0</v>
      </c>
      <c r="R417">
        <f t="shared" si="31"/>
        <v>0</v>
      </c>
      <c r="S417">
        <f t="shared" si="32"/>
        <v>0</v>
      </c>
      <c r="T417" s="11">
        <f t="shared" si="33"/>
        <v>2019</v>
      </c>
      <c r="U417" s="11">
        <f t="shared" si="34"/>
        <v>17618</v>
      </c>
    </row>
    <row r="418" spans="1:21" x14ac:dyDescent="0.3">
      <c r="A418" t="s">
        <v>850</v>
      </c>
      <c r="B418">
        <v>2021</v>
      </c>
      <c r="C418" t="s">
        <v>17</v>
      </c>
      <c r="D418" t="s">
        <v>32</v>
      </c>
      <c r="E418">
        <v>12671</v>
      </c>
      <c r="F418" t="s">
        <v>19</v>
      </c>
      <c r="G418">
        <v>70100</v>
      </c>
      <c r="H418" t="s">
        <v>20</v>
      </c>
      <c r="I418" t="s">
        <v>78</v>
      </c>
      <c r="J418" t="s">
        <v>200</v>
      </c>
      <c r="K418" t="s">
        <v>23</v>
      </c>
      <c r="L418" t="s">
        <v>158</v>
      </c>
      <c r="M418" t="s">
        <v>42</v>
      </c>
      <c r="N418" t="s">
        <v>26</v>
      </c>
      <c r="O418" t="s">
        <v>27</v>
      </c>
      <c r="P418" s="1">
        <v>44797</v>
      </c>
      <c r="Q418">
        <f t="shared" si="30"/>
        <v>0</v>
      </c>
      <c r="R418">
        <f t="shared" si="31"/>
        <v>0</v>
      </c>
      <c r="S418">
        <f t="shared" si="32"/>
        <v>1</v>
      </c>
      <c r="T418" s="11">
        <f t="shared" si="33"/>
        <v>2021</v>
      </c>
      <c r="U418" s="11">
        <f t="shared" si="34"/>
        <v>12671</v>
      </c>
    </row>
    <row r="419" spans="1:21" x14ac:dyDescent="0.3">
      <c r="A419" t="s">
        <v>851</v>
      </c>
      <c r="B419">
        <v>2019</v>
      </c>
      <c r="C419" t="s">
        <v>56</v>
      </c>
      <c r="D419" t="s">
        <v>93</v>
      </c>
      <c r="E419">
        <v>28245</v>
      </c>
      <c r="F419" t="s">
        <v>65</v>
      </c>
      <c r="G419">
        <v>48400</v>
      </c>
      <c r="H419" t="s">
        <v>20</v>
      </c>
      <c r="I419" t="s">
        <v>58</v>
      </c>
      <c r="J419" t="s">
        <v>294</v>
      </c>
      <c r="K419" t="s">
        <v>23</v>
      </c>
      <c r="L419" t="s">
        <v>513</v>
      </c>
      <c r="M419" t="s">
        <v>42</v>
      </c>
      <c r="N419" t="s">
        <v>26</v>
      </c>
      <c r="O419" t="s">
        <v>27</v>
      </c>
      <c r="P419" s="1">
        <v>44797</v>
      </c>
      <c r="Q419">
        <f t="shared" si="30"/>
        <v>0</v>
      </c>
      <c r="R419">
        <f t="shared" si="31"/>
        <v>0</v>
      </c>
      <c r="S419">
        <f t="shared" si="32"/>
        <v>0</v>
      </c>
      <c r="T419" s="11">
        <f t="shared" si="33"/>
        <v>2019</v>
      </c>
      <c r="U419" s="11">
        <f t="shared" si="34"/>
        <v>28245</v>
      </c>
    </row>
    <row r="420" spans="1:21" x14ac:dyDescent="0.3">
      <c r="A420" t="s">
        <v>852</v>
      </c>
      <c r="B420">
        <v>2020</v>
      </c>
      <c r="C420" t="s">
        <v>56</v>
      </c>
      <c r="D420" t="s">
        <v>32</v>
      </c>
      <c r="E420">
        <v>31787</v>
      </c>
      <c r="F420" t="s">
        <v>65</v>
      </c>
      <c r="G420">
        <v>48500</v>
      </c>
      <c r="H420" t="s">
        <v>20</v>
      </c>
      <c r="I420" t="s">
        <v>58</v>
      </c>
      <c r="J420" t="s">
        <v>192</v>
      </c>
      <c r="K420" t="s">
        <v>23</v>
      </c>
      <c r="L420" t="s">
        <v>95</v>
      </c>
      <c r="M420" t="s">
        <v>96</v>
      </c>
      <c r="N420" t="s">
        <v>89</v>
      </c>
      <c r="O420" t="s">
        <v>27</v>
      </c>
      <c r="P420" s="1">
        <v>44796</v>
      </c>
      <c r="Q420">
        <f t="shared" si="30"/>
        <v>0</v>
      </c>
      <c r="R420">
        <f t="shared" si="31"/>
        <v>0</v>
      </c>
      <c r="S420">
        <f t="shared" si="32"/>
        <v>0</v>
      </c>
      <c r="T420" s="11">
        <f t="shared" si="33"/>
        <v>2020</v>
      </c>
      <c r="U420" s="11">
        <f t="shared" si="34"/>
        <v>31787</v>
      </c>
    </row>
    <row r="421" spans="1:21" x14ac:dyDescent="0.3">
      <c r="A421" t="s">
        <v>853</v>
      </c>
      <c r="B421">
        <v>2020</v>
      </c>
      <c r="C421" t="s">
        <v>17</v>
      </c>
      <c r="D421" t="s">
        <v>18</v>
      </c>
      <c r="E421">
        <v>50200</v>
      </c>
      <c r="F421" t="s">
        <v>156</v>
      </c>
      <c r="G421">
        <v>64400</v>
      </c>
      <c r="H421" t="s">
        <v>20</v>
      </c>
      <c r="I421" t="s">
        <v>39</v>
      </c>
      <c r="J421" t="s">
        <v>157</v>
      </c>
      <c r="K421" t="s">
        <v>23</v>
      </c>
      <c r="L421" t="s">
        <v>84</v>
      </c>
      <c r="M421" t="s">
        <v>48</v>
      </c>
      <c r="N421" t="s">
        <v>69</v>
      </c>
      <c r="O421" t="s">
        <v>27</v>
      </c>
      <c r="P421" s="1">
        <v>44796</v>
      </c>
      <c r="Q421">
        <f t="shared" si="30"/>
        <v>0</v>
      </c>
      <c r="R421">
        <f t="shared" si="31"/>
        <v>0</v>
      </c>
      <c r="S421">
        <f t="shared" si="32"/>
        <v>1</v>
      </c>
      <c r="T421" s="11">
        <f t="shared" si="33"/>
        <v>2020</v>
      </c>
      <c r="U421" s="11">
        <f t="shared" si="34"/>
        <v>50200</v>
      </c>
    </row>
    <row r="422" spans="1:21" x14ac:dyDescent="0.3">
      <c r="A422" t="s">
        <v>854</v>
      </c>
      <c r="B422">
        <v>2018</v>
      </c>
      <c r="C422" t="s">
        <v>29</v>
      </c>
      <c r="D422" t="s">
        <v>76</v>
      </c>
      <c r="E422">
        <v>56328</v>
      </c>
      <c r="F422" t="s">
        <v>52</v>
      </c>
      <c r="G422">
        <v>75700</v>
      </c>
      <c r="H422" t="s">
        <v>45</v>
      </c>
      <c r="I422" t="s">
        <v>21</v>
      </c>
      <c r="J422" t="s">
        <v>855</v>
      </c>
      <c r="K422" t="s">
        <v>23</v>
      </c>
      <c r="L422" t="s">
        <v>87</v>
      </c>
      <c r="M422" t="s">
        <v>88</v>
      </c>
      <c r="N422" t="s">
        <v>89</v>
      </c>
      <c r="O422" t="s">
        <v>27</v>
      </c>
      <c r="P422" s="1">
        <v>44796</v>
      </c>
      <c r="Q422">
        <f t="shared" si="30"/>
        <v>0</v>
      </c>
      <c r="R422">
        <f t="shared" si="31"/>
        <v>1</v>
      </c>
      <c r="S422">
        <f t="shared" si="32"/>
        <v>0</v>
      </c>
      <c r="T422" s="11">
        <f t="shared" si="33"/>
        <v>2018</v>
      </c>
      <c r="U422" s="11">
        <f t="shared" si="34"/>
        <v>56328</v>
      </c>
    </row>
    <row r="423" spans="1:21" x14ac:dyDescent="0.3">
      <c r="A423" t="s">
        <v>856</v>
      </c>
      <c r="B423">
        <v>2020</v>
      </c>
      <c r="C423" t="s">
        <v>17</v>
      </c>
      <c r="D423" t="s">
        <v>53</v>
      </c>
      <c r="E423">
        <v>19148</v>
      </c>
      <c r="F423" t="s">
        <v>207</v>
      </c>
      <c r="G423">
        <v>64800</v>
      </c>
      <c r="H423" t="s">
        <v>20</v>
      </c>
      <c r="I423" t="s">
        <v>78</v>
      </c>
      <c r="J423" t="s">
        <v>857</v>
      </c>
      <c r="K423" t="s">
        <v>23</v>
      </c>
      <c r="L423" t="s">
        <v>47</v>
      </c>
      <c r="M423" t="s">
        <v>48</v>
      </c>
      <c r="N423" t="s">
        <v>49</v>
      </c>
      <c r="O423" t="s">
        <v>27</v>
      </c>
      <c r="P423" s="1">
        <v>44796</v>
      </c>
      <c r="Q423">
        <f t="shared" si="30"/>
        <v>0</v>
      </c>
      <c r="R423">
        <f t="shared" si="31"/>
        <v>0</v>
      </c>
      <c r="S423">
        <f t="shared" si="32"/>
        <v>1</v>
      </c>
      <c r="T423" s="11">
        <f t="shared" si="33"/>
        <v>2020</v>
      </c>
      <c r="U423" s="11">
        <f t="shared" si="34"/>
        <v>19148</v>
      </c>
    </row>
    <row r="424" spans="1:21" x14ac:dyDescent="0.3">
      <c r="A424" t="s">
        <v>858</v>
      </c>
      <c r="B424">
        <v>2018</v>
      </c>
      <c r="C424" t="s">
        <v>29</v>
      </c>
      <c r="D424" t="s">
        <v>53</v>
      </c>
      <c r="E424">
        <v>28248</v>
      </c>
      <c r="F424" t="s">
        <v>52</v>
      </c>
      <c r="G424">
        <v>82900</v>
      </c>
      <c r="H424" t="s">
        <v>53</v>
      </c>
      <c r="I424" t="s">
        <v>21</v>
      </c>
      <c r="J424" t="s">
        <v>859</v>
      </c>
      <c r="K424" t="s">
        <v>23</v>
      </c>
      <c r="L424" t="s">
        <v>95</v>
      </c>
      <c r="M424" t="s">
        <v>96</v>
      </c>
      <c r="N424" t="s">
        <v>89</v>
      </c>
      <c r="O424" t="s">
        <v>27</v>
      </c>
      <c r="P424" s="1">
        <v>44796</v>
      </c>
      <c r="Q424">
        <f t="shared" si="30"/>
        <v>0</v>
      </c>
      <c r="R424">
        <f t="shared" si="31"/>
        <v>1</v>
      </c>
      <c r="S424">
        <f t="shared" si="32"/>
        <v>0</v>
      </c>
      <c r="T424" s="11">
        <f t="shared" si="33"/>
        <v>2018</v>
      </c>
      <c r="U424" s="11">
        <f t="shared" si="34"/>
        <v>28248</v>
      </c>
    </row>
    <row r="425" spans="1:21" x14ac:dyDescent="0.3">
      <c r="A425" t="s">
        <v>860</v>
      </c>
      <c r="B425">
        <v>2020</v>
      </c>
      <c r="C425" t="s">
        <v>17</v>
      </c>
      <c r="D425" t="s">
        <v>53</v>
      </c>
      <c r="E425">
        <v>16421</v>
      </c>
      <c r="F425" t="s">
        <v>156</v>
      </c>
      <c r="G425">
        <v>67500</v>
      </c>
      <c r="H425" t="s">
        <v>20</v>
      </c>
      <c r="I425" t="s">
        <v>39</v>
      </c>
      <c r="J425" t="s">
        <v>538</v>
      </c>
      <c r="K425" t="s">
        <v>23</v>
      </c>
      <c r="L425" t="s">
        <v>768</v>
      </c>
      <c r="M425" t="s">
        <v>68</v>
      </c>
      <c r="N425" t="s">
        <v>69</v>
      </c>
      <c r="O425" t="s">
        <v>27</v>
      </c>
      <c r="P425" s="1">
        <v>44796</v>
      </c>
      <c r="Q425">
        <f t="shared" si="30"/>
        <v>0</v>
      </c>
      <c r="R425">
        <f t="shared" si="31"/>
        <v>0</v>
      </c>
      <c r="S425">
        <f t="shared" si="32"/>
        <v>1</v>
      </c>
      <c r="T425" s="11">
        <f t="shared" si="33"/>
        <v>2020</v>
      </c>
      <c r="U425" s="11">
        <f t="shared" si="34"/>
        <v>16421</v>
      </c>
    </row>
    <row r="426" spans="1:21" x14ac:dyDescent="0.3">
      <c r="A426" t="s">
        <v>861</v>
      </c>
      <c r="B426">
        <v>2018</v>
      </c>
      <c r="C426" t="s">
        <v>37</v>
      </c>
      <c r="D426" t="s">
        <v>18</v>
      </c>
      <c r="E426">
        <v>12924</v>
      </c>
      <c r="F426" t="s">
        <v>104</v>
      </c>
      <c r="G426">
        <v>74200</v>
      </c>
      <c r="H426" t="s">
        <v>53</v>
      </c>
      <c r="I426" t="s">
        <v>78</v>
      </c>
      <c r="J426" t="s">
        <v>862</v>
      </c>
      <c r="K426" t="s">
        <v>23</v>
      </c>
      <c r="L426" t="s">
        <v>371</v>
      </c>
      <c r="M426" t="s">
        <v>48</v>
      </c>
      <c r="N426" t="s">
        <v>49</v>
      </c>
      <c r="O426" t="s">
        <v>27</v>
      </c>
      <c r="P426" s="1">
        <v>44796</v>
      </c>
      <c r="Q426">
        <f t="shared" si="30"/>
        <v>1</v>
      </c>
      <c r="R426">
        <f t="shared" si="31"/>
        <v>0</v>
      </c>
      <c r="S426">
        <f t="shared" si="32"/>
        <v>0</v>
      </c>
      <c r="T426" s="11">
        <f t="shared" si="33"/>
        <v>2018</v>
      </c>
      <c r="U426" s="11">
        <f t="shared" si="34"/>
        <v>12924</v>
      </c>
    </row>
    <row r="427" spans="1:21" x14ac:dyDescent="0.3">
      <c r="A427" t="s">
        <v>863</v>
      </c>
      <c r="B427">
        <v>2021</v>
      </c>
      <c r="C427" t="s">
        <v>17</v>
      </c>
      <c r="D427" t="s">
        <v>32</v>
      </c>
      <c r="E427">
        <v>10648</v>
      </c>
      <c r="F427" t="s">
        <v>19</v>
      </c>
      <c r="G427">
        <v>70700</v>
      </c>
      <c r="H427" t="s">
        <v>20</v>
      </c>
      <c r="I427" t="s">
        <v>78</v>
      </c>
      <c r="J427" t="s">
        <v>200</v>
      </c>
      <c r="K427" t="s">
        <v>23</v>
      </c>
      <c r="L427" t="s">
        <v>260</v>
      </c>
      <c r="M427" t="s">
        <v>261</v>
      </c>
      <c r="N427" t="s">
        <v>262</v>
      </c>
      <c r="O427" t="s">
        <v>27</v>
      </c>
      <c r="P427" s="1">
        <v>44796</v>
      </c>
      <c r="Q427">
        <f t="shared" si="30"/>
        <v>0</v>
      </c>
      <c r="R427">
        <f t="shared" si="31"/>
        <v>0</v>
      </c>
      <c r="S427">
        <f t="shared" si="32"/>
        <v>1</v>
      </c>
      <c r="T427" s="11">
        <f t="shared" si="33"/>
        <v>2021</v>
      </c>
      <c r="U427" s="11">
        <f t="shared" si="34"/>
        <v>10648</v>
      </c>
    </row>
    <row r="428" spans="1:21" x14ac:dyDescent="0.3">
      <c r="A428" t="s">
        <v>864</v>
      </c>
      <c r="B428">
        <v>2019</v>
      </c>
      <c r="C428" t="s">
        <v>37</v>
      </c>
      <c r="D428" t="s">
        <v>76</v>
      </c>
      <c r="E428">
        <v>17691</v>
      </c>
      <c r="F428" t="s">
        <v>98</v>
      </c>
      <c r="G428">
        <v>94600</v>
      </c>
      <c r="H428" t="s">
        <v>53</v>
      </c>
      <c r="I428" t="s">
        <v>78</v>
      </c>
      <c r="J428" t="s">
        <v>865</v>
      </c>
      <c r="K428" t="s">
        <v>23</v>
      </c>
      <c r="L428" t="s">
        <v>763</v>
      </c>
      <c r="M428" t="s">
        <v>426</v>
      </c>
      <c r="N428" t="s">
        <v>35</v>
      </c>
      <c r="O428" t="s">
        <v>27</v>
      </c>
      <c r="P428" s="1">
        <v>44796</v>
      </c>
      <c r="Q428">
        <f t="shared" si="30"/>
        <v>1</v>
      </c>
      <c r="R428">
        <f t="shared" si="31"/>
        <v>0</v>
      </c>
      <c r="S428">
        <f t="shared" si="32"/>
        <v>0</v>
      </c>
      <c r="T428" s="11">
        <f t="shared" si="33"/>
        <v>2019</v>
      </c>
      <c r="U428" s="11">
        <f t="shared" si="34"/>
        <v>17691</v>
      </c>
    </row>
    <row r="429" spans="1:21" x14ac:dyDescent="0.3">
      <c r="A429" t="s">
        <v>866</v>
      </c>
      <c r="B429">
        <v>2021</v>
      </c>
      <c r="C429" t="s">
        <v>17</v>
      </c>
      <c r="D429" t="s">
        <v>30</v>
      </c>
      <c r="E429">
        <v>13196</v>
      </c>
      <c r="F429" t="s">
        <v>207</v>
      </c>
      <c r="G429">
        <v>72600</v>
      </c>
      <c r="H429" t="s">
        <v>20</v>
      </c>
      <c r="I429" t="s">
        <v>78</v>
      </c>
      <c r="J429" t="s">
        <v>242</v>
      </c>
      <c r="K429" t="s">
        <v>23</v>
      </c>
      <c r="L429" t="s">
        <v>425</v>
      </c>
      <c r="M429" t="s">
        <v>426</v>
      </c>
      <c r="N429" t="s">
        <v>427</v>
      </c>
      <c r="O429" t="s">
        <v>27</v>
      </c>
      <c r="P429" s="1">
        <v>44796</v>
      </c>
      <c r="Q429">
        <f t="shared" si="30"/>
        <v>0</v>
      </c>
      <c r="R429">
        <f t="shared" si="31"/>
        <v>0</v>
      </c>
      <c r="S429">
        <f t="shared" si="32"/>
        <v>1</v>
      </c>
      <c r="T429" s="11">
        <f t="shared" si="33"/>
        <v>2021</v>
      </c>
      <c r="U429" s="11">
        <f t="shared" si="34"/>
        <v>13196</v>
      </c>
    </row>
    <row r="430" spans="1:21" x14ac:dyDescent="0.3">
      <c r="A430" t="s">
        <v>867</v>
      </c>
      <c r="B430">
        <v>2018</v>
      </c>
      <c r="C430" t="s">
        <v>56</v>
      </c>
      <c r="D430" t="s">
        <v>93</v>
      </c>
      <c r="E430">
        <v>36512</v>
      </c>
      <c r="F430" t="s">
        <v>636</v>
      </c>
      <c r="G430">
        <v>43500</v>
      </c>
      <c r="H430" t="s">
        <v>20</v>
      </c>
      <c r="I430" t="s">
        <v>58</v>
      </c>
      <c r="J430" t="s">
        <v>541</v>
      </c>
      <c r="K430" t="s">
        <v>23</v>
      </c>
      <c r="L430" t="s">
        <v>345</v>
      </c>
      <c r="M430" t="s">
        <v>48</v>
      </c>
      <c r="N430" t="s">
        <v>69</v>
      </c>
      <c r="O430" t="s">
        <v>27</v>
      </c>
      <c r="P430" s="1">
        <v>44796</v>
      </c>
      <c r="Q430">
        <f t="shared" si="30"/>
        <v>0</v>
      </c>
      <c r="R430">
        <f t="shared" si="31"/>
        <v>0</v>
      </c>
      <c r="S430">
        <f t="shared" si="32"/>
        <v>0</v>
      </c>
      <c r="T430" s="11">
        <f t="shared" si="33"/>
        <v>2018</v>
      </c>
      <c r="U430" s="11">
        <f t="shared" si="34"/>
        <v>36512</v>
      </c>
    </row>
    <row r="431" spans="1:21" x14ac:dyDescent="0.3">
      <c r="A431" t="s">
        <v>868</v>
      </c>
      <c r="B431">
        <v>2021</v>
      </c>
      <c r="C431" t="s">
        <v>17</v>
      </c>
      <c r="D431" t="s">
        <v>32</v>
      </c>
      <c r="E431">
        <v>15444</v>
      </c>
      <c r="F431" t="s">
        <v>207</v>
      </c>
      <c r="G431">
        <v>77300</v>
      </c>
      <c r="H431" t="s">
        <v>20</v>
      </c>
      <c r="I431" t="s">
        <v>21</v>
      </c>
      <c r="J431" t="s">
        <v>429</v>
      </c>
      <c r="K431" t="s">
        <v>23</v>
      </c>
      <c r="L431" t="s">
        <v>47</v>
      </c>
      <c r="M431" t="s">
        <v>48</v>
      </c>
      <c r="N431" t="s">
        <v>49</v>
      </c>
      <c r="O431" t="s">
        <v>27</v>
      </c>
      <c r="P431" s="1">
        <v>44796</v>
      </c>
      <c r="Q431">
        <f t="shared" si="30"/>
        <v>0</v>
      </c>
      <c r="R431">
        <f t="shared" si="31"/>
        <v>0</v>
      </c>
      <c r="S431">
        <f t="shared" si="32"/>
        <v>1</v>
      </c>
      <c r="T431" s="11">
        <f t="shared" si="33"/>
        <v>2021</v>
      </c>
      <c r="U431" s="11">
        <f t="shared" si="34"/>
        <v>15444</v>
      </c>
    </row>
    <row r="432" spans="1:21" x14ac:dyDescent="0.3">
      <c r="A432" t="s">
        <v>869</v>
      </c>
      <c r="B432">
        <v>2020</v>
      </c>
      <c r="C432" t="s">
        <v>56</v>
      </c>
      <c r="D432" t="s">
        <v>32</v>
      </c>
      <c r="E432">
        <v>37738</v>
      </c>
      <c r="F432" t="s">
        <v>65</v>
      </c>
      <c r="G432">
        <v>47600</v>
      </c>
      <c r="H432" t="s">
        <v>77</v>
      </c>
      <c r="I432" t="s">
        <v>78</v>
      </c>
      <c r="J432" t="s">
        <v>388</v>
      </c>
      <c r="K432" t="s">
        <v>23</v>
      </c>
      <c r="L432" t="s">
        <v>84</v>
      </c>
      <c r="M432" t="s">
        <v>48</v>
      </c>
      <c r="N432" t="s">
        <v>69</v>
      </c>
      <c r="O432" t="s">
        <v>27</v>
      </c>
      <c r="P432" s="1">
        <v>44796</v>
      </c>
      <c r="Q432">
        <f t="shared" si="30"/>
        <v>0</v>
      </c>
      <c r="R432">
        <f t="shared" si="31"/>
        <v>0</v>
      </c>
      <c r="S432">
        <f t="shared" si="32"/>
        <v>0</v>
      </c>
      <c r="T432" s="11">
        <f t="shared" si="33"/>
        <v>2020</v>
      </c>
      <c r="U432" s="11">
        <f t="shared" si="34"/>
        <v>37738</v>
      </c>
    </row>
    <row r="433" spans="1:21" x14ac:dyDescent="0.3">
      <c r="A433" t="s">
        <v>870</v>
      </c>
      <c r="B433">
        <v>2021</v>
      </c>
      <c r="C433" t="s">
        <v>56</v>
      </c>
      <c r="D433" t="s">
        <v>93</v>
      </c>
      <c r="E433">
        <v>12931</v>
      </c>
      <c r="F433" t="s">
        <v>57</v>
      </c>
      <c r="G433">
        <v>66500</v>
      </c>
      <c r="H433" t="s">
        <v>20</v>
      </c>
      <c r="I433" t="s">
        <v>78</v>
      </c>
      <c r="J433" t="s">
        <v>218</v>
      </c>
      <c r="K433" t="s">
        <v>23</v>
      </c>
      <c r="L433" t="s">
        <v>367</v>
      </c>
      <c r="M433" t="s">
        <v>244</v>
      </c>
      <c r="N433" t="s">
        <v>245</v>
      </c>
      <c r="O433" t="s">
        <v>27</v>
      </c>
      <c r="P433" s="1">
        <v>44796</v>
      </c>
      <c r="Q433">
        <f t="shared" si="30"/>
        <v>0</v>
      </c>
      <c r="R433">
        <f t="shared" si="31"/>
        <v>0</v>
      </c>
      <c r="S433">
        <f t="shared" si="32"/>
        <v>0</v>
      </c>
      <c r="T433" s="11">
        <f t="shared" si="33"/>
        <v>2021</v>
      </c>
      <c r="U433" s="11">
        <f t="shared" si="34"/>
        <v>12931</v>
      </c>
    </row>
    <row r="434" spans="1:21" x14ac:dyDescent="0.3">
      <c r="A434" t="s">
        <v>871</v>
      </c>
      <c r="B434">
        <v>2018</v>
      </c>
      <c r="C434" t="s">
        <v>56</v>
      </c>
      <c r="D434" t="s">
        <v>18</v>
      </c>
      <c r="E434">
        <v>40072</v>
      </c>
      <c r="F434" t="s">
        <v>234</v>
      </c>
      <c r="G434">
        <v>50100</v>
      </c>
      <c r="H434" t="s">
        <v>20</v>
      </c>
      <c r="I434" t="s">
        <v>78</v>
      </c>
      <c r="J434" t="s">
        <v>872</v>
      </c>
      <c r="K434" t="s">
        <v>23</v>
      </c>
      <c r="L434" t="s">
        <v>425</v>
      </c>
      <c r="M434" t="s">
        <v>426</v>
      </c>
      <c r="N434" t="s">
        <v>427</v>
      </c>
      <c r="O434" t="s">
        <v>27</v>
      </c>
      <c r="P434" s="1">
        <v>44796</v>
      </c>
      <c r="Q434">
        <f t="shared" si="30"/>
        <v>0</v>
      </c>
      <c r="R434">
        <f t="shared" si="31"/>
        <v>0</v>
      </c>
      <c r="S434">
        <f t="shared" si="32"/>
        <v>0</v>
      </c>
      <c r="T434" s="11">
        <f t="shared" si="33"/>
        <v>2018</v>
      </c>
      <c r="U434" s="11">
        <f t="shared" si="34"/>
        <v>40072</v>
      </c>
    </row>
    <row r="435" spans="1:21" x14ac:dyDescent="0.3">
      <c r="A435" t="s">
        <v>873</v>
      </c>
      <c r="B435">
        <v>2018</v>
      </c>
      <c r="C435" t="s">
        <v>56</v>
      </c>
      <c r="D435" t="s">
        <v>93</v>
      </c>
      <c r="E435">
        <v>55815</v>
      </c>
      <c r="F435" t="s">
        <v>234</v>
      </c>
      <c r="G435">
        <v>49200</v>
      </c>
      <c r="H435" t="s">
        <v>20</v>
      </c>
      <c r="I435" t="s">
        <v>58</v>
      </c>
      <c r="J435" t="s">
        <v>541</v>
      </c>
      <c r="K435" t="s">
        <v>23</v>
      </c>
      <c r="L435" t="s">
        <v>224</v>
      </c>
      <c r="M435" t="s">
        <v>202</v>
      </c>
      <c r="N435" t="s">
        <v>203</v>
      </c>
      <c r="O435" t="s">
        <v>27</v>
      </c>
      <c r="P435" s="1">
        <v>44796</v>
      </c>
      <c r="Q435">
        <f t="shared" si="30"/>
        <v>0</v>
      </c>
      <c r="R435">
        <f t="shared" si="31"/>
        <v>0</v>
      </c>
      <c r="S435">
        <f t="shared" si="32"/>
        <v>0</v>
      </c>
      <c r="T435" s="11">
        <f t="shared" si="33"/>
        <v>2018</v>
      </c>
      <c r="U435" s="11">
        <f t="shared" si="34"/>
        <v>55815</v>
      </c>
    </row>
    <row r="436" spans="1:21" x14ac:dyDescent="0.3">
      <c r="A436" t="s">
        <v>874</v>
      </c>
      <c r="B436">
        <v>2019</v>
      </c>
      <c r="C436" t="s">
        <v>56</v>
      </c>
      <c r="D436" t="s">
        <v>93</v>
      </c>
      <c r="E436">
        <v>7286</v>
      </c>
      <c r="F436" t="s">
        <v>57</v>
      </c>
      <c r="G436">
        <v>56200</v>
      </c>
      <c r="H436" t="s">
        <v>20</v>
      </c>
      <c r="I436" t="s">
        <v>78</v>
      </c>
      <c r="J436" t="s">
        <v>218</v>
      </c>
      <c r="K436" t="s">
        <v>23</v>
      </c>
      <c r="L436" t="s">
        <v>474</v>
      </c>
      <c r="M436" t="s">
        <v>255</v>
      </c>
      <c r="N436" t="s">
        <v>256</v>
      </c>
      <c r="O436" t="s">
        <v>27</v>
      </c>
      <c r="P436" s="1">
        <v>44796</v>
      </c>
      <c r="Q436">
        <f t="shared" si="30"/>
        <v>0</v>
      </c>
      <c r="R436">
        <f t="shared" si="31"/>
        <v>0</v>
      </c>
      <c r="S436">
        <f t="shared" si="32"/>
        <v>0</v>
      </c>
      <c r="T436" s="11">
        <f t="shared" si="33"/>
        <v>2019</v>
      </c>
      <c r="U436" s="11">
        <f t="shared" si="34"/>
        <v>7286</v>
      </c>
    </row>
    <row r="437" spans="1:21" x14ac:dyDescent="0.3">
      <c r="A437" t="s">
        <v>875</v>
      </c>
      <c r="B437">
        <v>2018</v>
      </c>
      <c r="C437" t="s">
        <v>56</v>
      </c>
      <c r="D437" t="s">
        <v>93</v>
      </c>
      <c r="E437">
        <v>61817</v>
      </c>
      <c r="F437" t="s">
        <v>57</v>
      </c>
      <c r="G437">
        <v>52700</v>
      </c>
      <c r="H437" t="s">
        <v>20</v>
      </c>
      <c r="I437" t="s">
        <v>78</v>
      </c>
      <c r="J437" t="s">
        <v>218</v>
      </c>
      <c r="K437" t="s">
        <v>23</v>
      </c>
      <c r="L437" t="s">
        <v>876</v>
      </c>
      <c r="M437" t="s">
        <v>220</v>
      </c>
      <c r="N437" t="s">
        <v>221</v>
      </c>
      <c r="O437" t="s">
        <v>27</v>
      </c>
      <c r="P437" s="1">
        <v>44796</v>
      </c>
      <c r="Q437">
        <f t="shared" si="30"/>
        <v>0</v>
      </c>
      <c r="R437">
        <f t="shared" si="31"/>
        <v>0</v>
      </c>
      <c r="S437">
        <f t="shared" si="32"/>
        <v>0</v>
      </c>
      <c r="T437" s="11">
        <f t="shared" si="33"/>
        <v>2018</v>
      </c>
      <c r="U437" s="11">
        <f t="shared" si="34"/>
        <v>61817</v>
      </c>
    </row>
    <row r="438" spans="1:21" x14ac:dyDescent="0.3">
      <c r="A438" t="s">
        <v>877</v>
      </c>
      <c r="B438">
        <v>2018</v>
      </c>
      <c r="C438" t="s">
        <v>29</v>
      </c>
      <c r="D438" t="s">
        <v>53</v>
      </c>
      <c r="E438">
        <v>25663</v>
      </c>
      <c r="F438" t="s">
        <v>104</v>
      </c>
      <c r="G438">
        <v>74700</v>
      </c>
      <c r="H438" t="s">
        <v>53</v>
      </c>
      <c r="I438" t="s">
        <v>21</v>
      </c>
      <c r="J438" t="s">
        <v>878</v>
      </c>
      <c r="K438" t="s">
        <v>23</v>
      </c>
      <c r="L438" t="s">
        <v>47</v>
      </c>
      <c r="M438" t="s">
        <v>48</v>
      </c>
      <c r="N438" t="s">
        <v>49</v>
      </c>
      <c r="O438" t="s">
        <v>27</v>
      </c>
      <c r="P438" s="1">
        <v>44796</v>
      </c>
      <c r="Q438">
        <f t="shared" si="30"/>
        <v>0</v>
      </c>
      <c r="R438">
        <f t="shared" si="31"/>
        <v>1</v>
      </c>
      <c r="S438">
        <f t="shared" si="32"/>
        <v>0</v>
      </c>
      <c r="T438" s="11">
        <f t="shared" si="33"/>
        <v>2018</v>
      </c>
      <c r="U438" s="11">
        <f t="shared" si="34"/>
        <v>25663</v>
      </c>
    </row>
    <row r="439" spans="1:21" x14ac:dyDescent="0.3">
      <c r="A439" t="s">
        <v>879</v>
      </c>
      <c r="B439">
        <v>2019</v>
      </c>
      <c r="C439" t="s">
        <v>56</v>
      </c>
      <c r="D439" t="s">
        <v>93</v>
      </c>
      <c r="E439">
        <v>18861</v>
      </c>
      <c r="F439" t="s">
        <v>65</v>
      </c>
      <c r="G439">
        <v>44400</v>
      </c>
      <c r="H439" t="s">
        <v>20</v>
      </c>
      <c r="I439" t="s">
        <v>58</v>
      </c>
      <c r="J439" t="s">
        <v>294</v>
      </c>
      <c r="K439" t="s">
        <v>23</v>
      </c>
      <c r="L439" t="s">
        <v>183</v>
      </c>
      <c r="M439" t="s">
        <v>25</v>
      </c>
      <c r="N439" t="s">
        <v>26</v>
      </c>
      <c r="O439" t="s">
        <v>27</v>
      </c>
      <c r="P439" s="1">
        <v>44796</v>
      </c>
      <c r="Q439">
        <f t="shared" si="30"/>
        <v>0</v>
      </c>
      <c r="R439">
        <f t="shared" si="31"/>
        <v>0</v>
      </c>
      <c r="S439">
        <f t="shared" si="32"/>
        <v>0</v>
      </c>
      <c r="T439" s="11">
        <f t="shared" si="33"/>
        <v>2019</v>
      </c>
      <c r="U439" s="11">
        <f t="shared" si="34"/>
        <v>18861</v>
      </c>
    </row>
    <row r="440" spans="1:21" x14ac:dyDescent="0.3">
      <c r="A440" t="s">
        <v>880</v>
      </c>
      <c r="B440">
        <v>2021</v>
      </c>
      <c r="C440" t="s">
        <v>17</v>
      </c>
      <c r="D440" t="s">
        <v>18</v>
      </c>
      <c r="E440">
        <v>17548</v>
      </c>
      <c r="F440" t="s">
        <v>207</v>
      </c>
      <c r="G440">
        <v>72900</v>
      </c>
      <c r="H440" t="s">
        <v>20</v>
      </c>
      <c r="I440" t="s">
        <v>78</v>
      </c>
      <c r="J440" t="s">
        <v>881</v>
      </c>
      <c r="K440" t="s">
        <v>23</v>
      </c>
      <c r="L440" t="s">
        <v>84</v>
      </c>
      <c r="M440" t="s">
        <v>48</v>
      </c>
      <c r="N440" t="s">
        <v>69</v>
      </c>
      <c r="O440" t="s">
        <v>27</v>
      </c>
      <c r="P440" s="1">
        <v>44796</v>
      </c>
      <c r="Q440">
        <f t="shared" si="30"/>
        <v>0</v>
      </c>
      <c r="R440">
        <f t="shared" si="31"/>
        <v>0</v>
      </c>
      <c r="S440">
        <f t="shared" si="32"/>
        <v>1</v>
      </c>
      <c r="T440" s="11">
        <f t="shared" si="33"/>
        <v>2021</v>
      </c>
      <c r="U440" s="11">
        <f t="shared" si="34"/>
        <v>17548</v>
      </c>
    </row>
    <row r="441" spans="1:21" x14ac:dyDescent="0.3">
      <c r="A441" t="s">
        <v>882</v>
      </c>
      <c r="B441">
        <v>2019</v>
      </c>
      <c r="C441" t="s">
        <v>56</v>
      </c>
      <c r="D441" t="s">
        <v>32</v>
      </c>
      <c r="E441">
        <v>48831</v>
      </c>
      <c r="F441" t="s">
        <v>65</v>
      </c>
      <c r="G441">
        <v>44800</v>
      </c>
      <c r="H441" t="s">
        <v>20</v>
      </c>
      <c r="I441" t="s">
        <v>58</v>
      </c>
      <c r="J441" t="s">
        <v>192</v>
      </c>
      <c r="K441" t="s">
        <v>23</v>
      </c>
      <c r="L441" t="s">
        <v>230</v>
      </c>
      <c r="M441" t="s">
        <v>25</v>
      </c>
      <c r="N441" t="s">
        <v>26</v>
      </c>
      <c r="O441" t="s">
        <v>27</v>
      </c>
      <c r="P441" s="1">
        <v>44796</v>
      </c>
      <c r="Q441">
        <f t="shared" si="30"/>
        <v>0</v>
      </c>
      <c r="R441">
        <f t="shared" si="31"/>
        <v>0</v>
      </c>
      <c r="S441">
        <f t="shared" si="32"/>
        <v>0</v>
      </c>
      <c r="T441" s="11">
        <f t="shared" si="33"/>
        <v>2019</v>
      </c>
      <c r="U441" s="11">
        <f t="shared" si="34"/>
        <v>48831</v>
      </c>
    </row>
    <row r="442" spans="1:21" x14ac:dyDescent="0.3">
      <c r="A442" t="s">
        <v>883</v>
      </c>
      <c r="B442">
        <v>2021</v>
      </c>
      <c r="C442" t="s">
        <v>37</v>
      </c>
      <c r="D442" t="s">
        <v>53</v>
      </c>
      <c r="E442">
        <v>12938</v>
      </c>
      <c r="F442" t="s">
        <v>131</v>
      </c>
      <c r="G442">
        <v>111800</v>
      </c>
      <c r="H442" t="s">
        <v>53</v>
      </c>
      <c r="I442" t="s">
        <v>39</v>
      </c>
      <c r="J442" t="s">
        <v>552</v>
      </c>
      <c r="K442" t="s">
        <v>23</v>
      </c>
      <c r="L442" t="s">
        <v>363</v>
      </c>
      <c r="M442" t="s">
        <v>364</v>
      </c>
      <c r="N442" t="s">
        <v>245</v>
      </c>
      <c r="O442" t="s">
        <v>27</v>
      </c>
      <c r="P442" s="1">
        <v>44796</v>
      </c>
      <c r="Q442">
        <f t="shared" si="30"/>
        <v>1</v>
      </c>
      <c r="R442">
        <f t="shared" si="31"/>
        <v>0</v>
      </c>
      <c r="S442">
        <f t="shared" si="32"/>
        <v>0</v>
      </c>
      <c r="T442" s="11">
        <f t="shared" si="33"/>
        <v>2021</v>
      </c>
      <c r="U442" s="11">
        <f t="shared" si="34"/>
        <v>12938</v>
      </c>
    </row>
    <row r="443" spans="1:21" x14ac:dyDescent="0.3">
      <c r="A443" t="s">
        <v>884</v>
      </c>
      <c r="B443">
        <v>2019</v>
      </c>
      <c r="C443" t="s">
        <v>56</v>
      </c>
      <c r="D443" t="s">
        <v>32</v>
      </c>
      <c r="E443">
        <v>5398</v>
      </c>
      <c r="F443" t="s">
        <v>65</v>
      </c>
      <c r="G443">
        <v>52000</v>
      </c>
      <c r="H443" t="s">
        <v>77</v>
      </c>
      <c r="I443" t="s">
        <v>78</v>
      </c>
      <c r="J443" t="s">
        <v>388</v>
      </c>
      <c r="K443" t="s">
        <v>23</v>
      </c>
      <c r="L443" t="s">
        <v>183</v>
      </c>
      <c r="M443" t="s">
        <v>25</v>
      </c>
      <c r="N443" t="s">
        <v>26</v>
      </c>
      <c r="O443" t="s">
        <v>27</v>
      </c>
      <c r="P443" s="1">
        <v>44796</v>
      </c>
      <c r="Q443">
        <f t="shared" si="30"/>
        <v>0</v>
      </c>
      <c r="R443">
        <f t="shared" si="31"/>
        <v>0</v>
      </c>
      <c r="S443">
        <f t="shared" si="32"/>
        <v>0</v>
      </c>
      <c r="T443" s="11">
        <f t="shared" si="33"/>
        <v>2019</v>
      </c>
      <c r="U443" s="11">
        <f t="shared" si="34"/>
        <v>5398</v>
      </c>
    </row>
    <row r="444" spans="1:21" x14ac:dyDescent="0.3">
      <c r="A444" t="s">
        <v>885</v>
      </c>
      <c r="B444">
        <v>2022</v>
      </c>
      <c r="C444" t="s">
        <v>29</v>
      </c>
      <c r="D444" t="s">
        <v>32</v>
      </c>
      <c r="E444">
        <v>3211</v>
      </c>
      <c r="F444" t="s">
        <v>321</v>
      </c>
      <c r="G444">
        <v>155700</v>
      </c>
      <c r="H444" t="s">
        <v>53</v>
      </c>
      <c r="J444" t="s">
        <v>886</v>
      </c>
      <c r="K444" t="s">
        <v>23</v>
      </c>
      <c r="L444" t="s">
        <v>876</v>
      </c>
      <c r="M444" t="s">
        <v>220</v>
      </c>
      <c r="N444" t="s">
        <v>221</v>
      </c>
      <c r="O444" t="s">
        <v>27</v>
      </c>
      <c r="P444" s="1">
        <v>44796</v>
      </c>
      <c r="Q444">
        <f t="shared" si="30"/>
        <v>0</v>
      </c>
      <c r="R444">
        <f t="shared" si="31"/>
        <v>1</v>
      </c>
      <c r="S444">
        <f t="shared" si="32"/>
        <v>0</v>
      </c>
      <c r="T444" s="11">
        <f t="shared" si="33"/>
        <v>2022</v>
      </c>
      <c r="U444" s="11">
        <f t="shared" si="34"/>
        <v>3211</v>
      </c>
    </row>
    <row r="445" spans="1:21" x14ac:dyDescent="0.3">
      <c r="A445" t="s">
        <v>887</v>
      </c>
      <c r="B445">
        <v>2018</v>
      </c>
      <c r="C445" t="s">
        <v>29</v>
      </c>
      <c r="D445" t="s">
        <v>32</v>
      </c>
      <c r="E445">
        <v>44475</v>
      </c>
      <c r="F445" t="s">
        <v>52</v>
      </c>
      <c r="G445">
        <v>89700</v>
      </c>
      <c r="H445" t="s">
        <v>45</v>
      </c>
      <c r="I445" t="s">
        <v>21</v>
      </c>
      <c r="J445" t="s">
        <v>888</v>
      </c>
      <c r="K445" t="s">
        <v>23</v>
      </c>
      <c r="L445" t="s">
        <v>183</v>
      </c>
      <c r="M445" t="s">
        <v>25</v>
      </c>
      <c r="N445" t="s">
        <v>26</v>
      </c>
      <c r="O445" t="s">
        <v>27</v>
      </c>
      <c r="P445" s="1">
        <v>44796</v>
      </c>
      <c r="Q445">
        <f t="shared" si="30"/>
        <v>0</v>
      </c>
      <c r="R445">
        <f t="shared" si="31"/>
        <v>1</v>
      </c>
      <c r="S445">
        <f t="shared" si="32"/>
        <v>0</v>
      </c>
      <c r="T445" s="11">
        <f t="shared" si="33"/>
        <v>2018</v>
      </c>
      <c r="U445" s="11">
        <f t="shared" si="34"/>
        <v>44475</v>
      </c>
    </row>
    <row r="446" spans="1:21" x14ac:dyDescent="0.3">
      <c r="A446" t="s">
        <v>889</v>
      </c>
      <c r="B446">
        <v>2020</v>
      </c>
      <c r="C446" t="s">
        <v>17</v>
      </c>
      <c r="D446" t="s">
        <v>18</v>
      </c>
      <c r="E446">
        <v>34475</v>
      </c>
      <c r="F446" t="s">
        <v>207</v>
      </c>
      <c r="G446">
        <v>69500</v>
      </c>
      <c r="H446" t="s">
        <v>20</v>
      </c>
      <c r="I446" t="s">
        <v>21</v>
      </c>
      <c r="J446" t="s">
        <v>326</v>
      </c>
      <c r="K446" t="s">
        <v>23</v>
      </c>
      <c r="L446" t="s">
        <v>201</v>
      </c>
      <c r="M446" t="s">
        <v>202</v>
      </c>
      <c r="N446" t="s">
        <v>203</v>
      </c>
      <c r="O446" t="s">
        <v>27</v>
      </c>
      <c r="P446" s="1">
        <v>44796</v>
      </c>
      <c r="Q446">
        <f t="shared" si="30"/>
        <v>0</v>
      </c>
      <c r="R446">
        <f t="shared" si="31"/>
        <v>0</v>
      </c>
      <c r="S446">
        <f t="shared" si="32"/>
        <v>1</v>
      </c>
      <c r="T446" s="11">
        <f t="shared" si="33"/>
        <v>2020</v>
      </c>
      <c r="U446" s="11">
        <f t="shared" si="34"/>
        <v>34475</v>
      </c>
    </row>
    <row r="447" spans="1:21" x14ac:dyDescent="0.3">
      <c r="A447" t="s">
        <v>890</v>
      </c>
      <c r="B447">
        <v>2020</v>
      </c>
      <c r="C447" t="s">
        <v>29</v>
      </c>
      <c r="D447" t="s">
        <v>32</v>
      </c>
      <c r="E447">
        <v>29286</v>
      </c>
      <c r="F447" t="s">
        <v>31</v>
      </c>
      <c r="G447">
        <v>102300</v>
      </c>
      <c r="H447" t="s">
        <v>53</v>
      </c>
      <c r="I447" t="s">
        <v>21</v>
      </c>
      <c r="J447" t="s">
        <v>891</v>
      </c>
      <c r="K447" t="s">
        <v>23</v>
      </c>
      <c r="L447" t="s">
        <v>183</v>
      </c>
      <c r="M447" t="s">
        <v>25</v>
      </c>
      <c r="N447" t="s">
        <v>26</v>
      </c>
      <c r="O447" t="s">
        <v>27</v>
      </c>
      <c r="P447" s="1">
        <v>44796</v>
      </c>
      <c r="Q447">
        <f t="shared" si="30"/>
        <v>0</v>
      </c>
      <c r="R447">
        <f t="shared" si="31"/>
        <v>1</v>
      </c>
      <c r="S447">
        <f t="shared" si="32"/>
        <v>0</v>
      </c>
      <c r="T447" s="11">
        <f t="shared" si="33"/>
        <v>2020</v>
      </c>
      <c r="U447" s="11">
        <f t="shared" si="34"/>
        <v>29286</v>
      </c>
    </row>
    <row r="448" spans="1:21" x14ac:dyDescent="0.3">
      <c r="A448" t="s">
        <v>892</v>
      </c>
      <c r="B448">
        <v>2019</v>
      </c>
      <c r="C448" t="s">
        <v>56</v>
      </c>
      <c r="D448" t="s">
        <v>93</v>
      </c>
      <c r="E448">
        <v>47035</v>
      </c>
      <c r="F448" t="s">
        <v>65</v>
      </c>
      <c r="G448">
        <v>48300</v>
      </c>
      <c r="H448" t="s">
        <v>20</v>
      </c>
      <c r="I448" t="s">
        <v>58</v>
      </c>
      <c r="J448" t="s">
        <v>294</v>
      </c>
      <c r="K448" t="s">
        <v>23</v>
      </c>
      <c r="L448" t="s">
        <v>24</v>
      </c>
      <c r="M448" t="s">
        <v>25</v>
      </c>
      <c r="N448" t="s">
        <v>26</v>
      </c>
      <c r="O448" t="s">
        <v>27</v>
      </c>
      <c r="P448" s="1">
        <v>44796</v>
      </c>
      <c r="Q448">
        <f t="shared" si="30"/>
        <v>0</v>
      </c>
      <c r="R448">
        <f t="shared" si="31"/>
        <v>0</v>
      </c>
      <c r="S448">
        <f t="shared" si="32"/>
        <v>0</v>
      </c>
      <c r="T448" s="11">
        <f t="shared" si="33"/>
        <v>2019</v>
      </c>
      <c r="U448" s="11">
        <f t="shared" si="34"/>
        <v>47035</v>
      </c>
    </row>
    <row r="449" spans="1:21" x14ac:dyDescent="0.3">
      <c r="A449" t="s">
        <v>893</v>
      </c>
      <c r="B449">
        <v>2021</v>
      </c>
      <c r="C449" t="s">
        <v>17</v>
      </c>
      <c r="D449" t="s">
        <v>53</v>
      </c>
      <c r="E449">
        <v>36729</v>
      </c>
      <c r="F449" t="s">
        <v>207</v>
      </c>
      <c r="G449">
        <v>66600</v>
      </c>
      <c r="H449" t="s">
        <v>77</v>
      </c>
      <c r="I449" t="s">
        <v>21</v>
      </c>
      <c r="J449" t="s">
        <v>422</v>
      </c>
      <c r="K449" t="s">
        <v>23</v>
      </c>
      <c r="L449" t="s">
        <v>163</v>
      </c>
      <c r="M449" t="s">
        <v>164</v>
      </c>
      <c r="N449" t="s">
        <v>26</v>
      </c>
      <c r="O449" t="s">
        <v>27</v>
      </c>
      <c r="P449" s="1">
        <v>44796</v>
      </c>
      <c r="Q449">
        <f t="shared" si="30"/>
        <v>0</v>
      </c>
      <c r="R449">
        <f t="shared" si="31"/>
        <v>0</v>
      </c>
      <c r="S449">
        <f t="shared" si="32"/>
        <v>1</v>
      </c>
      <c r="T449" s="11">
        <f t="shared" si="33"/>
        <v>2021</v>
      </c>
      <c r="U449" s="11">
        <f t="shared" si="34"/>
        <v>36729</v>
      </c>
    </row>
    <row r="450" spans="1:21" x14ac:dyDescent="0.3">
      <c r="A450" t="s">
        <v>894</v>
      </c>
      <c r="B450">
        <v>2019</v>
      </c>
      <c r="C450" t="s">
        <v>56</v>
      </c>
      <c r="D450" t="s">
        <v>76</v>
      </c>
      <c r="E450">
        <v>18553</v>
      </c>
      <c r="F450" t="s">
        <v>65</v>
      </c>
      <c r="G450">
        <v>45900</v>
      </c>
      <c r="H450" t="s">
        <v>20</v>
      </c>
      <c r="I450" t="s">
        <v>78</v>
      </c>
      <c r="J450" t="s">
        <v>895</v>
      </c>
      <c r="K450" t="s">
        <v>23</v>
      </c>
      <c r="L450" t="s">
        <v>175</v>
      </c>
      <c r="M450" t="s">
        <v>42</v>
      </c>
      <c r="N450" t="s">
        <v>26</v>
      </c>
      <c r="O450" t="s">
        <v>27</v>
      </c>
      <c r="P450" s="1">
        <v>44796</v>
      </c>
      <c r="Q450">
        <f t="shared" ref="Q450:Q513" si="35">--(C450="ms")</f>
        <v>0</v>
      </c>
      <c r="R450">
        <f t="shared" ref="R450:R513" si="36">--(C450="mx")</f>
        <v>0</v>
      </c>
      <c r="S450">
        <f t="shared" ref="S450:S513" si="37">--(C450="my")</f>
        <v>0</v>
      </c>
      <c r="T450" s="11">
        <f t="shared" ref="T450:T513" si="38">B450</f>
        <v>2019</v>
      </c>
      <c r="U450" s="11">
        <f t="shared" ref="U450:U513" si="39">E450</f>
        <v>18553</v>
      </c>
    </row>
    <row r="451" spans="1:21" x14ac:dyDescent="0.3">
      <c r="A451" t="s">
        <v>896</v>
      </c>
      <c r="B451">
        <v>2021</v>
      </c>
      <c r="C451" t="s">
        <v>17</v>
      </c>
      <c r="D451" t="s">
        <v>53</v>
      </c>
      <c r="E451">
        <v>20353</v>
      </c>
      <c r="F451" t="s">
        <v>207</v>
      </c>
      <c r="G451">
        <v>71600</v>
      </c>
      <c r="H451" t="s">
        <v>20</v>
      </c>
      <c r="I451" t="s">
        <v>21</v>
      </c>
      <c r="J451" t="s">
        <v>613</v>
      </c>
      <c r="K451" t="s">
        <v>23</v>
      </c>
      <c r="L451" t="s">
        <v>228</v>
      </c>
      <c r="M451" t="s">
        <v>25</v>
      </c>
      <c r="N451" t="s">
        <v>26</v>
      </c>
      <c r="O451" t="s">
        <v>27</v>
      </c>
      <c r="P451" s="1">
        <v>44796</v>
      </c>
      <c r="Q451">
        <f t="shared" si="35"/>
        <v>0</v>
      </c>
      <c r="R451">
        <f t="shared" si="36"/>
        <v>0</v>
      </c>
      <c r="S451">
        <f t="shared" si="37"/>
        <v>1</v>
      </c>
      <c r="T451" s="11">
        <f t="shared" si="38"/>
        <v>2021</v>
      </c>
      <c r="U451" s="11">
        <f t="shared" si="39"/>
        <v>20353</v>
      </c>
    </row>
    <row r="452" spans="1:21" x14ac:dyDescent="0.3">
      <c r="A452" t="s">
        <v>897</v>
      </c>
      <c r="B452">
        <v>2021</v>
      </c>
      <c r="C452" t="s">
        <v>17</v>
      </c>
      <c r="D452" t="s">
        <v>32</v>
      </c>
      <c r="E452">
        <v>13895</v>
      </c>
      <c r="F452" t="s">
        <v>207</v>
      </c>
      <c r="G452">
        <v>73200</v>
      </c>
      <c r="H452" t="s">
        <v>20</v>
      </c>
      <c r="I452" t="s">
        <v>21</v>
      </c>
      <c r="J452" t="s">
        <v>429</v>
      </c>
      <c r="K452" t="s">
        <v>23</v>
      </c>
      <c r="L452" t="s">
        <v>24</v>
      </c>
      <c r="M452" t="s">
        <v>25</v>
      </c>
      <c r="N452" t="s">
        <v>26</v>
      </c>
      <c r="O452" t="s">
        <v>27</v>
      </c>
      <c r="P452" s="1">
        <v>44796</v>
      </c>
      <c r="Q452">
        <f t="shared" si="35"/>
        <v>0</v>
      </c>
      <c r="R452">
        <f t="shared" si="36"/>
        <v>0</v>
      </c>
      <c r="S452">
        <f t="shared" si="37"/>
        <v>1</v>
      </c>
      <c r="T452" s="11">
        <f t="shared" si="38"/>
        <v>2021</v>
      </c>
      <c r="U452" s="11">
        <f t="shared" si="39"/>
        <v>13895</v>
      </c>
    </row>
    <row r="453" spans="1:21" x14ac:dyDescent="0.3">
      <c r="A453" t="s">
        <v>898</v>
      </c>
      <c r="B453">
        <v>2021</v>
      </c>
      <c r="C453" t="s">
        <v>17</v>
      </c>
      <c r="D453" t="s">
        <v>32</v>
      </c>
      <c r="E453">
        <v>16891</v>
      </c>
      <c r="F453" t="s">
        <v>207</v>
      </c>
      <c r="G453">
        <v>75500</v>
      </c>
      <c r="H453" t="s">
        <v>77</v>
      </c>
      <c r="I453" t="s">
        <v>21</v>
      </c>
      <c r="J453" t="s">
        <v>802</v>
      </c>
      <c r="K453" t="s">
        <v>23</v>
      </c>
      <c r="L453" t="s">
        <v>205</v>
      </c>
      <c r="M453" t="s">
        <v>42</v>
      </c>
      <c r="N453" t="s">
        <v>26</v>
      </c>
      <c r="O453" t="s">
        <v>27</v>
      </c>
      <c r="P453" s="1">
        <v>44796</v>
      </c>
      <c r="Q453">
        <f t="shared" si="35"/>
        <v>0</v>
      </c>
      <c r="R453">
        <f t="shared" si="36"/>
        <v>0</v>
      </c>
      <c r="S453">
        <f t="shared" si="37"/>
        <v>1</v>
      </c>
      <c r="T453" s="11">
        <f t="shared" si="38"/>
        <v>2021</v>
      </c>
      <c r="U453" s="11">
        <f t="shared" si="39"/>
        <v>16891</v>
      </c>
    </row>
    <row r="454" spans="1:21" x14ac:dyDescent="0.3">
      <c r="A454" t="s">
        <v>899</v>
      </c>
      <c r="B454">
        <v>2018</v>
      </c>
      <c r="C454" t="s">
        <v>56</v>
      </c>
      <c r="D454" t="s">
        <v>76</v>
      </c>
      <c r="E454">
        <v>35835</v>
      </c>
      <c r="F454" t="s">
        <v>57</v>
      </c>
      <c r="G454">
        <v>54200</v>
      </c>
      <c r="H454" t="s">
        <v>20</v>
      </c>
      <c r="I454" t="s">
        <v>78</v>
      </c>
      <c r="J454" t="s">
        <v>347</v>
      </c>
      <c r="K454" t="s">
        <v>23</v>
      </c>
      <c r="L454" t="s">
        <v>137</v>
      </c>
      <c r="M454" t="s">
        <v>138</v>
      </c>
      <c r="N454" t="s">
        <v>139</v>
      </c>
      <c r="O454" t="s">
        <v>27</v>
      </c>
      <c r="P454" s="1">
        <v>44796</v>
      </c>
      <c r="Q454">
        <f t="shared" si="35"/>
        <v>0</v>
      </c>
      <c r="R454">
        <f t="shared" si="36"/>
        <v>0</v>
      </c>
      <c r="S454">
        <f t="shared" si="37"/>
        <v>0</v>
      </c>
      <c r="T454" s="11">
        <f t="shared" si="38"/>
        <v>2018</v>
      </c>
      <c r="U454" s="11">
        <f t="shared" si="39"/>
        <v>35835</v>
      </c>
    </row>
    <row r="455" spans="1:21" x14ac:dyDescent="0.3">
      <c r="A455" t="s">
        <v>900</v>
      </c>
      <c r="B455">
        <v>2021</v>
      </c>
      <c r="C455" t="s">
        <v>37</v>
      </c>
      <c r="D455" t="s">
        <v>53</v>
      </c>
      <c r="E455">
        <v>3076</v>
      </c>
      <c r="F455" t="s">
        <v>131</v>
      </c>
      <c r="G455">
        <v>118800</v>
      </c>
      <c r="H455" t="s">
        <v>32</v>
      </c>
      <c r="I455" t="s">
        <v>39</v>
      </c>
      <c r="J455" t="s">
        <v>828</v>
      </c>
      <c r="K455" t="s">
        <v>23</v>
      </c>
      <c r="L455" t="s">
        <v>185</v>
      </c>
      <c r="M455" t="s">
        <v>138</v>
      </c>
      <c r="N455" t="s">
        <v>139</v>
      </c>
      <c r="O455" t="s">
        <v>27</v>
      </c>
      <c r="P455" s="1">
        <v>44796</v>
      </c>
      <c r="Q455">
        <f t="shared" si="35"/>
        <v>1</v>
      </c>
      <c r="R455">
        <f t="shared" si="36"/>
        <v>0</v>
      </c>
      <c r="S455">
        <f t="shared" si="37"/>
        <v>0</v>
      </c>
      <c r="T455" s="11">
        <f t="shared" si="38"/>
        <v>2021</v>
      </c>
      <c r="U455" s="11">
        <f t="shared" si="39"/>
        <v>3076</v>
      </c>
    </row>
    <row r="456" spans="1:21" x14ac:dyDescent="0.3">
      <c r="A456" t="s">
        <v>901</v>
      </c>
      <c r="B456">
        <v>2020</v>
      </c>
      <c r="C456" t="s">
        <v>29</v>
      </c>
      <c r="D456" t="s">
        <v>51</v>
      </c>
      <c r="E456">
        <v>30320</v>
      </c>
      <c r="F456" t="s">
        <v>31</v>
      </c>
      <c r="G456">
        <v>97500</v>
      </c>
      <c r="H456" t="s">
        <v>32</v>
      </c>
      <c r="I456" t="s">
        <v>21</v>
      </c>
      <c r="J456" t="s">
        <v>902</v>
      </c>
      <c r="K456" t="s">
        <v>23</v>
      </c>
      <c r="L456" t="s">
        <v>292</v>
      </c>
      <c r="M456" t="s">
        <v>172</v>
      </c>
      <c r="N456" t="s">
        <v>173</v>
      </c>
      <c r="O456" t="s">
        <v>27</v>
      </c>
      <c r="P456" s="1">
        <v>44796</v>
      </c>
      <c r="Q456">
        <f t="shared" si="35"/>
        <v>0</v>
      </c>
      <c r="R456">
        <f t="shared" si="36"/>
        <v>1</v>
      </c>
      <c r="S456">
        <f t="shared" si="37"/>
        <v>0</v>
      </c>
      <c r="T456" s="11">
        <f t="shared" si="38"/>
        <v>2020</v>
      </c>
      <c r="U456" s="11">
        <f t="shared" si="39"/>
        <v>30320</v>
      </c>
    </row>
    <row r="457" spans="1:21" x14ac:dyDescent="0.3">
      <c r="A457" t="s">
        <v>903</v>
      </c>
      <c r="B457">
        <v>2022</v>
      </c>
      <c r="C457" t="s">
        <v>56</v>
      </c>
      <c r="D457" t="s">
        <v>53</v>
      </c>
      <c r="E457">
        <v>4403</v>
      </c>
      <c r="F457" t="s">
        <v>143</v>
      </c>
      <c r="G457">
        <v>74000</v>
      </c>
      <c r="H457" t="s">
        <v>20</v>
      </c>
      <c r="J457" t="s">
        <v>223</v>
      </c>
      <c r="K457" t="s">
        <v>23</v>
      </c>
      <c r="L457" t="s">
        <v>297</v>
      </c>
      <c r="N457" t="s">
        <v>298</v>
      </c>
      <c r="O457" t="s">
        <v>27</v>
      </c>
      <c r="P457" s="1">
        <v>44796</v>
      </c>
      <c r="Q457">
        <f t="shared" si="35"/>
        <v>0</v>
      </c>
      <c r="R457">
        <f t="shared" si="36"/>
        <v>0</v>
      </c>
      <c r="S457">
        <f t="shared" si="37"/>
        <v>0</v>
      </c>
      <c r="T457" s="11">
        <f t="shared" si="38"/>
        <v>2022</v>
      </c>
      <c r="U457" s="11">
        <f t="shared" si="39"/>
        <v>4403</v>
      </c>
    </row>
    <row r="458" spans="1:21" x14ac:dyDescent="0.3">
      <c r="A458" t="s">
        <v>904</v>
      </c>
      <c r="B458">
        <v>2017</v>
      </c>
      <c r="C458" t="s">
        <v>37</v>
      </c>
      <c r="D458" t="s">
        <v>51</v>
      </c>
      <c r="E458">
        <v>49176</v>
      </c>
      <c r="F458" t="s">
        <v>52</v>
      </c>
      <c r="G458">
        <v>69200</v>
      </c>
      <c r="H458" t="s">
        <v>53</v>
      </c>
      <c r="I458" t="s">
        <v>78</v>
      </c>
      <c r="J458" t="s">
        <v>905</v>
      </c>
      <c r="K458" t="s">
        <v>23</v>
      </c>
      <c r="N458" t="s">
        <v>127</v>
      </c>
      <c r="O458" t="s">
        <v>27</v>
      </c>
      <c r="P458" s="1">
        <v>44796</v>
      </c>
      <c r="Q458">
        <f t="shared" si="35"/>
        <v>1</v>
      </c>
      <c r="R458">
        <f t="shared" si="36"/>
        <v>0</v>
      </c>
      <c r="S458">
        <f t="shared" si="37"/>
        <v>0</v>
      </c>
      <c r="T458" s="11">
        <f t="shared" si="38"/>
        <v>2017</v>
      </c>
      <c r="U458" s="11">
        <f t="shared" si="39"/>
        <v>49176</v>
      </c>
    </row>
    <row r="459" spans="1:21" x14ac:dyDescent="0.3">
      <c r="A459" t="s">
        <v>906</v>
      </c>
      <c r="B459">
        <v>2017</v>
      </c>
      <c r="C459" t="s">
        <v>29</v>
      </c>
      <c r="D459" t="s">
        <v>53</v>
      </c>
      <c r="E459">
        <v>72167</v>
      </c>
      <c r="F459" t="s">
        <v>52</v>
      </c>
      <c r="G459">
        <v>73800</v>
      </c>
      <c r="H459" t="s">
        <v>53</v>
      </c>
      <c r="I459" t="s">
        <v>21</v>
      </c>
      <c r="J459" t="s">
        <v>907</v>
      </c>
      <c r="K459" t="s">
        <v>23</v>
      </c>
      <c r="L459" t="s">
        <v>292</v>
      </c>
      <c r="M459" t="s">
        <v>172</v>
      </c>
      <c r="N459" t="s">
        <v>173</v>
      </c>
      <c r="O459" t="s">
        <v>27</v>
      </c>
      <c r="P459" s="1">
        <v>44796</v>
      </c>
      <c r="Q459">
        <f t="shared" si="35"/>
        <v>0</v>
      </c>
      <c r="R459">
        <f t="shared" si="36"/>
        <v>1</v>
      </c>
      <c r="S459">
        <f t="shared" si="37"/>
        <v>0</v>
      </c>
      <c r="T459" s="11">
        <f t="shared" si="38"/>
        <v>2017</v>
      </c>
      <c r="U459" s="11">
        <f t="shared" si="39"/>
        <v>72167</v>
      </c>
    </row>
    <row r="460" spans="1:21" x14ac:dyDescent="0.3">
      <c r="A460" t="s">
        <v>908</v>
      </c>
      <c r="B460">
        <v>2019</v>
      </c>
      <c r="C460" t="s">
        <v>56</v>
      </c>
      <c r="D460" t="s">
        <v>93</v>
      </c>
      <c r="E460">
        <v>44668</v>
      </c>
      <c r="F460" t="s">
        <v>65</v>
      </c>
      <c r="G460">
        <v>43400</v>
      </c>
      <c r="H460" t="s">
        <v>20</v>
      </c>
      <c r="I460" t="s">
        <v>58</v>
      </c>
      <c r="J460" t="s">
        <v>294</v>
      </c>
      <c r="K460" t="s">
        <v>23</v>
      </c>
      <c r="N460" t="s">
        <v>127</v>
      </c>
      <c r="O460" t="s">
        <v>27</v>
      </c>
      <c r="P460" s="1">
        <v>44796</v>
      </c>
      <c r="Q460">
        <f t="shared" si="35"/>
        <v>0</v>
      </c>
      <c r="R460">
        <f t="shared" si="36"/>
        <v>0</v>
      </c>
      <c r="S460">
        <f t="shared" si="37"/>
        <v>0</v>
      </c>
      <c r="T460" s="11">
        <f t="shared" si="38"/>
        <v>2019</v>
      </c>
      <c r="U460" s="11">
        <f t="shared" si="39"/>
        <v>44668</v>
      </c>
    </row>
    <row r="461" spans="1:21" x14ac:dyDescent="0.3">
      <c r="A461" t="s">
        <v>909</v>
      </c>
      <c r="B461">
        <v>2020</v>
      </c>
      <c r="C461" t="s">
        <v>17</v>
      </c>
      <c r="D461" t="s">
        <v>53</v>
      </c>
      <c r="E461">
        <v>12767</v>
      </c>
      <c r="F461" t="s">
        <v>156</v>
      </c>
      <c r="G461">
        <v>78100</v>
      </c>
      <c r="H461" t="s">
        <v>20</v>
      </c>
      <c r="I461" t="s">
        <v>39</v>
      </c>
      <c r="J461" t="s">
        <v>538</v>
      </c>
      <c r="K461" t="s">
        <v>23</v>
      </c>
      <c r="N461" t="s">
        <v>127</v>
      </c>
      <c r="O461" t="s">
        <v>27</v>
      </c>
      <c r="P461" s="1">
        <v>44796</v>
      </c>
      <c r="Q461">
        <f t="shared" si="35"/>
        <v>0</v>
      </c>
      <c r="R461">
        <f t="shared" si="36"/>
        <v>0</v>
      </c>
      <c r="S461">
        <f t="shared" si="37"/>
        <v>1</v>
      </c>
      <c r="T461" s="11">
        <f t="shared" si="38"/>
        <v>2020</v>
      </c>
      <c r="U461" s="11">
        <f t="shared" si="39"/>
        <v>12767</v>
      </c>
    </row>
    <row r="462" spans="1:21" x14ac:dyDescent="0.3">
      <c r="A462" t="s">
        <v>910</v>
      </c>
      <c r="B462">
        <v>2019</v>
      </c>
      <c r="C462" t="s">
        <v>56</v>
      </c>
      <c r="D462" t="s">
        <v>53</v>
      </c>
      <c r="E462">
        <v>29027</v>
      </c>
      <c r="F462" t="s">
        <v>65</v>
      </c>
      <c r="G462">
        <v>50500</v>
      </c>
      <c r="H462" t="s">
        <v>20</v>
      </c>
      <c r="I462" t="s">
        <v>58</v>
      </c>
      <c r="J462" t="s">
        <v>66</v>
      </c>
      <c r="K462" t="s">
        <v>23</v>
      </c>
      <c r="N462" t="s">
        <v>127</v>
      </c>
      <c r="O462" t="s">
        <v>27</v>
      </c>
      <c r="P462" s="1">
        <v>44796</v>
      </c>
      <c r="Q462">
        <f t="shared" si="35"/>
        <v>0</v>
      </c>
      <c r="R462">
        <f t="shared" si="36"/>
        <v>0</v>
      </c>
      <c r="S462">
        <f t="shared" si="37"/>
        <v>0</v>
      </c>
      <c r="T462" s="11">
        <f t="shared" si="38"/>
        <v>2019</v>
      </c>
      <c r="U462" s="11">
        <f t="shared" si="39"/>
        <v>29027</v>
      </c>
    </row>
    <row r="463" spans="1:21" x14ac:dyDescent="0.3">
      <c r="A463" t="s">
        <v>911</v>
      </c>
      <c r="B463">
        <v>2020</v>
      </c>
      <c r="C463" t="s">
        <v>17</v>
      </c>
      <c r="D463" t="s">
        <v>53</v>
      </c>
      <c r="E463">
        <v>17950</v>
      </c>
      <c r="F463" t="s">
        <v>156</v>
      </c>
      <c r="G463">
        <v>66300</v>
      </c>
      <c r="H463" t="s">
        <v>20</v>
      </c>
      <c r="I463" t="s">
        <v>78</v>
      </c>
      <c r="J463" t="s">
        <v>912</v>
      </c>
      <c r="K463" t="s">
        <v>23</v>
      </c>
      <c r="L463" t="s">
        <v>278</v>
      </c>
      <c r="M463" t="s">
        <v>148</v>
      </c>
      <c r="N463" t="s">
        <v>149</v>
      </c>
      <c r="O463" t="s">
        <v>27</v>
      </c>
      <c r="P463" s="1">
        <v>44796</v>
      </c>
      <c r="Q463">
        <f t="shared" si="35"/>
        <v>0</v>
      </c>
      <c r="R463">
        <f t="shared" si="36"/>
        <v>0</v>
      </c>
      <c r="S463">
        <f t="shared" si="37"/>
        <v>1</v>
      </c>
      <c r="T463" s="11">
        <f t="shared" si="38"/>
        <v>2020</v>
      </c>
      <c r="U463" s="11">
        <f t="shared" si="39"/>
        <v>17950</v>
      </c>
    </row>
    <row r="464" spans="1:21" x14ac:dyDescent="0.3">
      <c r="A464" t="s">
        <v>913</v>
      </c>
      <c r="B464">
        <v>2020</v>
      </c>
      <c r="C464" t="s">
        <v>17</v>
      </c>
      <c r="D464" t="s">
        <v>53</v>
      </c>
      <c r="E464">
        <v>18369</v>
      </c>
      <c r="F464" t="s">
        <v>207</v>
      </c>
      <c r="G464">
        <v>74100</v>
      </c>
      <c r="H464" t="s">
        <v>20</v>
      </c>
      <c r="I464" t="s">
        <v>21</v>
      </c>
      <c r="J464" t="s">
        <v>613</v>
      </c>
      <c r="K464" t="s">
        <v>23</v>
      </c>
      <c r="L464" t="s">
        <v>490</v>
      </c>
      <c r="M464" t="s">
        <v>491</v>
      </c>
      <c r="N464" t="s">
        <v>406</v>
      </c>
      <c r="O464" t="s">
        <v>27</v>
      </c>
      <c r="P464" s="1">
        <v>44796</v>
      </c>
      <c r="Q464">
        <f t="shared" si="35"/>
        <v>0</v>
      </c>
      <c r="R464">
        <f t="shared" si="36"/>
        <v>0</v>
      </c>
      <c r="S464">
        <f t="shared" si="37"/>
        <v>1</v>
      </c>
      <c r="T464" s="11">
        <f t="shared" si="38"/>
        <v>2020</v>
      </c>
      <c r="U464" s="11">
        <f t="shared" si="39"/>
        <v>18369</v>
      </c>
    </row>
    <row r="465" spans="1:21" x14ac:dyDescent="0.3">
      <c r="A465" t="s">
        <v>914</v>
      </c>
      <c r="B465">
        <v>2019</v>
      </c>
      <c r="C465" t="s">
        <v>29</v>
      </c>
      <c r="D465" t="s">
        <v>30</v>
      </c>
      <c r="E465">
        <v>49965</v>
      </c>
      <c r="F465" t="s">
        <v>52</v>
      </c>
      <c r="G465">
        <v>88500</v>
      </c>
      <c r="H465" t="s">
        <v>53</v>
      </c>
      <c r="I465" t="s">
        <v>21</v>
      </c>
      <c r="J465" t="s">
        <v>915</v>
      </c>
      <c r="K465" t="s">
        <v>23</v>
      </c>
      <c r="L465" t="s">
        <v>543</v>
      </c>
      <c r="M465" t="s">
        <v>544</v>
      </c>
      <c r="N465" t="s">
        <v>545</v>
      </c>
      <c r="O465" t="s">
        <v>27</v>
      </c>
      <c r="P465" s="1">
        <v>44796</v>
      </c>
      <c r="Q465">
        <f t="shared" si="35"/>
        <v>0</v>
      </c>
      <c r="R465">
        <f t="shared" si="36"/>
        <v>1</v>
      </c>
      <c r="S465">
        <f t="shared" si="37"/>
        <v>0</v>
      </c>
      <c r="T465" s="11">
        <f t="shared" si="38"/>
        <v>2019</v>
      </c>
      <c r="U465" s="11">
        <f t="shared" si="39"/>
        <v>49965</v>
      </c>
    </row>
    <row r="466" spans="1:21" x14ac:dyDescent="0.3">
      <c r="A466" t="s">
        <v>916</v>
      </c>
      <c r="B466">
        <v>2018</v>
      </c>
      <c r="C466" t="s">
        <v>29</v>
      </c>
      <c r="D466" t="s">
        <v>76</v>
      </c>
      <c r="E466">
        <v>31957</v>
      </c>
      <c r="F466" t="s">
        <v>104</v>
      </c>
      <c r="G466">
        <v>76500</v>
      </c>
      <c r="H466" t="s">
        <v>45</v>
      </c>
      <c r="I466" t="s">
        <v>21</v>
      </c>
      <c r="J466" t="s">
        <v>917</v>
      </c>
      <c r="K466" t="s">
        <v>23</v>
      </c>
      <c r="L466" t="s">
        <v>117</v>
      </c>
      <c r="M466" t="s">
        <v>118</v>
      </c>
      <c r="N466" t="s">
        <v>119</v>
      </c>
      <c r="O466" t="s">
        <v>27</v>
      </c>
      <c r="P466" s="1">
        <v>44796</v>
      </c>
      <c r="Q466">
        <f t="shared" si="35"/>
        <v>0</v>
      </c>
      <c r="R466">
        <f t="shared" si="36"/>
        <v>1</v>
      </c>
      <c r="S466">
        <f t="shared" si="37"/>
        <v>0</v>
      </c>
      <c r="T466" s="11">
        <f t="shared" si="38"/>
        <v>2018</v>
      </c>
      <c r="U466" s="11">
        <f t="shared" si="39"/>
        <v>31957</v>
      </c>
    </row>
    <row r="467" spans="1:21" x14ac:dyDescent="0.3">
      <c r="A467" t="s">
        <v>918</v>
      </c>
      <c r="B467">
        <v>2020</v>
      </c>
      <c r="C467" t="s">
        <v>17</v>
      </c>
      <c r="D467" t="s">
        <v>76</v>
      </c>
      <c r="E467">
        <v>10528</v>
      </c>
      <c r="F467" t="s">
        <v>207</v>
      </c>
      <c r="G467">
        <v>69500</v>
      </c>
      <c r="H467" t="s">
        <v>20</v>
      </c>
      <c r="I467" t="s">
        <v>21</v>
      </c>
      <c r="J467" t="s">
        <v>570</v>
      </c>
      <c r="K467" t="s">
        <v>23</v>
      </c>
      <c r="L467" t="s">
        <v>494</v>
      </c>
      <c r="M467" t="s">
        <v>113</v>
      </c>
      <c r="N467" t="s">
        <v>114</v>
      </c>
      <c r="O467" t="s">
        <v>27</v>
      </c>
      <c r="P467" s="1">
        <v>44796</v>
      </c>
      <c r="Q467">
        <f t="shared" si="35"/>
        <v>0</v>
      </c>
      <c r="R467">
        <f t="shared" si="36"/>
        <v>0</v>
      </c>
      <c r="S467">
        <f t="shared" si="37"/>
        <v>1</v>
      </c>
      <c r="T467" s="11">
        <f t="shared" si="38"/>
        <v>2020</v>
      </c>
      <c r="U467" s="11">
        <f t="shared" si="39"/>
        <v>10528</v>
      </c>
    </row>
    <row r="468" spans="1:21" x14ac:dyDescent="0.3">
      <c r="A468" t="s">
        <v>919</v>
      </c>
      <c r="B468">
        <v>2022</v>
      </c>
      <c r="C468" t="s">
        <v>37</v>
      </c>
      <c r="D468" t="s">
        <v>76</v>
      </c>
      <c r="E468">
        <v>6628</v>
      </c>
      <c r="F468" t="s">
        <v>131</v>
      </c>
      <c r="G468">
        <v>126900</v>
      </c>
      <c r="H468" t="s">
        <v>32</v>
      </c>
      <c r="I468" t="s">
        <v>39</v>
      </c>
      <c r="J468" t="s">
        <v>920</v>
      </c>
      <c r="K468" t="s">
        <v>23</v>
      </c>
      <c r="L468" t="s">
        <v>95</v>
      </c>
      <c r="M468" t="s">
        <v>96</v>
      </c>
      <c r="N468" t="s">
        <v>89</v>
      </c>
      <c r="O468" t="s">
        <v>27</v>
      </c>
      <c r="P468" s="1">
        <v>44796</v>
      </c>
      <c r="Q468">
        <f t="shared" si="35"/>
        <v>1</v>
      </c>
      <c r="R468">
        <f t="shared" si="36"/>
        <v>0</v>
      </c>
      <c r="S468">
        <f t="shared" si="37"/>
        <v>0</v>
      </c>
      <c r="T468" s="11">
        <f t="shared" si="38"/>
        <v>2022</v>
      </c>
      <c r="U468" s="11">
        <f t="shared" si="39"/>
        <v>6628</v>
      </c>
    </row>
    <row r="469" spans="1:21" x14ac:dyDescent="0.3">
      <c r="A469" t="s">
        <v>921</v>
      </c>
      <c r="B469">
        <v>2021</v>
      </c>
      <c r="C469" t="s">
        <v>17</v>
      </c>
      <c r="D469" t="s">
        <v>53</v>
      </c>
      <c r="E469">
        <v>12971</v>
      </c>
      <c r="F469" t="s">
        <v>19</v>
      </c>
      <c r="G469">
        <v>74000</v>
      </c>
      <c r="H469" t="s">
        <v>20</v>
      </c>
      <c r="I469" t="s">
        <v>21</v>
      </c>
      <c r="J469" t="s">
        <v>922</v>
      </c>
      <c r="K469" t="s">
        <v>23</v>
      </c>
      <c r="L469" t="s">
        <v>543</v>
      </c>
      <c r="M469" t="s">
        <v>544</v>
      </c>
      <c r="N469" t="s">
        <v>545</v>
      </c>
      <c r="O469" t="s">
        <v>27</v>
      </c>
      <c r="P469" s="1">
        <v>44796</v>
      </c>
      <c r="Q469">
        <f t="shared" si="35"/>
        <v>0</v>
      </c>
      <c r="R469">
        <f t="shared" si="36"/>
        <v>0</v>
      </c>
      <c r="S469">
        <f t="shared" si="37"/>
        <v>1</v>
      </c>
      <c r="T469" s="11">
        <f t="shared" si="38"/>
        <v>2021</v>
      </c>
      <c r="U469" s="11">
        <f t="shared" si="39"/>
        <v>12971</v>
      </c>
    </row>
    <row r="470" spans="1:21" x14ac:dyDescent="0.3">
      <c r="A470" t="s">
        <v>923</v>
      </c>
      <c r="B470">
        <v>2019</v>
      </c>
      <c r="C470" t="s">
        <v>56</v>
      </c>
      <c r="D470" t="s">
        <v>53</v>
      </c>
      <c r="E470">
        <v>8506</v>
      </c>
      <c r="F470" t="s">
        <v>65</v>
      </c>
      <c r="G470">
        <v>53900</v>
      </c>
      <c r="H470" t="s">
        <v>20</v>
      </c>
      <c r="I470" t="s">
        <v>58</v>
      </c>
      <c r="J470" t="s">
        <v>66</v>
      </c>
      <c r="K470" t="s">
        <v>23</v>
      </c>
      <c r="L470" t="s">
        <v>122</v>
      </c>
      <c r="M470" t="s">
        <v>113</v>
      </c>
      <c r="N470" t="s">
        <v>114</v>
      </c>
      <c r="O470" t="s">
        <v>27</v>
      </c>
      <c r="P470" s="1">
        <v>44796</v>
      </c>
      <c r="Q470">
        <f t="shared" si="35"/>
        <v>0</v>
      </c>
      <c r="R470">
        <f t="shared" si="36"/>
        <v>0</v>
      </c>
      <c r="S470">
        <f t="shared" si="37"/>
        <v>0</v>
      </c>
      <c r="T470" s="11">
        <f t="shared" si="38"/>
        <v>2019</v>
      </c>
      <c r="U470" s="11">
        <f t="shared" si="39"/>
        <v>8506</v>
      </c>
    </row>
    <row r="471" spans="1:21" x14ac:dyDescent="0.3">
      <c r="A471" t="s">
        <v>924</v>
      </c>
      <c r="B471">
        <v>2019</v>
      </c>
      <c r="C471" t="s">
        <v>29</v>
      </c>
      <c r="D471" t="s">
        <v>76</v>
      </c>
      <c r="E471">
        <v>41141</v>
      </c>
      <c r="F471" t="s">
        <v>44</v>
      </c>
      <c r="G471">
        <v>96300</v>
      </c>
      <c r="H471" t="s">
        <v>32</v>
      </c>
      <c r="I471" t="s">
        <v>110</v>
      </c>
      <c r="J471" t="s">
        <v>925</v>
      </c>
      <c r="K471" t="s">
        <v>23</v>
      </c>
      <c r="L471" t="s">
        <v>122</v>
      </c>
      <c r="M471" t="s">
        <v>113</v>
      </c>
      <c r="N471" t="s">
        <v>114</v>
      </c>
      <c r="O471" t="s">
        <v>27</v>
      </c>
      <c r="P471" s="1">
        <v>44796</v>
      </c>
      <c r="Q471">
        <f t="shared" si="35"/>
        <v>0</v>
      </c>
      <c r="R471">
        <f t="shared" si="36"/>
        <v>1</v>
      </c>
      <c r="S471">
        <f t="shared" si="37"/>
        <v>0</v>
      </c>
      <c r="T471" s="11">
        <f t="shared" si="38"/>
        <v>2019</v>
      </c>
      <c r="U471" s="11">
        <f t="shared" si="39"/>
        <v>41141</v>
      </c>
    </row>
    <row r="472" spans="1:21" x14ac:dyDescent="0.3">
      <c r="A472" t="s">
        <v>926</v>
      </c>
      <c r="B472">
        <v>2020</v>
      </c>
      <c r="C472" t="s">
        <v>56</v>
      </c>
      <c r="D472" t="s">
        <v>93</v>
      </c>
      <c r="E472">
        <v>5483</v>
      </c>
      <c r="F472" t="s">
        <v>65</v>
      </c>
      <c r="G472">
        <v>53600</v>
      </c>
      <c r="H472" t="s">
        <v>77</v>
      </c>
      <c r="I472" t="s">
        <v>58</v>
      </c>
      <c r="J472" t="s">
        <v>94</v>
      </c>
      <c r="K472" t="s">
        <v>23</v>
      </c>
      <c r="L472" t="s">
        <v>95</v>
      </c>
      <c r="M472" t="s">
        <v>96</v>
      </c>
      <c r="N472" t="s">
        <v>89</v>
      </c>
      <c r="O472" t="s">
        <v>27</v>
      </c>
      <c r="P472" s="1">
        <v>44796</v>
      </c>
      <c r="Q472">
        <f t="shared" si="35"/>
        <v>0</v>
      </c>
      <c r="R472">
        <f t="shared" si="36"/>
        <v>0</v>
      </c>
      <c r="S472">
        <f t="shared" si="37"/>
        <v>0</v>
      </c>
      <c r="T472" s="11">
        <f t="shared" si="38"/>
        <v>2020</v>
      </c>
      <c r="U472" s="11">
        <f t="shared" si="39"/>
        <v>5483</v>
      </c>
    </row>
    <row r="473" spans="1:21" x14ac:dyDescent="0.3">
      <c r="A473" t="s">
        <v>927</v>
      </c>
      <c r="B473">
        <v>2017</v>
      </c>
      <c r="C473" t="s">
        <v>37</v>
      </c>
      <c r="D473" t="s">
        <v>51</v>
      </c>
      <c r="E473">
        <v>38971</v>
      </c>
      <c r="F473" t="s">
        <v>52</v>
      </c>
      <c r="G473">
        <v>75000</v>
      </c>
      <c r="H473" t="s">
        <v>53</v>
      </c>
      <c r="I473" t="s">
        <v>78</v>
      </c>
      <c r="J473" t="s">
        <v>928</v>
      </c>
      <c r="K473" t="s">
        <v>23</v>
      </c>
      <c r="L473" t="s">
        <v>47</v>
      </c>
      <c r="M473" t="s">
        <v>48</v>
      </c>
      <c r="N473" t="s">
        <v>49</v>
      </c>
      <c r="O473" t="s">
        <v>27</v>
      </c>
      <c r="P473" s="1">
        <v>44796</v>
      </c>
      <c r="Q473">
        <f t="shared" si="35"/>
        <v>1</v>
      </c>
      <c r="R473">
        <f t="shared" si="36"/>
        <v>0</v>
      </c>
      <c r="S473">
        <f t="shared" si="37"/>
        <v>0</v>
      </c>
      <c r="T473" s="11">
        <f t="shared" si="38"/>
        <v>2017</v>
      </c>
      <c r="U473" s="11">
        <f t="shared" si="39"/>
        <v>38971</v>
      </c>
    </row>
    <row r="474" spans="1:21" x14ac:dyDescent="0.3">
      <c r="A474" t="s">
        <v>929</v>
      </c>
      <c r="B474">
        <v>2019</v>
      </c>
      <c r="C474" t="s">
        <v>56</v>
      </c>
      <c r="D474" t="s">
        <v>93</v>
      </c>
      <c r="E474">
        <v>33598</v>
      </c>
      <c r="F474" t="s">
        <v>65</v>
      </c>
      <c r="G474">
        <v>43100</v>
      </c>
      <c r="H474" t="s">
        <v>20</v>
      </c>
      <c r="I474" t="s">
        <v>78</v>
      </c>
      <c r="J474" t="s">
        <v>536</v>
      </c>
      <c r="K474" t="s">
        <v>23</v>
      </c>
      <c r="L474" t="s">
        <v>768</v>
      </c>
      <c r="M474" t="s">
        <v>68</v>
      </c>
      <c r="N474" t="s">
        <v>69</v>
      </c>
      <c r="O474" t="s">
        <v>27</v>
      </c>
      <c r="P474" s="1">
        <v>44796</v>
      </c>
      <c r="Q474">
        <f t="shared" si="35"/>
        <v>0</v>
      </c>
      <c r="R474">
        <f t="shared" si="36"/>
        <v>0</v>
      </c>
      <c r="S474">
        <f t="shared" si="37"/>
        <v>0</v>
      </c>
      <c r="T474" s="11">
        <f t="shared" si="38"/>
        <v>2019</v>
      </c>
      <c r="U474" s="11">
        <f t="shared" si="39"/>
        <v>33598</v>
      </c>
    </row>
    <row r="475" spans="1:21" x14ac:dyDescent="0.3">
      <c r="A475" t="s">
        <v>930</v>
      </c>
      <c r="B475">
        <v>2019</v>
      </c>
      <c r="C475" t="s">
        <v>56</v>
      </c>
      <c r="D475" t="s">
        <v>53</v>
      </c>
      <c r="E475">
        <v>24805</v>
      </c>
      <c r="F475" t="s">
        <v>65</v>
      </c>
      <c r="G475">
        <v>45000</v>
      </c>
      <c r="H475" t="s">
        <v>20</v>
      </c>
      <c r="I475" t="s">
        <v>58</v>
      </c>
      <c r="J475" t="s">
        <v>66</v>
      </c>
      <c r="K475" t="s">
        <v>23</v>
      </c>
      <c r="L475" t="s">
        <v>47</v>
      </c>
      <c r="M475" t="s">
        <v>48</v>
      </c>
      <c r="N475" t="s">
        <v>49</v>
      </c>
      <c r="O475" t="s">
        <v>27</v>
      </c>
      <c r="P475" s="1">
        <v>44796</v>
      </c>
      <c r="Q475">
        <f t="shared" si="35"/>
        <v>0</v>
      </c>
      <c r="R475">
        <f t="shared" si="36"/>
        <v>0</v>
      </c>
      <c r="S475">
        <f t="shared" si="37"/>
        <v>0</v>
      </c>
      <c r="T475" s="11">
        <f t="shared" si="38"/>
        <v>2019</v>
      </c>
      <c r="U475" s="11">
        <f t="shared" si="39"/>
        <v>24805</v>
      </c>
    </row>
    <row r="476" spans="1:21" x14ac:dyDescent="0.3">
      <c r="A476" t="s">
        <v>931</v>
      </c>
      <c r="B476">
        <v>2020</v>
      </c>
      <c r="C476" t="s">
        <v>56</v>
      </c>
      <c r="D476" t="s">
        <v>32</v>
      </c>
      <c r="E476">
        <v>28878</v>
      </c>
      <c r="F476" t="s">
        <v>65</v>
      </c>
      <c r="G476">
        <v>45900</v>
      </c>
      <c r="H476" t="s">
        <v>20</v>
      </c>
      <c r="I476" t="s">
        <v>58</v>
      </c>
      <c r="J476" t="s">
        <v>192</v>
      </c>
      <c r="K476" t="s">
        <v>23</v>
      </c>
      <c r="L476" t="s">
        <v>254</v>
      </c>
      <c r="M476" t="s">
        <v>255</v>
      </c>
      <c r="N476" t="s">
        <v>256</v>
      </c>
      <c r="O476" t="s">
        <v>27</v>
      </c>
      <c r="P476" s="1">
        <v>44796</v>
      </c>
      <c r="Q476">
        <f t="shared" si="35"/>
        <v>0</v>
      </c>
      <c r="R476">
        <f t="shared" si="36"/>
        <v>0</v>
      </c>
      <c r="S476">
        <f t="shared" si="37"/>
        <v>0</v>
      </c>
      <c r="T476" s="11">
        <f t="shared" si="38"/>
        <v>2020</v>
      </c>
      <c r="U476" s="11">
        <f t="shared" si="39"/>
        <v>28878</v>
      </c>
    </row>
    <row r="477" spans="1:21" x14ac:dyDescent="0.3">
      <c r="A477" t="s">
        <v>932</v>
      </c>
      <c r="B477">
        <v>2019</v>
      </c>
      <c r="C477" t="s">
        <v>56</v>
      </c>
      <c r="D477" t="s">
        <v>53</v>
      </c>
      <c r="E477">
        <v>18956</v>
      </c>
      <c r="F477" t="s">
        <v>65</v>
      </c>
      <c r="G477">
        <v>47700</v>
      </c>
      <c r="H477" t="s">
        <v>77</v>
      </c>
      <c r="I477" t="s">
        <v>58</v>
      </c>
      <c r="J477" t="s">
        <v>126</v>
      </c>
      <c r="K477" t="s">
        <v>23</v>
      </c>
      <c r="L477" t="s">
        <v>47</v>
      </c>
      <c r="M477" t="s">
        <v>48</v>
      </c>
      <c r="N477" t="s">
        <v>49</v>
      </c>
      <c r="O477" t="s">
        <v>27</v>
      </c>
      <c r="P477" s="1">
        <v>44796</v>
      </c>
      <c r="Q477">
        <f t="shared" si="35"/>
        <v>0</v>
      </c>
      <c r="R477">
        <f t="shared" si="36"/>
        <v>0</v>
      </c>
      <c r="S477">
        <f t="shared" si="37"/>
        <v>0</v>
      </c>
      <c r="T477" s="11">
        <f t="shared" si="38"/>
        <v>2019</v>
      </c>
      <c r="U477" s="11">
        <f t="shared" si="39"/>
        <v>18956</v>
      </c>
    </row>
    <row r="478" spans="1:21" x14ac:dyDescent="0.3">
      <c r="A478" t="s">
        <v>933</v>
      </c>
      <c r="B478">
        <v>2019</v>
      </c>
      <c r="C478" t="s">
        <v>56</v>
      </c>
      <c r="D478" t="s">
        <v>93</v>
      </c>
      <c r="E478">
        <v>53693</v>
      </c>
      <c r="F478" t="s">
        <v>57</v>
      </c>
      <c r="G478">
        <v>52300</v>
      </c>
      <c r="H478" t="s">
        <v>20</v>
      </c>
      <c r="I478" t="s">
        <v>78</v>
      </c>
      <c r="J478" t="s">
        <v>218</v>
      </c>
      <c r="K478" t="s">
        <v>23</v>
      </c>
      <c r="N478" t="s">
        <v>63</v>
      </c>
      <c r="O478" t="s">
        <v>27</v>
      </c>
      <c r="P478" s="1">
        <v>44796</v>
      </c>
      <c r="Q478">
        <f t="shared" si="35"/>
        <v>0</v>
      </c>
      <c r="R478">
        <f t="shared" si="36"/>
        <v>0</v>
      </c>
      <c r="S478">
        <f t="shared" si="37"/>
        <v>0</v>
      </c>
      <c r="T478" s="11">
        <f t="shared" si="38"/>
        <v>2019</v>
      </c>
      <c r="U478" s="11">
        <f t="shared" si="39"/>
        <v>53693</v>
      </c>
    </row>
    <row r="479" spans="1:21" x14ac:dyDescent="0.3">
      <c r="A479" t="s">
        <v>934</v>
      </c>
      <c r="B479">
        <v>2019</v>
      </c>
      <c r="C479" t="s">
        <v>29</v>
      </c>
      <c r="D479" t="s">
        <v>32</v>
      </c>
      <c r="E479">
        <v>65452</v>
      </c>
      <c r="F479" t="s">
        <v>52</v>
      </c>
      <c r="G479">
        <v>77900</v>
      </c>
      <c r="H479" t="s">
        <v>45</v>
      </c>
      <c r="I479" t="s">
        <v>21</v>
      </c>
      <c r="J479" t="s">
        <v>935</v>
      </c>
      <c r="K479" t="s">
        <v>23</v>
      </c>
      <c r="L479" t="s">
        <v>345</v>
      </c>
      <c r="M479" t="s">
        <v>48</v>
      </c>
      <c r="N479" t="s">
        <v>69</v>
      </c>
      <c r="O479" t="s">
        <v>27</v>
      </c>
      <c r="P479" s="1">
        <v>44796</v>
      </c>
      <c r="Q479">
        <f t="shared" si="35"/>
        <v>0</v>
      </c>
      <c r="R479">
        <f t="shared" si="36"/>
        <v>1</v>
      </c>
      <c r="S479">
        <f t="shared" si="37"/>
        <v>0</v>
      </c>
      <c r="T479" s="11">
        <f t="shared" si="38"/>
        <v>2019</v>
      </c>
      <c r="U479" s="11">
        <f t="shared" si="39"/>
        <v>65452</v>
      </c>
    </row>
    <row r="480" spans="1:21" x14ac:dyDescent="0.3">
      <c r="A480" t="s">
        <v>936</v>
      </c>
      <c r="B480">
        <v>2018</v>
      </c>
      <c r="C480" t="s">
        <v>29</v>
      </c>
      <c r="D480" t="s">
        <v>32</v>
      </c>
      <c r="E480">
        <v>45143</v>
      </c>
      <c r="F480" t="s">
        <v>270</v>
      </c>
      <c r="G480">
        <v>90900</v>
      </c>
      <c r="H480" t="s">
        <v>32</v>
      </c>
      <c r="I480" t="s">
        <v>110</v>
      </c>
      <c r="J480" t="s">
        <v>937</v>
      </c>
      <c r="K480" t="s">
        <v>23</v>
      </c>
      <c r="L480" t="s">
        <v>84</v>
      </c>
      <c r="M480" t="s">
        <v>48</v>
      </c>
      <c r="N480" t="s">
        <v>69</v>
      </c>
      <c r="O480" t="s">
        <v>27</v>
      </c>
      <c r="P480" s="1">
        <v>44796</v>
      </c>
      <c r="Q480">
        <f t="shared" si="35"/>
        <v>0</v>
      </c>
      <c r="R480">
        <f t="shared" si="36"/>
        <v>1</v>
      </c>
      <c r="S480">
        <f t="shared" si="37"/>
        <v>0</v>
      </c>
      <c r="T480" s="11">
        <f t="shared" si="38"/>
        <v>2018</v>
      </c>
      <c r="U480" s="11">
        <f t="shared" si="39"/>
        <v>45143</v>
      </c>
    </row>
    <row r="481" spans="1:21" x14ac:dyDescent="0.3">
      <c r="A481" t="s">
        <v>938</v>
      </c>
      <c r="B481">
        <v>2019</v>
      </c>
      <c r="C481" t="s">
        <v>29</v>
      </c>
      <c r="D481" t="s">
        <v>51</v>
      </c>
      <c r="E481">
        <v>24153</v>
      </c>
      <c r="F481" t="s">
        <v>52</v>
      </c>
      <c r="G481">
        <v>92500</v>
      </c>
      <c r="H481" t="s">
        <v>53</v>
      </c>
      <c r="I481" t="s">
        <v>21</v>
      </c>
      <c r="J481" t="s">
        <v>939</v>
      </c>
      <c r="K481" t="s">
        <v>23</v>
      </c>
      <c r="L481" t="s">
        <v>67</v>
      </c>
      <c r="M481" t="s">
        <v>68</v>
      </c>
      <c r="N481" t="s">
        <v>69</v>
      </c>
      <c r="O481" t="s">
        <v>27</v>
      </c>
      <c r="P481" s="1">
        <v>44796</v>
      </c>
      <c r="Q481">
        <f t="shared" si="35"/>
        <v>0</v>
      </c>
      <c r="R481">
        <f t="shared" si="36"/>
        <v>1</v>
      </c>
      <c r="S481">
        <f t="shared" si="37"/>
        <v>0</v>
      </c>
      <c r="T481" s="11">
        <f t="shared" si="38"/>
        <v>2019</v>
      </c>
      <c r="U481" s="11">
        <f t="shared" si="39"/>
        <v>24153</v>
      </c>
    </row>
    <row r="482" spans="1:21" x14ac:dyDescent="0.3">
      <c r="A482" t="s">
        <v>940</v>
      </c>
      <c r="B482">
        <v>2019</v>
      </c>
      <c r="C482" t="s">
        <v>29</v>
      </c>
      <c r="D482" t="s">
        <v>32</v>
      </c>
      <c r="E482">
        <v>10391</v>
      </c>
      <c r="F482" t="s">
        <v>44</v>
      </c>
      <c r="G482">
        <v>111200</v>
      </c>
      <c r="H482" t="s">
        <v>32</v>
      </c>
      <c r="I482" t="s">
        <v>110</v>
      </c>
      <c r="J482" t="s">
        <v>111</v>
      </c>
      <c r="K482" t="s">
        <v>23</v>
      </c>
      <c r="L482" t="s">
        <v>371</v>
      </c>
      <c r="M482" t="s">
        <v>48</v>
      </c>
      <c r="N482" t="s">
        <v>49</v>
      </c>
      <c r="O482" t="s">
        <v>27</v>
      </c>
      <c r="P482" s="1">
        <v>44796</v>
      </c>
      <c r="Q482">
        <f t="shared" si="35"/>
        <v>0</v>
      </c>
      <c r="R482">
        <f t="shared" si="36"/>
        <v>1</v>
      </c>
      <c r="S482">
        <f t="shared" si="37"/>
        <v>0</v>
      </c>
      <c r="T482" s="11">
        <f t="shared" si="38"/>
        <v>2019</v>
      </c>
      <c r="U482" s="11">
        <f t="shared" si="39"/>
        <v>10391</v>
      </c>
    </row>
    <row r="483" spans="1:21" x14ac:dyDescent="0.3">
      <c r="A483" t="s">
        <v>941</v>
      </c>
      <c r="B483">
        <v>2022</v>
      </c>
      <c r="C483" t="s">
        <v>29</v>
      </c>
      <c r="D483" t="s">
        <v>30</v>
      </c>
      <c r="E483">
        <v>2846</v>
      </c>
      <c r="F483" t="s">
        <v>393</v>
      </c>
      <c r="G483">
        <v>140000</v>
      </c>
      <c r="H483" t="s">
        <v>32</v>
      </c>
      <c r="J483" t="s">
        <v>942</v>
      </c>
      <c r="K483" t="s">
        <v>23</v>
      </c>
      <c r="L483" t="s">
        <v>425</v>
      </c>
      <c r="M483" t="s">
        <v>426</v>
      </c>
      <c r="N483" t="s">
        <v>427</v>
      </c>
      <c r="O483" t="s">
        <v>27</v>
      </c>
      <c r="P483" s="1">
        <v>44795</v>
      </c>
      <c r="Q483">
        <f t="shared" si="35"/>
        <v>0</v>
      </c>
      <c r="R483">
        <f t="shared" si="36"/>
        <v>1</v>
      </c>
      <c r="S483">
        <f t="shared" si="37"/>
        <v>0</v>
      </c>
      <c r="T483" s="11">
        <f t="shared" si="38"/>
        <v>2022</v>
      </c>
      <c r="U483" s="11">
        <f t="shared" si="39"/>
        <v>2846</v>
      </c>
    </row>
    <row r="484" spans="1:21" x14ac:dyDescent="0.3">
      <c r="A484" t="s">
        <v>943</v>
      </c>
      <c r="B484">
        <v>2021</v>
      </c>
      <c r="C484" t="s">
        <v>37</v>
      </c>
      <c r="D484" t="s">
        <v>51</v>
      </c>
      <c r="E484">
        <v>15964</v>
      </c>
      <c r="F484" t="s">
        <v>131</v>
      </c>
      <c r="G484">
        <v>112100</v>
      </c>
      <c r="H484" t="s">
        <v>53</v>
      </c>
      <c r="I484" t="s">
        <v>78</v>
      </c>
      <c r="J484" t="s">
        <v>944</v>
      </c>
      <c r="K484" t="s">
        <v>23</v>
      </c>
      <c r="L484" t="s">
        <v>243</v>
      </c>
      <c r="M484" t="s">
        <v>244</v>
      </c>
      <c r="N484" t="s">
        <v>245</v>
      </c>
      <c r="O484" t="s">
        <v>27</v>
      </c>
      <c r="P484" s="1">
        <v>44795</v>
      </c>
      <c r="Q484">
        <f t="shared" si="35"/>
        <v>1</v>
      </c>
      <c r="R484">
        <f t="shared" si="36"/>
        <v>0</v>
      </c>
      <c r="S484">
        <f t="shared" si="37"/>
        <v>0</v>
      </c>
      <c r="T484" s="11">
        <f t="shared" si="38"/>
        <v>2021</v>
      </c>
      <c r="U484" s="11">
        <f t="shared" si="39"/>
        <v>15964</v>
      </c>
    </row>
    <row r="485" spans="1:21" x14ac:dyDescent="0.3">
      <c r="A485" t="s">
        <v>945</v>
      </c>
      <c r="B485">
        <v>2021</v>
      </c>
      <c r="C485" t="s">
        <v>29</v>
      </c>
      <c r="D485" t="s">
        <v>32</v>
      </c>
      <c r="E485">
        <v>15177</v>
      </c>
      <c r="F485" t="s">
        <v>177</v>
      </c>
      <c r="G485">
        <v>117800</v>
      </c>
      <c r="H485" t="s">
        <v>32</v>
      </c>
      <c r="I485" t="s">
        <v>110</v>
      </c>
      <c r="J485" t="s">
        <v>301</v>
      </c>
      <c r="K485" t="s">
        <v>23</v>
      </c>
      <c r="L485" t="s">
        <v>84</v>
      </c>
      <c r="M485" t="s">
        <v>48</v>
      </c>
      <c r="N485" t="s">
        <v>69</v>
      </c>
      <c r="O485" t="s">
        <v>27</v>
      </c>
      <c r="P485" s="1">
        <v>44795</v>
      </c>
      <c r="Q485">
        <f t="shared" si="35"/>
        <v>0</v>
      </c>
      <c r="R485">
        <f t="shared" si="36"/>
        <v>1</v>
      </c>
      <c r="S485">
        <f t="shared" si="37"/>
        <v>0</v>
      </c>
      <c r="T485" s="11">
        <f t="shared" si="38"/>
        <v>2021</v>
      </c>
      <c r="U485" s="11">
        <f t="shared" si="39"/>
        <v>15177</v>
      </c>
    </row>
    <row r="486" spans="1:21" x14ac:dyDescent="0.3">
      <c r="A486" t="s">
        <v>946</v>
      </c>
      <c r="B486">
        <v>2020</v>
      </c>
      <c r="C486" t="s">
        <v>29</v>
      </c>
      <c r="D486" t="s">
        <v>53</v>
      </c>
      <c r="E486">
        <v>37505</v>
      </c>
      <c r="F486" t="s">
        <v>44</v>
      </c>
      <c r="G486">
        <v>97300</v>
      </c>
      <c r="H486" t="s">
        <v>53</v>
      </c>
      <c r="I486" t="s">
        <v>110</v>
      </c>
      <c r="J486" t="s">
        <v>947</v>
      </c>
      <c r="K486" t="s">
        <v>23</v>
      </c>
      <c r="L486" t="s">
        <v>47</v>
      </c>
      <c r="M486" t="s">
        <v>48</v>
      </c>
      <c r="N486" t="s">
        <v>49</v>
      </c>
      <c r="O486" t="s">
        <v>27</v>
      </c>
      <c r="P486" s="1">
        <v>44795</v>
      </c>
      <c r="Q486">
        <f t="shared" si="35"/>
        <v>0</v>
      </c>
      <c r="R486">
        <f t="shared" si="36"/>
        <v>1</v>
      </c>
      <c r="S486">
        <f t="shared" si="37"/>
        <v>0</v>
      </c>
      <c r="T486" s="11">
        <f t="shared" si="38"/>
        <v>2020</v>
      </c>
      <c r="U486" s="11">
        <f t="shared" si="39"/>
        <v>37505</v>
      </c>
    </row>
    <row r="487" spans="1:21" x14ac:dyDescent="0.3">
      <c r="A487" t="s">
        <v>948</v>
      </c>
      <c r="B487">
        <v>2021</v>
      </c>
      <c r="C487" t="s">
        <v>17</v>
      </c>
      <c r="D487" t="s">
        <v>32</v>
      </c>
      <c r="E487">
        <v>44928</v>
      </c>
      <c r="F487" t="s">
        <v>19</v>
      </c>
      <c r="G487">
        <v>62800</v>
      </c>
      <c r="H487" t="s">
        <v>20</v>
      </c>
      <c r="I487" t="s">
        <v>78</v>
      </c>
      <c r="J487" t="s">
        <v>200</v>
      </c>
      <c r="K487" t="s">
        <v>23</v>
      </c>
      <c r="L487" t="s">
        <v>447</v>
      </c>
      <c r="N487" t="s">
        <v>203</v>
      </c>
      <c r="O487" t="s">
        <v>27</v>
      </c>
      <c r="P487" s="1">
        <v>44795</v>
      </c>
      <c r="Q487">
        <f t="shared" si="35"/>
        <v>0</v>
      </c>
      <c r="R487">
        <f t="shared" si="36"/>
        <v>0</v>
      </c>
      <c r="S487">
        <f t="shared" si="37"/>
        <v>1</v>
      </c>
      <c r="T487" s="11">
        <f t="shared" si="38"/>
        <v>2021</v>
      </c>
      <c r="U487" s="11">
        <f t="shared" si="39"/>
        <v>44928</v>
      </c>
    </row>
    <row r="488" spans="1:21" x14ac:dyDescent="0.3">
      <c r="A488" t="s">
        <v>949</v>
      </c>
      <c r="B488">
        <v>2018</v>
      </c>
      <c r="C488" t="s">
        <v>29</v>
      </c>
      <c r="D488" t="s">
        <v>51</v>
      </c>
      <c r="E488">
        <v>43812</v>
      </c>
      <c r="F488" t="s">
        <v>270</v>
      </c>
      <c r="G488">
        <v>86400</v>
      </c>
      <c r="H488" t="s">
        <v>53</v>
      </c>
      <c r="I488" t="s">
        <v>21</v>
      </c>
      <c r="J488" t="s">
        <v>950</v>
      </c>
      <c r="K488" t="s">
        <v>23</v>
      </c>
      <c r="L488" t="s">
        <v>345</v>
      </c>
      <c r="M488" t="s">
        <v>48</v>
      </c>
      <c r="N488" t="s">
        <v>69</v>
      </c>
      <c r="O488" t="s">
        <v>27</v>
      </c>
      <c r="P488" s="1">
        <v>44795</v>
      </c>
      <c r="Q488">
        <f t="shared" si="35"/>
        <v>0</v>
      </c>
      <c r="R488">
        <f t="shared" si="36"/>
        <v>1</v>
      </c>
      <c r="S488">
        <f t="shared" si="37"/>
        <v>0</v>
      </c>
      <c r="T488" s="11">
        <f t="shared" si="38"/>
        <v>2018</v>
      </c>
      <c r="U488" s="11">
        <f t="shared" si="39"/>
        <v>43812</v>
      </c>
    </row>
    <row r="489" spans="1:21" x14ac:dyDescent="0.3">
      <c r="A489" t="s">
        <v>951</v>
      </c>
      <c r="B489">
        <v>2017</v>
      </c>
      <c r="C489" t="s">
        <v>37</v>
      </c>
      <c r="D489" t="s">
        <v>51</v>
      </c>
      <c r="E489">
        <v>30755</v>
      </c>
      <c r="F489" t="s">
        <v>52</v>
      </c>
      <c r="G489">
        <v>68200</v>
      </c>
      <c r="H489" t="s">
        <v>53</v>
      </c>
      <c r="I489" t="s">
        <v>78</v>
      </c>
      <c r="J489" t="s">
        <v>952</v>
      </c>
      <c r="K489" t="s">
        <v>23</v>
      </c>
      <c r="L489" t="s">
        <v>183</v>
      </c>
      <c r="M489" t="s">
        <v>25</v>
      </c>
      <c r="N489" t="s">
        <v>26</v>
      </c>
      <c r="O489" t="s">
        <v>27</v>
      </c>
      <c r="P489" s="1">
        <v>44795</v>
      </c>
      <c r="Q489">
        <f t="shared" si="35"/>
        <v>1</v>
      </c>
      <c r="R489">
        <f t="shared" si="36"/>
        <v>0</v>
      </c>
      <c r="S489">
        <f t="shared" si="37"/>
        <v>0</v>
      </c>
      <c r="T489" s="11">
        <f t="shared" si="38"/>
        <v>2017</v>
      </c>
      <c r="U489" s="11">
        <f t="shared" si="39"/>
        <v>30755</v>
      </c>
    </row>
    <row r="490" spans="1:21" x14ac:dyDescent="0.3">
      <c r="A490" t="s">
        <v>953</v>
      </c>
      <c r="B490">
        <v>2020</v>
      </c>
      <c r="C490" t="s">
        <v>56</v>
      </c>
      <c r="D490" t="s">
        <v>76</v>
      </c>
      <c r="E490">
        <v>14858</v>
      </c>
      <c r="F490" t="s">
        <v>71</v>
      </c>
      <c r="G490">
        <v>63300</v>
      </c>
      <c r="H490" t="s">
        <v>77</v>
      </c>
      <c r="I490" t="s">
        <v>21</v>
      </c>
      <c r="J490" t="s">
        <v>214</v>
      </c>
      <c r="K490" t="s">
        <v>23</v>
      </c>
      <c r="L490" t="s">
        <v>60</v>
      </c>
      <c r="M490" t="s">
        <v>48</v>
      </c>
      <c r="N490" t="s">
        <v>49</v>
      </c>
      <c r="O490" t="s">
        <v>27</v>
      </c>
      <c r="P490" s="1">
        <v>44795</v>
      </c>
      <c r="Q490">
        <f t="shared" si="35"/>
        <v>0</v>
      </c>
      <c r="R490">
        <f t="shared" si="36"/>
        <v>0</v>
      </c>
      <c r="S490">
        <f t="shared" si="37"/>
        <v>0</v>
      </c>
      <c r="T490" s="11">
        <f t="shared" si="38"/>
        <v>2020</v>
      </c>
      <c r="U490" s="11">
        <f t="shared" si="39"/>
        <v>14858</v>
      </c>
    </row>
    <row r="491" spans="1:21" x14ac:dyDescent="0.3">
      <c r="A491" t="s">
        <v>954</v>
      </c>
      <c r="B491">
        <v>2019</v>
      </c>
      <c r="C491" t="s">
        <v>37</v>
      </c>
      <c r="D491" t="s">
        <v>76</v>
      </c>
      <c r="E491">
        <v>18922</v>
      </c>
      <c r="F491" t="s">
        <v>38</v>
      </c>
      <c r="G491">
        <v>88800</v>
      </c>
      <c r="H491" t="s">
        <v>53</v>
      </c>
      <c r="I491" t="s">
        <v>78</v>
      </c>
      <c r="J491" t="s">
        <v>955</v>
      </c>
      <c r="K491" t="s">
        <v>23</v>
      </c>
      <c r="L491" t="s">
        <v>183</v>
      </c>
      <c r="M491" t="s">
        <v>25</v>
      </c>
      <c r="N491" t="s">
        <v>26</v>
      </c>
      <c r="O491" t="s">
        <v>27</v>
      </c>
      <c r="P491" s="1">
        <v>44795</v>
      </c>
      <c r="Q491">
        <f t="shared" si="35"/>
        <v>1</v>
      </c>
      <c r="R491">
        <f t="shared" si="36"/>
        <v>0</v>
      </c>
      <c r="S491">
        <f t="shared" si="37"/>
        <v>0</v>
      </c>
      <c r="T491" s="11">
        <f t="shared" si="38"/>
        <v>2019</v>
      </c>
      <c r="U491" s="11">
        <f t="shared" si="39"/>
        <v>18922</v>
      </c>
    </row>
    <row r="492" spans="1:21" x14ac:dyDescent="0.3">
      <c r="A492" t="s">
        <v>956</v>
      </c>
      <c r="B492">
        <v>2018</v>
      </c>
      <c r="C492" t="s">
        <v>56</v>
      </c>
      <c r="D492" t="s">
        <v>93</v>
      </c>
      <c r="E492">
        <v>34944</v>
      </c>
      <c r="F492" t="s">
        <v>57</v>
      </c>
      <c r="G492">
        <v>54800</v>
      </c>
      <c r="H492" t="s">
        <v>20</v>
      </c>
      <c r="I492" t="s">
        <v>78</v>
      </c>
      <c r="J492" t="s">
        <v>218</v>
      </c>
      <c r="K492" t="s">
        <v>23</v>
      </c>
      <c r="L492" t="s">
        <v>84</v>
      </c>
      <c r="M492" t="s">
        <v>48</v>
      </c>
      <c r="N492" t="s">
        <v>69</v>
      </c>
      <c r="O492" t="s">
        <v>27</v>
      </c>
      <c r="P492" s="1">
        <v>44795</v>
      </c>
      <c r="Q492">
        <f t="shared" si="35"/>
        <v>0</v>
      </c>
      <c r="R492">
        <f t="shared" si="36"/>
        <v>0</v>
      </c>
      <c r="S492">
        <f t="shared" si="37"/>
        <v>0</v>
      </c>
      <c r="T492" s="11">
        <f t="shared" si="38"/>
        <v>2018</v>
      </c>
      <c r="U492" s="11">
        <f t="shared" si="39"/>
        <v>34944</v>
      </c>
    </row>
    <row r="493" spans="1:21" x14ac:dyDescent="0.3">
      <c r="A493" t="s">
        <v>957</v>
      </c>
      <c r="B493">
        <v>2018</v>
      </c>
      <c r="C493" t="s">
        <v>56</v>
      </c>
      <c r="D493" t="s">
        <v>32</v>
      </c>
      <c r="E493">
        <v>33068</v>
      </c>
      <c r="F493" t="s">
        <v>234</v>
      </c>
      <c r="G493">
        <v>53000</v>
      </c>
      <c r="H493" t="s">
        <v>20</v>
      </c>
      <c r="I493" t="s">
        <v>78</v>
      </c>
      <c r="J493" t="s">
        <v>729</v>
      </c>
      <c r="K493" t="s">
        <v>23</v>
      </c>
      <c r="L493" t="s">
        <v>193</v>
      </c>
      <c r="M493" t="s">
        <v>194</v>
      </c>
      <c r="N493" t="s">
        <v>26</v>
      </c>
      <c r="O493" t="s">
        <v>27</v>
      </c>
      <c r="P493" s="1">
        <v>44795</v>
      </c>
      <c r="Q493">
        <f t="shared" si="35"/>
        <v>0</v>
      </c>
      <c r="R493">
        <f t="shared" si="36"/>
        <v>0</v>
      </c>
      <c r="S493">
        <f t="shared" si="37"/>
        <v>0</v>
      </c>
      <c r="T493" s="11">
        <f t="shared" si="38"/>
        <v>2018</v>
      </c>
      <c r="U493" s="11">
        <f t="shared" si="39"/>
        <v>33068</v>
      </c>
    </row>
    <row r="494" spans="1:21" x14ac:dyDescent="0.3">
      <c r="A494" t="s">
        <v>958</v>
      </c>
      <c r="B494">
        <v>2020</v>
      </c>
      <c r="C494" t="s">
        <v>56</v>
      </c>
      <c r="D494" t="s">
        <v>93</v>
      </c>
      <c r="E494">
        <v>56842</v>
      </c>
      <c r="F494" t="s">
        <v>71</v>
      </c>
      <c r="G494">
        <v>52700</v>
      </c>
      <c r="H494" t="s">
        <v>20</v>
      </c>
      <c r="I494" t="s">
        <v>58</v>
      </c>
      <c r="J494" t="s">
        <v>541</v>
      </c>
      <c r="K494" t="s">
        <v>23</v>
      </c>
      <c r="L494" t="s">
        <v>345</v>
      </c>
      <c r="M494" t="s">
        <v>48</v>
      </c>
      <c r="N494" t="s">
        <v>69</v>
      </c>
      <c r="O494" t="s">
        <v>27</v>
      </c>
      <c r="P494" s="1">
        <v>44795</v>
      </c>
      <c r="Q494">
        <f t="shared" si="35"/>
        <v>0</v>
      </c>
      <c r="R494">
        <f t="shared" si="36"/>
        <v>0</v>
      </c>
      <c r="S494">
        <f t="shared" si="37"/>
        <v>0</v>
      </c>
      <c r="T494" s="11">
        <f t="shared" si="38"/>
        <v>2020</v>
      </c>
      <c r="U494" s="11">
        <f t="shared" si="39"/>
        <v>56842</v>
      </c>
    </row>
    <row r="495" spans="1:21" x14ac:dyDescent="0.3">
      <c r="A495" t="s">
        <v>959</v>
      </c>
      <c r="B495">
        <v>2022</v>
      </c>
      <c r="C495" t="s">
        <v>56</v>
      </c>
      <c r="D495" t="s">
        <v>53</v>
      </c>
      <c r="E495">
        <v>2414</v>
      </c>
      <c r="F495" t="s">
        <v>143</v>
      </c>
      <c r="G495">
        <v>73400</v>
      </c>
      <c r="H495" t="s">
        <v>77</v>
      </c>
      <c r="J495" t="s">
        <v>960</v>
      </c>
      <c r="K495" t="s">
        <v>23</v>
      </c>
      <c r="L495" t="s">
        <v>24</v>
      </c>
      <c r="M495" t="s">
        <v>25</v>
      </c>
      <c r="N495" t="s">
        <v>26</v>
      </c>
      <c r="O495" t="s">
        <v>27</v>
      </c>
      <c r="P495" s="1">
        <v>44795</v>
      </c>
      <c r="Q495">
        <f t="shared" si="35"/>
        <v>0</v>
      </c>
      <c r="R495">
        <f t="shared" si="36"/>
        <v>0</v>
      </c>
      <c r="S495">
        <f t="shared" si="37"/>
        <v>0</v>
      </c>
      <c r="T495" s="11">
        <f t="shared" si="38"/>
        <v>2022</v>
      </c>
      <c r="U495" s="11">
        <f t="shared" si="39"/>
        <v>2414</v>
      </c>
    </row>
    <row r="496" spans="1:21" x14ac:dyDescent="0.3">
      <c r="A496" t="s">
        <v>961</v>
      </c>
      <c r="B496">
        <v>2018</v>
      </c>
      <c r="C496" t="s">
        <v>56</v>
      </c>
      <c r="D496" t="s">
        <v>53</v>
      </c>
      <c r="E496">
        <v>29825</v>
      </c>
      <c r="F496" t="s">
        <v>234</v>
      </c>
      <c r="G496">
        <v>47900</v>
      </c>
      <c r="H496" t="s">
        <v>20</v>
      </c>
      <c r="I496" t="s">
        <v>78</v>
      </c>
      <c r="J496" t="s">
        <v>403</v>
      </c>
      <c r="K496" t="s">
        <v>23</v>
      </c>
      <c r="L496" t="s">
        <v>60</v>
      </c>
      <c r="M496" t="s">
        <v>48</v>
      </c>
      <c r="N496" t="s">
        <v>49</v>
      </c>
      <c r="O496" t="s">
        <v>27</v>
      </c>
      <c r="P496" s="1">
        <v>44795</v>
      </c>
      <c r="Q496">
        <f t="shared" si="35"/>
        <v>0</v>
      </c>
      <c r="R496">
        <f t="shared" si="36"/>
        <v>0</v>
      </c>
      <c r="S496">
        <f t="shared" si="37"/>
        <v>0</v>
      </c>
      <c r="T496" s="11">
        <f t="shared" si="38"/>
        <v>2018</v>
      </c>
      <c r="U496" s="11">
        <f t="shared" si="39"/>
        <v>29825</v>
      </c>
    </row>
    <row r="497" spans="1:21" x14ac:dyDescent="0.3">
      <c r="A497" t="s">
        <v>962</v>
      </c>
      <c r="B497">
        <v>2021</v>
      </c>
      <c r="C497" t="s">
        <v>17</v>
      </c>
      <c r="D497" t="s">
        <v>30</v>
      </c>
      <c r="E497">
        <v>16224</v>
      </c>
      <c r="F497" t="s">
        <v>19</v>
      </c>
      <c r="G497">
        <v>75500</v>
      </c>
      <c r="H497" t="s">
        <v>20</v>
      </c>
      <c r="I497" t="s">
        <v>78</v>
      </c>
      <c r="J497" t="s">
        <v>242</v>
      </c>
      <c r="K497" t="s">
        <v>23</v>
      </c>
      <c r="L497" t="s">
        <v>459</v>
      </c>
      <c r="M497" t="s">
        <v>25</v>
      </c>
      <c r="N497" t="s">
        <v>26</v>
      </c>
      <c r="O497" t="s">
        <v>27</v>
      </c>
      <c r="P497" s="1">
        <v>44795</v>
      </c>
      <c r="Q497">
        <f t="shared" si="35"/>
        <v>0</v>
      </c>
      <c r="R497">
        <f t="shared" si="36"/>
        <v>0</v>
      </c>
      <c r="S497">
        <f t="shared" si="37"/>
        <v>1</v>
      </c>
      <c r="T497" s="11">
        <f t="shared" si="38"/>
        <v>2021</v>
      </c>
      <c r="U497" s="11">
        <f t="shared" si="39"/>
        <v>16224</v>
      </c>
    </row>
    <row r="498" spans="1:21" x14ac:dyDescent="0.3">
      <c r="A498" t="s">
        <v>963</v>
      </c>
      <c r="B498">
        <v>2021</v>
      </c>
      <c r="C498" t="s">
        <v>37</v>
      </c>
      <c r="D498" t="s">
        <v>30</v>
      </c>
      <c r="E498">
        <v>9255</v>
      </c>
      <c r="F498" t="s">
        <v>211</v>
      </c>
      <c r="G498">
        <v>108800</v>
      </c>
      <c r="H498" t="s">
        <v>53</v>
      </c>
      <c r="I498" t="s">
        <v>39</v>
      </c>
      <c r="J498" t="s">
        <v>560</v>
      </c>
      <c r="K498" t="s">
        <v>23</v>
      </c>
      <c r="L498" t="s">
        <v>47</v>
      </c>
      <c r="M498" t="s">
        <v>48</v>
      </c>
      <c r="N498" t="s">
        <v>49</v>
      </c>
      <c r="O498" t="s">
        <v>27</v>
      </c>
      <c r="P498" s="1">
        <v>44795</v>
      </c>
      <c r="Q498">
        <f t="shared" si="35"/>
        <v>1</v>
      </c>
      <c r="R498">
        <f t="shared" si="36"/>
        <v>0</v>
      </c>
      <c r="S498">
        <f t="shared" si="37"/>
        <v>0</v>
      </c>
      <c r="T498" s="11">
        <f t="shared" si="38"/>
        <v>2021</v>
      </c>
      <c r="U498" s="11">
        <f t="shared" si="39"/>
        <v>9255</v>
      </c>
    </row>
    <row r="499" spans="1:21" x14ac:dyDescent="0.3">
      <c r="A499" t="s">
        <v>964</v>
      </c>
      <c r="B499">
        <v>2020</v>
      </c>
      <c r="C499" t="s">
        <v>56</v>
      </c>
      <c r="D499" t="s">
        <v>30</v>
      </c>
      <c r="E499">
        <v>33605</v>
      </c>
      <c r="F499" t="s">
        <v>71</v>
      </c>
      <c r="G499">
        <v>60100</v>
      </c>
      <c r="H499" t="s">
        <v>77</v>
      </c>
      <c r="I499" t="s">
        <v>21</v>
      </c>
      <c r="J499" t="s">
        <v>965</v>
      </c>
      <c r="K499" t="s">
        <v>23</v>
      </c>
      <c r="L499" t="s">
        <v>205</v>
      </c>
      <c r="M499" t="s">
        <v>42</v>
      </c>
      <c r="N499" t="s">
        <v>26</v>
      </c>
      <c r="O499" t="s">
        <v>27</v>
      </c>
      <c r="P499" s="1">
        <v>44795</v>
      </c>
      <c r="Q499">
        <f t="shared" si="35"/>
        <v>0</v>
      </c>
      <c r="R499">
        <f t="shared" si="36"/>
        <v>0</v>
      </c>
      <c r="S499">
        <f t="shared" si="37"/>
        <v>0</v>
      </c>
      <c r="T499" s="11">
        <f t="shared" si="38"/>
        <v>2020</v>
      </c>
      <c r="U499" s="11">
        <f t="shared" si="39"/>
        <v>33605</v>
      </c>
    </row>
    <row r="500" spans="1:21" x14ac:dyDescent="0.3">
      <c r="A500" t="s">
        <v>966</v>
      </c>
      <c r="B500">
        <v>2020</v>
      </c>
      <c r="C500" t="s">
        <v>56</v>
      </c>
      <c r="D500" t="s">
        <v>32</v>
      </c>
      <c r="E500">
        <v>15972</v>
      </c>
      <c r="F500" t="s">
        <v>57</v>
      </c>
      <c r="G500">
        <v>58800</v>
      </c>
      <c r="H500" t="s">
        <v>20</v>
      </c>
      <c r="I500" t="s">
        <v>78</v>
      </c>
      <c r="J500" t="s">
        <v>275</v>
      </c>
      <c r="K500" t="s">
        <v>23</v>
      </c>
      <c r="L500" t="s">
        <v>580</v>
      </c>
      <c r="M500" t="s">
        <v>581</v>
      </c>
      <c r="N500" t="s">
        <v>582</v>
      </c>
      <c r="O500" t="s">
        <v>27</v>
      </c>
      <c r="P500" s="1">
        <v>44795</v>
      </c>
      <c r="Q500">
        <f t="shared" si="35"/>
        <v>0</v>
      </c>
      <c r="R500">
        <f t="shared" si="36"/>
        <v>0</v>
      </c>
      <c r="S500">
        <f t="shared" si="37"/>
        <v>0</v>
      </c>
      <c r="T500" s="11">
        <f t="shared" si="38"/>
        <v>2020</v>
      </c>
      <c r="U500" s="11">
        <f t="shared" si="39"/>
        <v>15972</v>
      </c>
    </row>
    <row r="501" spans="1:21" x14ac:dyDescent="0.3">
      <c r="A501" t="s">
        <v>967</v>
      </c>
      <c r="B501">
        <v>2018</v>
      </c>
      <c r="C501" t="s">
        <v>29</v>
      </c>
      <c r="D501" t="s">
        <v>53</v>
      </c>
      <c r="E501">
        <v>15403</v>
      </c>
      <c r="F501" t="s">
        <v>270</v>
      </c>
      <c r="G501">
        <v>95400</v>
      </c>
      <c r="H501" t="s">
        <v>53</v>
      </c>
      <c r="I501" t="s">
        <v>110</v>
      </c>
      <c r="J501" t="s">
        <v>968</v>
      </c>
      <c r="K501" t="s">
        <v>23</v>
      </c>
      <c r="L501" t="s">
        <v>205</v>
      </c>
      <c r="M501" t="s">
        <v>42</v>
      </c>
      <c r="N501" t="s">
        <v>26</v>
      </c>
      <c r="O501" t="s">
        <v>27</v>
      </c>
      <c r="P501" s="1">
        <v>44795</v>
      </c>
      <c r="Q501">
        <f t="shared" si="35"/>
        <v>0</v>
      </c>
      <c r="R501">
        <f t="shared" si="36"/>
        <v>1</v>
      </c>
      <c r="S501">
        <f t="shared" si="37"/>
        <v>0</v>
      </c>
      <c r="T501" s="11">
        <f t="shared" si="38"/>
        <v>2018</v>
      </c>
      <c r="U501" s="11">
        <f t="shared" si="39"/>
        <v>15403</v>
      </c>
    </row>
    <row r="502" spans="1:21" x14ac:dyDescent="0.3">
      <c r="A502" t="s">
        <v>969</v>
      </c>
      <c r="B502">
        <v>2018</v>
      </c>
      <c r="C502" t="s">
        <v>29</v>
      </c>
      <c r="D502" t="s">
        <v>51</v>
      </c>
      <c r="E502">
        <v>27461</v>
      </c>
      <c r="F502" t="s">
        <v>52</v>
      </c>
      <c r="G502">
        <v>83600</v>
      </c>
      <c r="H502" t="s">
        <v>53</v>
      </c>
      <c r="I502" t="s">
        <v>21</v>
      </c>
      <c r="J502" t="s">
        <v>970</v>
      </c>
      <c r="K502" t="s">
        <v>23</v>
      </c>
      <c r="L502" t="s">
        <v>494</v>
      </c>
      <c r="M502" t="s">
        <v>113</v>
      </c>
      <c r="N502" t="s">
        <v>114</v>
      </c>
      <c r="O502" t="s">
        <v>27</v>
      </c>
      <c r="P502" s="1">
        <v>44795</v>
      </c>
      <c r="Q502">
        <f t="shared" si="35"/>
        <v>0</v>
      </c>
      <c r="R502">
        <f t="shared" si="36"/>
        <v>1</v>
      </c>
      <c r="S502">
        <f t="shared" si="37"/>
        <v>0</v>
      </c>
      <c r="T502" s="11">
        <f t="shared" si="38"/>
        <v>2018</v>
      </c>
      <c r="U502" s="11">
        <f t="shared" si="39"/>
        <v>27461</v>
      </c>
    </row>
    <row r="503" spans="1:21" x14ac:dyDescent="0.3">
      <c r="A503" t="s">
        <v>971</v>
      </c>
      <c r="B503">
        <v>2021</v>
      </c>
      <c r="C503" t="s">
        <v>17</v>
      </c>
      <c r="D503" t="s">
        <v>30</v>
      </c>
      <c r="E503">
        <v>38492</v>
      </c>
      <c r="F503" t="s">
        <v>161</v>
      </c>
      <c r="G503">
        <v>62000</v>
      </c>
      <c r="H503" t="s">
        <v>77</v>
      </c>
      <c r="I503" t="s">
        <v>78</v>
      </c>
      <c r="J503" t="s">
        <v>972</v>
      </c>
      <c r="K503" t="s">
        <v>23</v>
      </c>
      <c r="L503" t="s">
        <v>205</v>
      </c>
      <c r="M503" t="s">
        <v>42</v>
      </c>
      <c r="N503" t="s">
        <v>26</v>
      </c>
      <c r="O503" t="s">
        <v>27</v>
      </c>
      <c r="P503" s="1">
        <v>44795</v>
      </c>
      <c r="Q503">
        <f t="shared" si="35"/>
        <v>0</v>
      </c>
      <c r="R503">
        <f t="shared" si="36"/>
        <v>0</v>
      </c>
      <c r="S503">
        <f t="shared" si="37"/>
        <v>1</v>
      </c>
      <c r="T503" s="11">
        <f t="shared" si="38"/>
        <v>2021</v>
      </c>
      <c r="U503" s="11">
        <f t="shared" si="39"/>
        <v>38492</v>
      </c>
    </row>
    <row r="504" spans="1:21" x14ac:dyDescent="0.3">
      <c r="A504" t="s">
        <v>973</v>
      </c>
      <c r="B504">
        <v>2018</v>
      </c>
      <c r="C504" t="s">
        <v>56</v>
      </c>
      <c r="D504" t="s">
        <v>76</v>
      </c>
      <c r="E504">
        <v>58360</v>
      </c>
      <c r="F504" t="s">
        <v>234</v>
      </c>
      <c r="G504">
        <v>45600</v>
      </c>
      <c r="H504" t="s">
        <v>20</v>
      </c>
      <c r="I504" t="s">
        <v>58</v>
      </c>
      <c r="J504" t="s">
        <v>585</v>
      </c>
      <c r="K504" t="s">
        <v>23</v>
      </c>
      <c r="L504" t="s">
        <v>278</v>
      </c>
      <c r="M504" t="s">
        <v>148</v>
      </c>
      <c r="N504" t="s">
        <v>149</v>
      </c>
      <c r="O504" t="s">
        <v>27</v>
      </c>
      <c r="P504" s="1">
        <v>44795</v>
      </c>
      <c r="Q504">
        <f t="shared" si="35"/>
        <v>0</v>
      </c>
      <c r="R504">
        <f t="shared" si="36"/>
        <v>0</v>
      </c>
      <c r="S504">
        <f t="shared" si="37"/>
        <v>0</v>
      </c>
      <c r="T504" s="11">
        <f t="shared" si="38"/>
        <v>2018</v>
      </c>
      <c r="U504" s="11">
        <f t="shared" si="39"/>
        <v>58360</v>
      </c>
    </row>
    <row r="505" spans="1:21" x14ac:dyDescent="0.3">
      <c r="A505" t="s">
        <v>974</v>
      </c>
      <c r="B505">
        <v>2021</v>
      </c>
      <c r="C505" t="s">
        <v>17</v>
      </c>
      <c r="D505" t="s">
        <v>76</v>
      </c>
      <c r="E505">
        <v>11721</v>
      </c>
      <c r="F505" t="s">
        <v>207</v>
      </c>
      <c r="G505">
        <v>69600</v>
      </c>
      <c r="H505" t="s">
        <v>20</v>
      </c>
      <c r="I505" t="s">
        <v>78</v>
      </c>
      <c r="J505" t="s">
        <v>362</v>
      </c>
      <c r="K505" t="s">
        <v>23</v>
      </c>
      <c r="L505" t="s">
        <v>137</v>
      </c>
      <c r="M505" t="s">
        <v>138</v>
      </c>
      <c r="N505" t="s">
        <v>139</v>
      </c>
      <c r="O505" t="s">
        <v>27</v>
      </c>
      <c r="P505" s="1">
        <v>44795</v>
      </c>
      <c r="Q505">
        <f t="shared" si="35"/>
        <v>0</v>
      </c>
      <c r="R505">
        <f t="shared" si="36"/>
        <v>0</v>
      </c>
      <c r="S505">
        <f t="shared" si="37"/>
        <v>1</v>
      </c>
      <c r="T505" s="11">
        <f t="shared" si="38"/>
        <v>2021</v>
      </c>
      <c r="U505" s="11">
        <f t="shared" si="39"/>
        <v>11721</v>
      </c>
    </row>
    <row r="506" spans="1:21" x14ac:dyDescent="0.3">
      <c r="A506" t="s">
        <v>975</v>
      </c>
      <c r="B506">
        <v>2022</v>
      </c>
      <c r="C506" t="s">
        <v>17</v>
      </c>
      <c r="D506" t="s">
        <v>32</v>
      </c>
      <c r="E506">
        <v>10082</v>
      </c>
      <c r="F506" t="s">
        <v>19</v>
      </c>
      <c r="G506">
        <v>80200</v>
      </c>
      <c r="H506" t="s">
        <v>77</v>
      </c>
      <c r="I506" t="s">
        <v>78</v>
      </c>
      <c r="J506" t="s">
        <v>277</v>
      </c>
      <c r="K506" t="s">
        <v>23</v>
      </c>
      <c r="L506" t="s">
        <v>292</v>
      </c>
      <c r="M506" t="s">
        <v>172</v>
      </c>
      <c r="N506" t="s">
        <v>173</v>
      </c>
      <c r="O506" t="s">
        <v>27</v>
      </c>
      <c r="P506" s="1">
        <v>44795</v>
      </c>
      <c r="Q506">
        <f t="shared" si="35"/>
        <v>0</v>
      </c>
      <c r="R506">
        <f t="shared" si="36"/>
        <v>0</v>
      </c>
      <c r="S506">
        <f t="shared" si="37"/>
        <v>1</v>
      </c>
      <c r="T506" s="11">
        <f t="shared" si="38"/>
        <v>2022</v>
      </c>
      <c r="U506" s="11">
        <f t="shared" si="39"/>
        <v>10082</v>
      </c>
    </row>
    <row r="507" spans="1:21" x14ac:dyDescent="0.3">
      <c r="A507" t="s">
        <v>976</v>
      </c>
      <c r="B507">
        <v>2019</v>
      </c>
      <c r="C507" t="s">
        <v>56</v>
      </c>
      <c r="D507" t="s">
        <v>30</v>
      </c>
      <c r="E507">
        <v>28550</v>
      </c>
      <c r="F507" t="s">
        <v>234</v>
      </c>
      <c r="G507">
        <v>52900</v>
      </c>
      <c r="H507" t="s">
        <v>20</v>
      </c>
      <c r="I507" t="s">
        <v>78</v>
      </c>
      <c r="J507" t="s">
        <v>699</v>
      </c>
      <c r="K507" t="s">
        <v>23</v>
      </c>
      <c r="N507" t="s">
        <v>127</v>
      </c>
      <c r="O507" t="s">
        <v>27</v>
      </c>
      <c r="P507" s="1">
        <v>44795</v>
      </c>
      <c r="Q507">
        <f t="shared" si="35"/>
        <v>0</v>
      </c>
      <c r="R507">
        <f t="shared" si="36"/>
        <v>0</v>
      </c>
      <c r="S507">
        <f t="shared" si="37"/>
        <v>0</v>
      </c>
      <c r="T507" s="11">
        <f t="shared" si="38"/>
        <v>2019</v>
      </c>
      <c r="U507" s="11">
        <f t="shared" si="39"/>
        <v>28550</v>
      </c>
    </row>
    <row r="508" spans="1:21" x14ac:dyDescent="0.3">
      <c r="A508" t="s">
        <v>977</v>
      </c>
      <c r="B508">
        <v>2021</v>
      </c>
      <c r="C508" t="s">
        <v>17</v>
      </c>
      <c r="D508" t="s">
        <v>32</v>
      </c>
      <c r="E508">
        <v>10144</v>
      </c>
      <c r="F508" t="s">
        <v>189</v>
      </c>
      <c r="G508">
        <v>75700</v>
      </c>
      <c r="H508" t="s">
        <v>20</v>
      </c>
      <c r="I508" t="s">
        <v>39</v>
      </c>
      <c r="J508" t="s">
        <v>258</v>
      </c>
      <c r="K508" t="s">
        <v>23</v>
      </c>
      <c r="L508" t="s">
        <v>137</v>
      </c>
      <c r="M508" t="s">
        <v>138</v>
      </c>
      <c r="N508" t="s">
        <v>139</v>
      </c>
      <c r="O508" t="s">
        <v>27</v>
      </c>
      <c r="P508" s="1">
        <v>44795</v>
      </c>
      <c r="Q508">
        <f t="shared" si="35"/>
        <v>0</v>
      </c>
      <c r="R508">
        <f t="shared" si="36"/>
        <v>0</v>
      </c>
      <c r="S508">
        <f t="shared" si="37"/>
        <v>1</v>
      </c>
      <c r="T508" s="11">
        <f t="shared" si="38"/>
        <v>2021</v>
      </c>
      <c r="U508" s="11">
        <f t="shared" si="39"/>
        <v>10144</v>
      </c>
    </row>
    <row r="509" spans="1:21" x14ac:dyDescent="0.3">
      <c r="A509" t="s">
        <v>978</v>
      </c>
      <c r="B509">
        <v>2019</v>
      </c>
      <c r="C509" t="s">
        <v>56</v>
      </c>
      <c r="D509" t="s">
        <v>76</v>
      </c>
      <c r="E509">
        <v>23562</v>
      </c>
      <c r="F509" t="s">
        <v>57</v>
      </c>
      <c r="G509">
        <v>57700</v>
      </c>
      <c r="H509" t="s">
        <v>20</v>
      </c>
      <c r="I509" t="s">
        <v>58</v>
      </c>
      <c r="J509" t="s">
        <v>979</v>
      </c>
      <c r="K509" t="s">
        <v>23</v>
      </c>
      <c r="N509" t="s">
        <v>127</v>
      </c>
      <c r="O509" t="s">
        <v>27</v>
      </c>
      <c r="P509" s="1">
        <v>44795</v>
      </c>
      <c r="Q509">
        <f t="shared" si="35"/>
        <v>0</v>
      </c>
      <c r="R509">
        <f t="shared" si="36"/>
        <v>0</v>
      </c>
      <c r="S509">
        <f t="shared" si="37"/>
        <v>0</v>
      </c>
      <c r="T509" s="11">
        <f t="shared" si="38"/>
        <v>2019</v>
      </c>
      <c r="U509" s="11">
        <f t="shared" si="39"/>
        <v>23562</v>
      </c>
    </row>
    <row r="510" spans="1:21" x14ac:dyDescent="0.3">
      <c r="A510" t="s">
        <v>980</v>
      </c>
      <c r="B510">
        <v>2018</v>
      </c>
      <c r="C510" t="s">
        <v>29</v>
      </c>
      <c r="D510" t="s">
        <v>53</v>
      </c>
      <c r="E510">
        <v>21485</v>
      </c>
      <c r="F510" t="s">
        <v>270</v>
      </c>
      <c r="G510">
        <v>96300</v>
      </c>
      <c r="H510" t="s">
        <v>53</v>
      </c>
      <c r="I510" t="s">
        <v>110</v>
      </c>
      <c r="J510" t="s">
        <v>981</v>
      </c>
      <c r="K510" t="s">
        <v>23</v>
      </c>
      <c r="L510" t="s">
        <v>205</v>
      </c>
      <c r="M510" t="s">
        <v>42</v>
      </c>
      <c r="N510" t="s">
        <v>26</v>
      </c>
      <c r="O510" t="s">
        <v>27</v>
      </c>
      <c r="P510" s="1">
        <v>44795</v>
      </c>
      <c r="Q510">
        <f t="shared" si="35"/>
        <v>0</v>
      </c>
      <c r="R510">
        <f t="shared" si="36"/>
        <v>1</v>
      </c>
      <c r="S510">
        <f t="shared" si="37"/>
        <v>0</v>
      </c>
      <c r="T510" s="11">
        <f t="shared" si="38"/>
        <v>2018</v>
      </c>
      <c r="U510" s="11">
        <f t="shared" si="39"/>
        <v>21485</v>
      </c>
    </row>
    <row r="511" spans="1:21" x14ac:dyDescent="0.3">
      <c r="A511" t="s">
        <v>982</v>
      </c>
      <c r="B511">
        <v>2018</v>
      </c>
      <c r="C511" t="s">
        <v>29</v>
      </c>
      <c r="D511" t="s">
        <v>32</v>
      </c>
      <c r="E511">
        <v>43300</v>
      </c>
      <c r="F511" t="s">
        <v>104</v>
      </c>
      <c r="G511">
        <v>80700</v>
      </c>
      <c r="H511" t="s">
        <v>53</v>
      </c>
      <c r="I511" t="s">
        <v>110</v>
      </c>
      <c r="J511" t="s">
        <v>983</v>
      </c>
      <c r="K511" t="s">
        <v>23</v>
      </c>
      <c r="N511" t="s">
        <v>127</v>
      </c>
      <c r="O511" t="s">
        <v>27</v>
      </c>
      <c r="P511" s="1">
        <v>44795</v>
      </c>
      <c r="Q511">
        <f t="shared" si="35"/>
        <v>0</v>
      </c>
      <c r="R511">
        <f t="shared" si="36"/>
        <v>1</v>
      </c>
      <c r="S511">
        <f t="shared" si="37"/>
        <v>0</v>
      </c>
      <c r="T511" s="11">
        <f t="shared" si="38"/>
        <v>2018</v>
      </c>
      <c r="U511" s="11">
        <f t="shared" si="39"/>
        <v>43300</v>
      </c>
    </row>
    <row r="512" spans="1:21" x14ac:dyDescent="0.3">
      <c r="A512" t="s">
        <v>984</v>
      </c>
      <c r="B512">
        <v>2021</v>
      </c>
      <c r="C512" t="s">
        <v>56</v>
      </c>
      <c r="D512" t="s">
        <v>53</v>
      </c>
      <c r="E512">
        <v>17073</v>
      </c>
      <c r="F512" t="s">
        <v>57</v>
      </c>
      <c r="G512">
        <v>66300</v>
      </c>
      <c r="H512" t="s">
        <v>20</v>
      </c>
      <c r="I512" t="s">
        <v>78</v>
      </c>
      <c r="J512" t="s">
        <v>564</v>
      </c>
      <c r="K512" t="s">
        <v>23</v>
      </c>
      <c r="L512" t="s">
        <v>163</v>
      </c>
      <c r="M512" t="s">
        <v>164</v>
      </c>
      <c r="N512" t="s">
        <v>26</v>
      </c>
      <c r="O512" t="s">
        <v>27</v>
      </c>
      <c r="P512" s="1">
        <v>44795</v>
      </c>
      <c r="Q512">
        <f t="shared" si="35"/>
        <v>0</v>
      </c>
      <c r="R512">
        <f t="shared" si="36"/>
        <v>0</v>
      </c>
      <c r="S512">
        <f t="shared" si="37"/>
        <v>0</v>
      </c>
      <c r="T512" s="11">
        <f t="shared" si="38"/>
        <v>2021</v>
      </c>
      <c r="U512" s="11">
        <f t="shared" si="39"/>
        <v>17073</v>
      </c>
    </row>
    <row r="513" spans="1:21" x14ac:dyDescent="0.3">
      <c r="A513" t="s">
        <v>985</v>
      </c>
      <c r="B513">
        <v>2021</v>
      </c>
      <c r="C513" t="s">
        <v>17</v>
      </c>
      <c r="D513" t="s">
        <v>30</v>
      </c>
      <c r="E513">
        <v>31652</v>
      </c>
      <c r="F513" t="s">
        <v>207</v>
      </c>
      <c r="G513">
        <v>65200</v>
      </c>
      <c r="H513" t="s">
        <v>77</v>
      </c>
      <c r="I513" t="s">
        <v>21</v>
      </c>
      <c r="J513" t="s">
        <v>687</v>
      </c>
      <c r="K513" t="s">
        <v>23</v>
      </c>
      <c r="L513" t="s">
        <v>278</v>
      </c>
      <c r="M513" t="s">
        <v>148</v>
      </c>
      <c r="N513" t="s">
        <v>149</v>
      </c>
      <c r="O513" t="s">
        <v>27</v>
      </c>
      <c r="P513" s="1">
        <v>44795</v>
      </c>
      <c r="Q513">
        <f t="shared" si="35"/>
        <v>0</v>
      </c>
      <c r="R513">
        <f t="shared" si="36"/>
        <v>0</v>
      </c>
      <c r="S513">
        <f t="shared" si="37"/>
        <v>1</v>
      </c>
      <c r="T513" s="11">
        <f t="shared" si="38"/>
        <v>2021</v>
      </c>
      <c r="U513" s="11">
        <f t="shared" si="39"/>
        <v>31652</v>
      </c>
    </row>
    <row r="514" spans="1:21" x14ac:dyDescent="0.3">
      <c r="A514" t="s">
        <v>986</v>
      </c>
      <c r="B514">
        <v>2019</v>
      </c>
      <c r="C514" t="s">
        <v>56</v>
      </c>
      <c r="D514" t="s">
        <v>32</v>
      </c>
      <c r="E514">
        <v>25551</v>
      </c>
      <c r="F514" t="s">
        <v>57</v>
      </c>
      <c r="G514">
        <v>58000</v>
      </c>
      <c r="H514" t="s">
        <v>20</v>
      </c>
      <c r="I514" t="s">
        <v>78</v>
      </c>
      <c r="J514" t="s">
        <v>275</v>
      </c>
      <c r="K514" t="s">
        <v>23</v>
      </c>
      <c r="L514" t="s">
        <v>205</v>
      </c>
      <c r="M514" t="s">
        <v>42</v>
      </c>
      <c r="N514" t="s">
        <v>26</v>
      </c>
      <c r="O514" t="s">
        <v>27</v>
      </c>
      <c r="P514" s="1">
        <v>44795</v>
      </c>
      <c r="Q514">
        <f t="shared" ref="Q514:Q577" si="40">--(C514="ms")</f>
        <v>0</v>
      </c>
      <c r="R514">
        <f t="shared" ref="R514:R577" si="41">--(C514="mx")</f>
        <v>0</v>
      </c>
      <c r="S514">
        <f t="shared" ref="S514:S577" si="42">--(C514="my")</f>
        <v>0</v>
      </c>
      <c r="T514" s="11">
        <f t="shared" ref="T514:T577" si="43">B514</f>
        <v>2019</v>
      </c>
      <c r="U514" s="11">
        <f t="shared" ref="U514:U577" si="44">E514</f>
        <v>25551</v>
      </c>
    </row>
    <row r="515" spans="1:21" x14ac:dyDescent="0.3">
      <c r="A515" t="s">
        <v>987</v>
      </c>
      <c r="B515">
        <v>2021</v>
      </c>
      <c r="C515" t="s">
        <v>37</v>
      </c>
      <c r="D515" t="s">
        <v>53</v>
      </c>
      <c r="E515">
        <v>5583</v>
      </c>
      <c r="F515" t="s">
        <v>131</v>
      </c>
      <c r="G515">
        <v>116700</v>
      </c>
      <c r="H515" t="s">
        <v>45</v>
      </c>
      <c r="I515" t="s">
        <v>39</v>
      </c>
      <c r="J515" t="s">
        <v>132</v>
      </c>
      <c r="K515" t="s">
        <v>23</v>
      </c>
      <c r="L515" t="s">
        <v>100</v>
      </c>
      <c r="M515" t="s">
        <v>101</v>
      </c>
      <c r="N515" t="s">
        <v>102</v>
      </c>
      <c r="O515" t="s">
        <v>27</v>
      </c>
      <c r="P515" s="1">
        <v>44795</v>
      </c>
      <c r="Q515">
        <f t="shared" si="40"/>
        <v>1</v>
      </c>
      <c r="R515">
        <f t="shared" si="41"/>
        <v>0</v>
      </c>
      <c r="S515">
        <f t="shared" si="42"/>
        <v>0</v>
      </c>
      <c r="T515" s="11">
        <f t="shared" si="43"/>
        <v>2021</v>
      </c>
      <c r="U515" s="11">
        <f t="shared" si="44"/>
        <v>5583</v>
      </c>
    </row>
    <row r="516" spans="1:21" x14ac:dyDescent="0.3">
      <c r="A516" t="s">
        <v>988</v>
      </c>
      <c r="B516">
        <v>2021</v>
      </c>
      <c r="C516" t="s">
        <v>37</v>
      </c>
      <c r="D516" t="s">
        <v>53</v>
      </c>
      <c r="E516">
        <v>8910</v>
      </c>
      <c r="F516" t="s">
        <v>131</v>
      </c>
      <c r="G516">
        <v>122900</v>
      </c>
      <c r="H516" t="s">
        <v>53</v>
      </c>
      <c r="I516" t="s">
        <v>39</v>
      </c>
      <c r="J516" t="s">
        <v>598</v>
      </c>
      <c r="K516" t="s">
        <v>23</v>
      </c>
      <c r="L516" t="s">
        <v>330</v>
      </c>
      <c r="M516" t="s">
        <v>42</v>
      </c>
      <c r="N516" t="s">
        <v>26</v>
      </c>
      <c r="O516" t="s">
        <v>27</v>
      </c>
      <c r="P516" s="1">
        <v>44795</v>
      </c>
      <c r="Q516">
        <f t="shared" si="40"/>
        <v>1</v>
      </c>
      <c r="R516">
        <f t="shared" si="41"/>
        <v>0</v>
      </c>
      <c r="S516">
        <f t="shared" si="42"/>
        <v>0</v>
      </c>
      <c r="T516" s="11">
        <f t="shared" si="43"/>
        <v>2021</v>
      </c>
      <c r="U516" s="11">
        <f t="shared" si="44"/>
        <v>8910</v>
      </c>
    </row>
    <row r="517" spans="1:21" x14ac:dyDescent="0.3">
      <c r="A517" t="s">
        <v>989</v>
      </c>
      <c r="B517">
        <v>2019</v>
      </c>
      <c r="C517" t="s">
        <v>37</v>
      </c>
      <c r="D517" t="s">
        <v>53</v>
      </c>
      <c r="E517">
        <v>30397</v>
      </c>
      <c r="F517" t="s">
        <v>98</v>
      </c>
      <c r="G517">
        <v>93400</v>
      </c>
      <c r="H517" t="s">
        <v>53</v>
      </c>
      <c r="I517" t="s">
        <v>78</v>
      </c>
      <c r="J517" t="s">
        <v>990</v>
      </c>
      <c r="K517" t="s">
        <v>23</v>
      </c>
      <c r="L517" t="s">
        <v>84</v>
      </c>
      <c r="M517" t="s">
        <v>48</v>
      </c>
      <c r="N517" t="s">
        <v>69</v>
      </c>
      <c r="O517" t="s">
        <v>27</v>
      </c>
      <c r="P517" s="1">
        <v>44795</v>
      </c>
      <c r="Q517">
        <f t="shared" si="40"/>
        <v>1</v>
      </c>
      <c r="R517">
        <f t="shared" si="41"/>
        <v>0</v>
      </c>
      <c r="S517">
        <f t="shared" si="42"/>
        <v>0</v>
      </c>
      <c r="T517" s="11">
        <f t="shared" si="43"/>
        <v>2019</v>
      </c>
      <c r="U517" s="11">
        <f t="shared" si="44"/>
        <v>30397</v>
      </c>
    </row>
    <row r="518" spans="1:21" x14ac:dyDescent="0.3">
      <c r="A518" t="s">
        <v>991</v>
      </c>
      <c r="B518">
        <v>2021</v>
      </c>
      <c r="C518" t="s">
        <v>29</v>
      </c>
      <c r="D518" t="s">
        <v>32</v>
      </c>
      <c r="E518">
        <v>20676</v>
      </c>
      <c r="F518" t="s">
        <v>177</v>
      </c>
      <c r="G518">
        <v>105000</v>
      </c>
      <c r="H518" t="s">
        <v>53</v>
      </c>
      <c r="I518" t="s">
        <v>21</v>
      </c>
      <c r="J518" t="s">
        <v>992</v>
      </c>
      <c r="K518" t="s">
        <v>23</v>
      </c>
      <c r="L518" t="s">
        <v>183</v>
      </c>
      <c r="M518" t="s">
        <v>25</v>
      </c>
      <c r="N518" t="s">
        <v>26</v>
      </c>
      <c r="O518" t="s">
        <v>27</v>
      </c>
      <c r="P518" s="1">
        <v>44795</v>
      </c>
      <c r="Q518">
        <f t="shared" si="40"/>
        <v>0</v>
      </c>
      <c r="R518">
        <f t="shared" si="41"/>
        <v>1</v>
      </c>
      <c r="S518">
        <f t="shared" si="42"/>
        <v>0</v>
      </c>
      <c r="T518" s="11">
        <f t="shared" si="43"/>
        <v>2021</v>
      </c>
      <c r="U518" s="11">
        <f t="shared" si="44"/>
        <v>20676</v>
      </c>
    </row>
    <row r="519" spans="1:21" x14ac:dyDescent="0.3">
      <c r="A519" t="s">
        <v>993</v>
      </c>
      <c r="B519">
        <v>2018</v>
      </c>
      <c r="C519" t="s">
        <v>56</v>
      </c>
      <c r="D519" t="s">
        <v>53</v>
      </c>
      <c r="E519">
        <v>39415</v>
      </c>
      <c r="F519" t="s">
        <v>234</v>
      </c>
      <c r="G519">
        <v>48600</v>
      </c>
      <c r="H519" t="s">
        <v>20</v>
      </c>
      <c r="I519" t="s">
        <v>58</v>
      </c>
      <c r="J519" t="s">
        <v>579</v>
      </c>
      <c r="K519" t="s">
        <v>23</v>
      </c>
      <c r="L519" t="s">
        <v>84</v>
      </c>
      <c r="M519" t="s">
        <v>48</v>
      </c>
      <c r="N519" t="s">
        <v>69</v>
      </c>
      <c r="O519" t="s">
        <v>27</v>
      </c>
      <c r="P519" s="1">
        <v>44795</v>
      </c>
      <c r="Q519">
        <f t="shared" si="40"/>
        <v>0</v>
      </c>
      <c r="R519">
        <f t="shared" si="41"/>
        <v>0</v>
      </c>
      <c r="S519">
        <f t="shared" si="42"/>
        <v>0</v>
      </c>
      <c r="T519" s="11">
        <f t="shared" si="43"/>
        <v>2018</v>
      </c>
      <c r="U519" s="11">
        <f t="shared" si="44"/>
        <v>39415</v>
      </c>
    </row>
    <row r="520" spans="1:21" x14ac:dyDescent="0.3">
      <c r="A520" t="s">
        <v>994</v>
      </c>
      <c r="B520">
        <v>2019</v>
      </c>
      <c r="C520" t="s">
        <v>29</v>
      </c>
      <c r="D520" t="s">
        <v>51</v>
      </c>
      <c r="E520">
        <v>44652</v>
      </c>
      <c r="F520" t="s">
        <v>177</v>
      </c>
      <c r="G520">
        <v>93400</v>
      </c>
      <c r="H520" t="s">
        <v>53</v>
      </c>
      <c r="I520" t="s">
        <v>110</v>
      </c>
      <c r="J520" t="s">
        <v>727</v>
      </c>
      <c r="K520" t="s">
        <v>23</v>
      </c>
      <c r="L520" t="s">
        <v>183</v>
      </c>
      <c r="M520" t="s">
        <v>25</v>
      </c>
      <c r="N520" t="s">
        <v>26</v>
      </c>
      <c r="O520" t="s">
        <v>27</v>
      </c>
      <c r="P520" s="1">
        <v>44795</v>
      </c>
      <c r="Q520">
        <f t="shared" si="40"/>
        <v>0</v>
      </c>
      <c r="R520">
        <f t="shared" si="41"/>
        <v>1</v>
      </c>
      <c r="S520">
        <f t="shared" si="42"/>
        <v>0</v>
      </c>
      <c r="T520" s="11">
        <f t="shared" si="43"/>
        <v>2019</v>
      </c>
      <c r="U520" s="11">
        <f t="shared" si="44"/>
        <v>44652</v>
      </c>
    </row>
    <row r="521" spans="1:21" x14ac:dyDescent="0.3">
      <c r="A521" t="s">
        <v>995</v>
      </c>
      <c r="B521">
        <v>2018</v>
      </c>
      <c r="C521" t="s">
        <v>56</v>
      </c>
      <c r="D521" t="s">
        <v>30</v>
      </c>
      <c r="E521">
        <v>66792</v>
      </c>
      <c r="F521" t="s">
        <v>71</v>
      </c>
      <c r="G521">
        <v>49400</v>
      </c>
      <c r="H521" t="s">
        <v>77</v>
      </c>
      <c r="I521" t="s">
        <v>21</v>
      </c>
      <c r="J521" t="s">
        <v>444</v>
      </c>
      <c r="K521" t="s">
        <v>23</v>
      </c>
      <c r="L521" t="s">
        <v>84</v>
      </c>
      <c r="M521" t="s">
        <v>48</v>
      </c>
      <c r="N521" t="s">
        <v>69</v>
      </c>
      <c r="O521" t="s">
        <v>27</v>
      </c>
      <c r="P521" s="1">
        <v>44795</v>
      </c>
      <c r="Q521">
        <f t="shared" si="40"/>
        <v>0</v>
      </c>
      <c r="R521">
        <f t="shared" si="41"/>
        <v>0</v>
      </c>
      <c r="S521">
        <f t="shared" si="42"/>
        <v>0</v>
      </c>
      <c r="T521" s="11">
        <f t="shared" si="43"/>
        <v>2018</v>
      </c>
      <c r="U521" s="11">
        <f t="shared" si="44"/>
        <v>66792</v>
      </c>
    </row>
    <row r="522" spans="1:21" x14ac:dyDescent="0.3">
      <c r="A522" t="s">
        <v>996</v>
      </c>
      <c r="B522">
        <v>2020</v>
      </c>
      <c r="C522" t="s">
        <v>56</v>
      </c>
      <c r="D522" t="s">
        <v>93</v>
      </c>
      <c r="E522">
        <v>25159</v>
      </c>
      <c r="F522" t="s">
        <v>71</v>
      </c>
      <c r="G522">
        <v>57600</v>
      </c>
      <c r="H522" t="s">
        <v>20</v>
      </c>
      <c r="I522" t="s">
        <v>78</v>
      </c>
      <c r="J522" t="s">
        <v>290</v>
      </c>
      <c r="K522" t="s">
        <v>23</v>
      </c>
      <c r="L522" t="s">
        <v>24</v>
      </c>
      <c r="M522" t="s">
        <v>25</v>
      </c>
      <c r="N522" t="s">
        <v>26</v>
      </c>
      <c r="O522" t="s">
        <v>27</v>
      </c>
      <c r="P522" s="1">
        <v>44795</v>
      </c>
      <c r="Q522">
        <f t="shared" si="40"/>
        <v>0</v>
      </c>
      <c r="R522">
        <f t="shared" si="41"/>
        <v>0</v>
      </c>
      <c r="S522">
        <f t="shared" si="42"/>
        <v>0</v>
      </c>
      <c r="T522" s="11">
        <f t="shared" si="43"/>
        <v>2020</v>
      </c>
      <c r="U522" s="11">
        <f t="shared" si="44"/>
        <v>25159</v>
      </c>
    </row>
    <row r="523" spans="1:21" x14ac:dyDescent="0.3">
      <c r="A523" t="s">
        <v>997</v>
      </c>
      <c r="B523">
        <v>2019</v>
      </c>
      <c r="C523" t="s">
        <v>56</v>
      </c>
      <c r="D523" t="s">
        <v>53</v>
      </c>
      <c r="E523">
        <v>65643</v>
      </c>
      <c r="F523" t="s">
        <v>71</v>
      </c>
      <c r="G523">
        <v>54800</v>
      </c>
      <c r="H523" t="s">
        <v>77</v>
      </c>
      <c r="I523" t="s">
        <v>21</v>
      </c>
      <c r="J523" t="s">
        <v>496</v>
      </c>
      <c r="K523" t="s">
        <v>23</v>
      </c>
      <c r="L523" t="s">
        <v>60</v>
      </c>
      <c r="M523" t="s">
        <v>48</v>
      </c>
      <c r="N523" t="s">
        <v>49</v>
      </c>
      <c r="O523" t="s">
        <v>27</v>
      </c>
      <c r="P523" s="1">
        <v>44795</v>
      </c>
      <c r="Q523">
        <f t="shared" si="40"/>
        <v>0</v>
      </c>
      <c r="R523">
        <f t="shared" si="41"/>
        <v>0</v>
      </c>
      <c r="S523">
        <f t="shared" si="42"/>
        <v>0</v>
      </c>
      <c r="T523" s="11">
        <f t="shared" si="43"/>
        <v>2019</v>
      </c>
      <c r="U523" s="11">
        <f t="shared" si="44"/>
        <v>65643</v>
      </c>
    </row>
    <row r="524" spans="1:21" x14ac:dyDescent="0.3">
      <c r="A524" t="s">
        <v>998</v>
      </c>
      <c r="B524">
        <v>2019</v>
      </c>
      <c r="C524" t="s">
        <v>56</v>
      </c>
      <c r="D524" t="s">
        <v>32</v>
      </c>
      <c r="E524">
        <v>36382</v>
      </c>
      <c r="F524" t="s">
        <v>71</v>
      </c>
      <c r="G524">
        <v>56400</v>
      </c>
      <c r="H524" t="s">
        <v>77</v>
      </c>
      <c r="I524" t="s">
        <v>21</v>
      </c>
      <c r="J524" t="s">
        <v>121</v>
      </c>
      <c r="K524" t="s">
        <v>23</v>
      </c>
      <c r="L524" t="s">
        <v>47</v>
      </c>
      <c r="M524" t="s">
        <v>48</v>
      </c>
      <c r="N524" t="s">
        <v>49</v>
      </c>
      <c r="O524" t="s">
        <v>27</v>
      </c>
      <c r="P524" s="1">
        <v>44795</v>
      </c>
      <c r="Q524">
        <f t="shared" si="40"/>
        <v>0</v>
      </c>
      <c r="R524">
        <f t="shared" si="41"/>
        <v>0</v>
      </c>
      <c r="S524">
        <f t="shared" si="42"/>
        <v>0</v>
      </c>
      <c r="T524" s="11">
        <f t="shared" si="43"/>
        <v>2019</v>
      </c>
      <c r="U524" s="11">
        <f t="shared" si="44"/>
        <v>36382</v>
      </c>
    </row>
    <row r="525" spans="1:21" x14ac:dyDescent="0.3">
      <c r="A525" t="s">
        <v>999</v>
      </c>
      <c r="B525">
        <v>2019</v>
      </c>
      <c r="C525" t="s">
        <v>56</v>
      </c>
      <c r="D525" t="s">
        <v>30</v>
      </c>
      <c r="E525">
        <v>24111</v>
      </c>
      <c r="F525" t="s">
        <v>57</v>
      </c>
      <c r="G525">
        <v>58500</v>
      </c>
      <c r="H525" t="s">
        <v>77</v>
      </c>
      <c r="I525" t="s">
        <v>58</v>
      </c>
      <c r="J525" t="s">
        <v>284</v>
      </c>
      <c r="K525" t="s">
        <v>23</v>
      </c>
      <c r="L525" t="s">
        <v>84</v>
      </c>
      <c r="M525" t="s">
        <v>48</v>
      </c>
      <c r="N525" t="s">
        <v>69</v>
      </c>
      <c r="O525" t="s">
        <v>27</v>
      </c>
      <c r="P525" s="1">
        <v>44795</v>
      </c>
      <c r="Q525">
        <f t="shared" si="40"/>
        <v>0</v>
      </c>
      <c r="R525">
        <f t="shared" si="41"/>
        <v>0</v>
      </c>
      <c r="S525">
        <f t="shared" si="42"/>
        <v>0</v>
      </c>
      <c r="T525" s="11">
        <f t="shared" si="43"/>
        <v>2019</v>
      </c>
      <c r="U525" s="11">
        <f t="shared" si="44"/>
        <v>24111</v>
      </c>
    </row>
    <row r="526" spans="1:21" x14ac:dyDescent="0.3">
      <c r="A526" t="s">
        <v>1000</v>
      </c>
      <c r="B526">
        <v>2019</v>
      </c>
      <c r="C526" t="s">
        <v>56</v>
      </c>
      <c r="D526" t="s">
        <v>30</v>
      </c>
      <c r="E526">
        <v>13214</v>
      </c>
      <c r="F526" t="s">
        <v>57</v>
      </c>
      <c r="G526">
        <v>58600</v>
      </c>
      <c r="H526" t="s">
        <v>20</v>
      </c>
      <c r="I526" t="s">
        <v>78</v>
      </c>
      <c r="J526" t="s">
        <v>124</v>
      </c>
      <c r="K526" t="s">
        <v>23</v>
      </c>
      <c r="N526" t="s">
        <v>63</v>
      </c>
      <c r="O526" t="s">
        <v>27</v>
      </c>
      <c r="P526" s="1">
        <v>44795</v>
      </c>
      <c r="Q526">
        <f t="shared" si="40"/>
        <v>0</v>
      </c>
      <c r="R526">
        <f t="shared" si="41"/>
        <v>0</v>
      </c>
      <c r="S526">
        <f t="shared" si="42"/>
        <v>0</v>
      </c>
      <c r="T526" s="11">
        <f t="shared" si="43"/>
        <v>2019</v>
      </c>
      <c r="U526" s="11">
        <f t="shared" si="44"/>
        <v>13214</v>
      </c>
    </row>
    <row r="527" spans="1:21" x14ac:dyDescent="0.3">
      <c r="A527" t="s">
        <v>1001</v>
      </c>
      <c r="B527">
        <v>2017</v>
      </c>
      <c r="C527" t="s">
        <v>29</v>
      </c>
      <c r="D527" t="s">
        <v>53</v>
      </c>
      <c r="E527">
        <v>36190</v>
      </c>
      <c r="F527" t="s">
        <v>104</v>
      </c>
      <c r="G527">
        <v>72600</v>
      </c>
      <c r="H527" t="s">
        <v>32</v>
      </c>
      <c r="I527" t="s">
        <v>110</v>
      </c>
      <c r="J527" t="s">
        <v>1002</v>
      </c>
      <c r="K527" t="s">
        <v>23</v>
      </c>
      <c r="L527" t="s">
        <v>47</v>
      </c>
      <c r="M527" t="s">
        <v>48</v>
      </c>
      <c r="N527" t="s">
        <v>49</v>
      </c>
      <c r="O527" t="s">
        <v>27</v>
      </c>
      <c r="P527" s="1">
        <v>44795</v>
      </c>
      <c r="Q527">
        <f t="shared" si="40"/>
        <v>0</v>
      </c>
      <c r="R527">
        <f t="shared" si="41"/>
        <v>1</v>
      </c>
      <c r="S527">
        <f t="shared" si="42"/>
        <v>0</v>
      </c>
      <c r="T527" s="11">
        <f t="shared" si="43"/>
        <v>2017</v>
      </c>
      <c r="U527" s="11">
        <f t="shared" si="44"/>
        <v>36190</v>
      </c>
    </row>
    <row r="528" spans="1:21" x14ac:dyDescent="0.3">
      <c r="A528" t="s">
        <v>1003</v>
      </c>
      <c r="B528">
        <v>2018</v>
      </c>
      <c r="C528" t="s">
        <v>29</v>
      </c>
      <c r="D528" t="s">
        <v>18</v>
      </c>
      <c r="E528">
        <v>31638</v>
      </c>
      <c r="F528" t="s">
        <v>52</v>
      </c>
      <c r="G528">
        <v>81700</v>
      </c>
      <c r="H528" t="s">
        <v>32</v>
      </c>
      <c r="I528" t="s">
        <v>21</v>
      </c>
      <c r="J528" t="s">
        <v>1004</v>
      </c>
      <c r="K528" t="s">
        <v>23</v>
      </c>
      <c r="L528" t="s">
        <v>768</v>
      </c>
      <c r="M528" t="s">
        <v>68</v>
      </c>
      <c r="N528" t="s">
        <v>69</v>
      </c>
      <c r="O528" t="s">
        <v>27</v>
      </c>
      <c r="P528" s="1">
        <v>44795</v>
      </c>
      <c r="Q528">
        <f t="shared" si="40"/>
        <v>0</v>
      </c>
      <c r="R528">
        <f t="shared" si="41"/>
        <v>1</v>
      </c>
      <c r="S528">
        <f t="shared" si="42"/>
        <v>0</v>
      </c>
      <c r="T528" s="11">
        <f t="shared" si="43"/>
        <v>2018</v>
      </c>
      <c r="U528" s="11">
        <f t="shared" si="44"/>
        <v>31638</v>
      </c>
    </row>
    <row r="529" spans="1:21" x14ac:dyDescent="0.3">
      <c r="A529" t="s">
        <v>1005</v>
      </c>
      <c r="B529">
        <v>2019</v>
      </c>
      <c r="C529" t="s">
        <v>56</v>
      </c>
      <c r="D529" t="s">
        <v>53</v>
      </c>
      <c r="E529">
        <v>16352</v>
      </c>
      <c r="F529" t="s">
        <v>65</v>
      </c>
      <c r="G529">
        <v>50200</v>
      </c>
      <c r="H529" t="s">
        <v>20</v>
      </c>
      <c r="I529" t="s">
        <v>78</v>
      </c>
      <c r="J529" t="s">
        <v>534</v>
      </c>
      <c r="K529" t="s">
        <v>23</v>
      </c>
      <c r="L529" t="s">
        <v>183</v>
      </c>
      <c r="M529" t="s">
        <v>25</v>
      </c>
      <c r="N529" t="s">
        <v>26</v>
      </c>
      <c r="O529" t="s">
        <v>27</v>
      </c>
      <c r="P529" s="1">
        <v>44794</v>
      </c>
      <c r="Q529">
        <f t="shared" si="40"/>
        <v>0</v>
      </c>
      <c r="R529">
        <f t="shared" si="41"/>
        <v>0</v>
      </c>
      <c r="S529">
        <f t="shared" si="42"/>
        <v>0</v>
      </c>
      <c r="T529" s="11">
        <f t="shared" si="43"/>
        <v>2019</v>
      </c>
      <c r="U529" s="11">
        <f t="shared" si="44"/>
        <v>16352</v>
      </c>
    </row>
    <row r="530" spans="1:21" x14ac:dyDescent="0.3">
      <c r="A530" t="s">
        <v>1006</v>
      </c>
      <c r="B530">
        <v>2019</v>
      </c>
      <c r="C530" t="s">
        <v>56</v>
      </c>
      <c r="D530" t="s">
        <v>32</v>
      </c>
      <c r="E530">
        <v>25052</v>
      </c>
      <c r="F530" t="s">
        <v>57</v>
      </c>
      <c r="G530">
        <v>58200</v>
      </c>
      <c r="H530" t="s">
        <v>77</v>
      </c>
      <c r="I530" t="s">
        <v>78</v>
      </c>
      <c r="J530" t="s">
        <v>650</v>
      </c>
      <c r="K530" t="s">
        <v>23</v>
      </c>
      <c r="L530" t="s">
        <v>425</v>
      </c>
      <c r="M530" t="s">
        <v>426</v>
      </c>
      <c r="N530" t="s">
        <v>427</v>
      </c>
      <c r="O530" t="s">
        <v>27</v>
      </c>
      <c r="P530" s="1">
        <v>44794</v>
      </c>
      <c r="Q530">
        <f t="shared" si="40"/>
        <v>0</v>
      </c>
      <c r="R530">
        <f t="shared" si="41"/>
        <v>0</v>
      </c>
      <c r="S530">
        <f t="shared" si="42"/>
        <v>0</v>
      </c>
      <c r="T530" s="11">
        <f t="shared" si="43"/>
        <v>2019</v>
      </c>
      <c r="U530" s="11">
        <f t="shared" si="44"/>
        <v>25052</v>
      </c>
    </row>
    <row r="531" spans="1:21" x14ac:dyDescent="0.3">
      <c r="A531" t="s">
        <v>1007</v>
      </c>
      <c r="B531">
        <v>2020</v>
      </c>
      <c r="C531" t="s">
        <v>29</v>
      </c>
      <c r="D531" t="s">
        <v>32</v>
      </c>
      <c r="E531">
        <v>34734</v>
      </c>
      <c r="F531" t="s">
        <v>177</v>
      </c>
      <c r="G531">
        <v>98300</v>
      </c>
      <c r="H531" t="s">
        <v>53</v>
      </c>
      <c r="I531" t="s">
        <v>110</v>
      </c>
      <c r="J531" t="s">
        <v>1008</v>
      </c>
      <c r="K531" t="s">
        <v>23</v>
      </c>
      <c r="L531" t="s">
        <v>34</v>
      </c>
      <c r="N531" t="s">
        <v>35</v>
      </c>
      <c r="O531" t="s">
        <v>27</v>
      </c>
      <c r="P531" s="1">
        <v>44794</v>
      </c>
      <c r="Q531">
        <f t="shared" si="40"/>
        <v>0</v>
      </c>
      <c r="R531">
        <f t="shared" si="41"/>
        <v>1</v>
      </c>
      <c r="S531">
        <f t="shared" si="42"/>
        <v>0</v>
      </c>
      <c r="T531" s="11">
        <f t="shared" si="43"/>
        <v>2020</v>
      </c>
      <c r="U531" s="11">
        <f t="shared" si="44"/>
        <v>34734</v>
      </c>
    </row>
    <row r="532" spans="1:21" x14ac:dyDescent="0.3">
      <c r="A532" t="s">
        <v>1009</v>
      </c>
      <c r="B532">
        <v>2020</v>
      </c>
      <c r="C532" t="s">
        <v>56</v>
      </c>
      <c r="D532" t="s">
        <v>32</v>
      </c>
      <c r="E532">
        <v>28328</v>
      </c>
      <c r="F532" t="s">
        <v>57</v>
      </c>
      <c r="G532">
        <v>57100</v>
      </c>
      <c r="H532" t="s">
        <v>20</v>
      </c>
      <c r="I532" t="s">
        <v>78</v>
      </c>
      <c r="J532" t="s">
        <v>275</v>
      </c>
      <c r="K532" t="s">
        <v>23</v>
      </c>
      <c r="L532" t="s">
        <v>345</v>
      </c>
      <c r="M532" t="s">
        <v>48</v>
      </c>
      <c r="N532" t="s">
        <v>69</v>
      </c>
      <c r="O532" t="s">
        <v>27</v>
      </c>
      <c r="P532" s="1">
        <v>44794</v>
      </c>
      <c r="Q532">
        <f t="shared" si="40"/>
        <v>0</v>
      </c>
      <c r="R532">
        <f t="shared" si="41"/>
        <v>0</v>
      </c>
      <c r="S532">
        <f t="shared" si="42"/>
        <v>0</v>
      </c>
      <c r="T532" s="11">
        <f t="shared" si="43"/>
        <v>2020</v>
      </c>
      <c r="U532" s="11">
        <f t="shared" si="44"/>
        <v>28328</v>
      </c>
    </row>
    <row r="533" spans="1:21" x14ac:dyDescent="0.3">
      <c r="A533" t="s">
        <v>1010</v>
      </c>
      <c r="B533">
        <v>2020</v>
      </c>
      <c r="C533" t="s">
        <v>56</v>
      </c>
      <c r="D533" t="s">
        <v>32</v>
      </c>
      <c r="E533">
        <v>26278</v>
      </c>
      <c r="F533" t="s">
        <v>65</v>
      </c>
      <c r="G533">
        <v>47000</v>
      </c>
      <c r="H533" t="s">
        <v>20</v>
      </c>
      <c r="I533" t="s">
        <v>58</v>
      </c>
      <c r="J533" t="s">
        <v>192</v>
      </c>
      <c r="K533" t="s">
        <v>23</v>
      </c>
      <c r="L533" t="s">
        <v>371</v>
      </c>
      <c r="M533" t="s">
        <v>48</v>
      </c>
      <c r="N533" t="s">
        <v>49</v>
      </c>
      <c r="O533" t="s">
        <v>27</v>
      </c>
      <c r="P533" s="1">
        <v>44794</v>
      </c>
      <c r="Q533">
        <f t="shared" si="40"/>
        <v>0</v>
      </c>
      <c r="R533">
        <f t="shared" si="41"/>
        <v>0</v>
      </c>
      <c r="S533">
        <f t="shared" si="42"/>
        <v>0</v>
      </c>
      <c r="T533" s="11">
        <f t="shared" si="43"/>
        <v>2020</v>
      </c>
      <c r="U533" s="11">
        <f t="shared" si="44"/>
        <v>26278</v>
      </c>
    </row>
    <row r="534" spans="1:21" x14ac:dyDescent="0.3">
      <c r="A534" t="s">
        <v>1011</v>
      </c>
      <c r="B534">
        <v>2020</v>
      </c>
      <c r="C534" t="s">
        <v>56</v>
      </c>
      <c r="D534" t="s">
        <v>30</v>
      </c>
      <c r="E534">
        <v>21127</v>
      </c>
      <c r="F534" t="s">
        <v>65</v>
      </c>
      <c r="G534">
        <v>56400</v>
      </c>
      <c r="H534" t="s">
        <v>20</v>
      </c>
      <c r="I534" t="s">
        <v>58</v>
      </c>
      <c r="J534" t="s">
        <v>774</v>
      </c>
      <c r="K534" t="s">
        <v>23</v>
      </c>
      <c r="L534" t="s">
        <v>84</v>
      </c>
      <c r="M534" t="s">
        <v>48</v>
      </c>
      <c r="N534" t="s">
        <v>69</v>
      </c>
      <c r="O534" t="s">
        <v>27</v>
      </c>
      <c r="P534" s="1">
        <v>44794</v>
      </c>
      <c r="Q534">
        <f t="shared" si="40"/>
        <v>0</v>
      </c>
      <c r="R534">
        <f t="shared" si="41"/>
        <v>0</v>
      </c>
      <c r="S534">
        <f t="shared" si="42"/>
        <v>0</v>
      </c>
      <c r="T534" s="11">
        <f t="shared" si="43"/>
        <v>2020</v>
      </c>
      <c r="U534" s="11">
        <f t="shared" si="44"/>
        <v>21127</v>
      </c>
    </row>
    <row r="535" spans="1:21" x14ac:dyDescent="0.3">
      <c r="A535" t="s">
        <v>1012</v>
      </c>
      <c r="B535">
        <v>2019</v>
      </c>
      <c r="C535" t="s">
        <v>56</v>
      </c>
      <c r="D535" t="s">
        <v>32</v>
      </c>
      <c r="E535">
        <v>18758</v>
      </c>
      <c r="F535" t="s">
        <v>57</v>
      </c>
      <c r="G535">
        <v>55800</v>
      </c>
      <c r="H535" t="s">
        <v>20</v>
      </c>
      <c r="I535" t="s">
        <v>78</v>
      </c>
      <c r="J535" t="s">
        <v>275</v>
      </c>
      <c r="K535" t="s">
        <v>23</v>
      </c>
      <c r="L535" t="s">
        <v>24</v>
      </c>
      <c r="M535" t="s">
        <v>25</v>
      </c>
      <c r="N535" t="s">
        <v>26</v>
      </c>
      <c r="O535" t="s">
        <v>27</v>
      </c>
      <c r="P535" s="1">
        <v>44794</v>
      </c>
      <c r="Q535">
        <f t="shared" si="40"/>
        <v>0</v>
      </c>
      <c r="R535">
        <f t="shared" si="41"/>
        <v>0</v>
      </c>
      <c r="S535">
        <f t="shared" si="42"/>
        <v>0</v>
      </c>
      <c r="T535" s="11">
        <f t="shared" si="43"/>
        <v>2019</v>
      </c>
      <c r="U535" s="11">
        <f t="shared" si="44"/>
        <v>18758</v>
      </c>
    </row>
    <row r="536" spans="1:21" x14ac:dyDescent="0.3">
      <c r="A536" t="s">
        <v>1013</v>
      </c>
      <c r="B536">
        <v>2019</v>
      </c>
      <c r="C536" t="s">
        <v>56</v>
      </c>
      <c r="D536" t="s">
        <v>30</v>
      </c>
      <c r="E536">
        <v>31056</v>
      </c>
      <c r="F536" t="s">
        <v>57</v>
      </c>
      <c r="G536">
        <v>56000</v>
      </c>
      <c r="H536" t="s">
        <v>20</v>
      </c>
      <c r="I536" t="s">
        <v>58</v>
      </c>
      <c r="J536" t="s">
        <v>413</v>
      </c>
      <c r="K536" t="s">
        <v>23</v>
      </c>
      <c r="L536" t="s">
        <v>84</v>
      </c>
      <c r="M536" t="s">
        <v>48</v>
      </c>
      <c r="N536" t="s">
        <v>69</v>
      </c>
      <c r="O536" t="s">
        <v>27</v>
      </c>
      <c r="P536" s="1">
        <v>44794</v>
      </c>
      <c r="Q536">
        <f t="shared" si="40"/>
        <v>0</v>
      </c>
      <c r="R536">
        <f t="shared" si="41"/>
        <v>0</v>
      </c>
      <c r="S536">
        <f t="shared" si="42"/>
        <v>0</v>
      </c>
      <c r="T536" s="11">
        <f t="shared" si="43"/>
        <v>2019</v>
      </c>
      <c r="U536" s="11">
        <f t="shared" si="44"/>
        <v>31056</v>
      </c>
    </row>
    <row r="537" spans="1:21" x14ac:dyDescent="0.3">
      <c r="A537" t="s">
        <v>1014</v>
      </c>
      <c r="B537">
        <v>2021</v>
      </c>
      <c r="C537" t="s">
        <v>56</v>
      </c>
      <c r="D537" t="s">
        <v>53</v>
      </c>
      <c r="E537">
        <v>11300</v>
      </c>
      <c r="F537" t="s">
        <v>57</v>
      </c>
      <c r="G537">
        <v>65300</v>
      </c>
      <c r="H537" t="s">
        <v>20</v>
      </c>
      <c r="I537" t="s">
        <v>58</v>
      </c>
      <c r="J537" t="s">
        <v>59</v>
      </c>
      <c r="K537" t="s">
        <v>23</v>
      </c>
      <c r="L537" t="s">
        <v>193</v>
      </c>
      <c r="M537" t="s">
        <v>194</v>
      </c>
      <c r="N537" t="s">
        <v>26</v>
      </c>
      <c r="O537" t="s">
        <v>27</v>
      </c>
      <c r="P537" s="1">
        <v>44794</v>
      </c>
      <c r="Q537">
        <f t="shared" si="40"/>
        <v>0</v>
      </c>
      <c r="R537">
        <f t="shared" si="41"/>
        <v>0</v>
      </c>
      <c r="S537">
        <f t="shared" si="42"/>
        <v>0</v>
      </c>
      <c r="T537" s="11">
        <f t="shared" si="43"/>
        <v>2021</v>
      </c>
      <c r="U537" s="11">
        <f t="shared" si="44"/>
        <v>11300</v>
      </c>
    </row>
    <row r="538" spans="1:21" x14ac:dyDescent="0.3">
      <c r="A538" t="s">
        <v>1015</v>
      </c>
      <c r="B538">
        <v>2018</v>
      </c>
      <c r="C538" t="s">
        <v>56</v>
      </c>
      <c r="D538" t="s">
        <v>30</v>
      </c>
      <c r="E538">
        <v>25375</v>
      </c>
      <c r="F538" t="s">
        <v>71</v>
      </c>
      <c r="G538">
        <v>53400</v>
      </c>
      <c r="H538" t="s">
        <v>20</v>
      </c>
      <c r="I538" t="s">
        <v>21</v>
      </c>
      <c r="J538" t="s">
        <v>1016</v>
      </c>
      <c r="K538" t="s">
        <v>23</v>
      </c>
      <c r="L538" t="s">
        <v>84</v>
      </c>
      <c r="M538" t="s">
        <v>48</v>
      </c>
      <c r="N538" t="s">
        <v>69</v>
      </c>
      <c r="O538" t="s">
        <v>27</v>
      </c>
      <c r="P538" s="1">
        <v>44794</v>
      </c>
      <c r="Q538">
        <f t="shared" si="40"/>
        <v>0</v>
      </c>
      <c r="R538">
        <f t="shared" si="41"/>
        <v>0</v>
      </c>
      <c r="S538">
        <f t="shared" si="42"/>
        <v>0</v>
      </c>
      <c r="T538" s="11">
        <f t="shared" si="43"/>
        <v>2018</v>
      </c>
      <c r="U538" s="11">
        <f t="shared" si="44"/>
        <v>25375</v>
      </c>
    </row>
    <row r="539" spans="1:21" x14ac:dyDescent="0.3">
      <c r="A539" t="s">
        <v>1017</v>
      </c>
      <c r="B539">
        <v>2020</v>
      </c>
      <c r="C539" t="s">
        <v>56</v>
      </c>
      <c r="D539" t="s">
        <v>32</v>
      </c>
      <c r="E539">
        <v>20895</v>
      </c>
      <c r="F539" t="s">
        <v>65</v>
      </c>
      <c r="G539">
        <v>46800</v>
      </c>
      <c r="H539" t="s">
        <v>20</v>
      </c>
      <c r="I539" t="s">
        <v>58</v>
      </c>
      <c r="J539" t="s">
        <v>192</v>
      </c>
      <c r="K539" t="s">
        <v>23</v>
      </c>
      <c r="L539" t="s">
        <v>292</v>
      </c>
      <c r="M539" t="s">
        <v>172</v>
      </c>
      <c r="N539" t="s">
        <v>173</v>
      </c>
      <c r="O539" t="s">
        <v>27</v>
      </c>
      <c r="P539" s="1">
        <v>44794</v>
      </c>
      <c r="Q539">
        <f t="shared" si="40"/>
        <v>0</v>
      </c>
      <c r="R539">
        <f t="shared" si="41"/>
        <v>0</v>
      </c>
      <c r="S539">
        <f t="shared" si="42"/>
        <v>0</v>
      </c>
      <c r="T539" s="11">
        <f t="shared" si="43"/>
        <v>2020</v>
      </c>
      <c r="U539" s="11">
        <f t="shared" si="44"/>
        <v>20895</v>
      </c>
    </row>
    <row r="540" spans="1:21" x14ac:dyDescent="0.3">
      <c r="A540" t="s">
        <v>1018</v>
      </c>
      <c r="B540">
        <v>2019</v>
      </c>
      <c r="C540" t="s">
        <v>56</v>
      </c>
      <c r="D540" t="s">
        <v>32</v>
      </c>
      <c r="E540">
        <v>41735</v>
      </c>
      <c r="F540" t="s">
        <v>71</v>
      </c>
      <c r="G540">
        <v>51400</v>
      </c>
      <c r="H540" t="s">
        <v>20</v>
      </c>
      <c r="I540" t="s">
        <v>58</v>
      </c>
      <c r="J540" t="s">
        <v>373</v>
      </c>
      <c r="K540" t="s">
        <v>23</v>
      </c>
      <c r="L540" t="s">
        <v>47</v>
      </c>
      <c r="M540" t="s">
        <v>48</v>
      </c>
      <c r="N540" t="s">
        <v>49</v>
      </c>
      <c r="O540" t="s">
        <v>27</v>
      </c>
      <c r="P540" s="1">
        <v>44794</v>
      </c>
      <c r="Q540">
        <f t="shared" si="40"/>
        <v>0</v>
      </c>
      <c r="R540">
        <f t="shared" si="41"/>
        <v>0</v>
      </c>
      <c r="S540">
        <f t="shared" si="42"/>
        <v>0</v>
      </c>
      <c r="T540" s="11">
        <f t="shared" si="43"/>
        <v>2019</v>
      </c>
      <c r="U540" s="11">
        <f t="shared" si="44"/>
        <v>41735</v>
      </c>
    </row>
    <row r="541" spans="1:21" x14ac:dyDescent="0.3">
      <c r="A541" t="s">
        <v>1019</v>
      </c>
      <c r="B541">
        <v>2020</v>
      </c>
      <c r="C541" t="s">
        <v>17</v>
      </c>
      <c r="D541" t="s">
        <v>32</v>
      </c>
      <c r="E541">
        <v>44444</v>
      </c>
      <c r="F541" t="s">
        <v>207</v>
      </c>
      <c r="G541">
        <v>65300</v>
      </c>
      <c r="H541" t="s">
        <v>20</v>
      </c>
      <c r="I541" t="s">
        <v>21</v>
      </c>
      <c r="J541" t="s">
        <v>429</v>
      </c>
      <c r="K541" t="s">
        <v>23</v>
      </c>
      <c r="N541" t="s">
        <v>127</v>
      </c>
      <c r="O541" t="s">
        <v>27</v>
      </c>
      <c r="P541" s="1">
        <v>44794</v>
      </c>
      <c r="Q541">
        <f t="shared" si="40"/>
        <v>0</v>
      </c>
      <c r="R541">
        <f t="shared" si="41"/>
        <v>0</v>
      </c>
      <c r="S541">
        <f t="shared" si="42"/>
        <v>1</v>
      </c>
      <c r="T541" s="11">
        <f t="shared" si="43"/>
        <v>2020</v>
      </c>
      <c r="U541" s="11">
        <f t="shared" si="44"/>
        <v>44444</v>
      </c>
    </row>
    <row r="542" spans="1:21" x14ac:dyDescent="0.3">
      <c r="A542" t="s">
        <v>1020</v>
      </c>
      <c r="B542">
        <v>2019</v>
      </c>
      <c r="C542" t="s">
        <v>56</v>
      </c>
      <c r="D542" t="s">
        <v>30</v>
      </c>
      <c r="E542">
        <v>33221</v>
      </c>
      <c r="F542" t="s">
        <v>65</v>
      </c>
      <c r="G542">
        <v>49500</v>
      </c>
      <c r="H542" t="s">
        <v>20</v>
      </c>
      <c r="I542" t="s">
        <v>78</v>
      </c>
      <c r="J542" t="s">
        <v>840</v>
      </c>
      <c r="K542" t="s">
        <v>23</v>
      </c>
      <c r="L542" t="s">
        <v>87</v>
      </c>
      <c r="M542" t="s">
        <v>88</v>
      </c>
      <c r="N542" t="s">
        <v>89</v>
      </c>
      <c r="O542" t="s">
        <v>27</v>
      </c>
      <c r="P542" s="1">
        <v>44794</v>
      </c>
      <c r="Q542">
        <f t="shared" si="40"/>
        <v>0</v>
      </c>
      <c r="R542">
        <f t="shared" si="41"/>
        <v>0</v>
      </c>
      <c r="S542">
        <f t="shared" si="42"/>
        <v>0</v>
      </c>
      <c r="T542" s="11">
        <f t="shared" si="43"/>
        <v>2019</v>
      </c>
      <c r="U542" s="11">
        <f t="shared" si="44"/>
        <v>33221</v>
      </c>
    </row>
    <row r="543" spans="1:21" x14ac:dyDescent="0.3">
      <c r="A543" t="s">
        <v>1021</v>
      </c>
      <c r="B543">
        <v>2019</v>
      </c>
      <c r="C543" t="s">
        <v>56</v>
      </c>
      <c r="D543" t="s">
        <v>32</v>
      </c>
      <c r="E543">
        <v>43324</v>
      </c>
      <c r="F543" t="s">
        <v>65</v>
      </c>
      <c r="G543">
        <v>46700</v>
      </c>
      <c r="H543" t="s">
        <v>20</v>
      </c>
      <c r="I543" t="s">
        <v>78</v>
      </c>
      <c r="J543" t="s">
        <v>317</v>
      </c>
      <c r="K543" t="s">
        <v>23</v>
      </c>
      <c r="L543" t="s">
        <v>494</v>
      </c>
      <c r="M543" t="s">
        <v>113</v>
      </c>
      <c r="N543" t="s">
        <v>114</v>
      </c>
      <c r="O543" t="s">
        <v>27</v>
      </c>
      <c r="P543" s="1">
        <v>44794</v>
      </c>
      <c r="Q543">
        <f t="shared" si="40"/>
        <v>0</v>
      </c>
      <c r="R543">
        <f t="shared" si="41"/>
        <v>0</v>
      </c>
      <c r="S543">
        <f t="shared" si="42"/>
        <v>0</v>
      </c>
      <c r="T543" s="11">
        <f t="shared" si="43"/>
        <v>2019</v>
      </c>
      <c r="U543" s="11">
        <f t="shared" si="44"/>
        <v>43324</v>
      </c>
    </row>
    <row r="544" spans="1:21" x14ac:dyDescent="0.3">
      <c r="A544" t="s">
        <v>1022</v>
      </c>
      <c r="B544">
        <v>2018</v>
      </c>
      <c r="C544" t="s">
        <v>29</v>
      </c>
      <c r="D544" t="s">
        <v>32</v>
      </c>
      <c r="E544">
        <v>51168</v>
      </c>
      <c r="F544" t="s">
        <v>104</v>
      </c>
      <c r="G544">
        <v>75800</v>
      </c>
      <c r="H544" t="s">
        <v>53</v>
      </c>
      <c r="I544" t="s">
        <v>110</v>
      </c>
      <c r="J544" t="s">
        <v>1023</v>
      </c>
      <c r="K544" t="s">
        <v>23</v>
      </c>
      <c r="L544" t="s">
        <v>117</v>
      </c>
      <c r="M544" t="s">
        <v>118</v>
      </c>
      <c r="N544" t="s">
        <v>119</v>
      </c>
      <c r="O544" t="s">
        <v>27</v>
      </c>
      <c r="P544" s="1">
        <v>44794</v>
      </c>
      <c r="Q544">
        <f t="shared" si="40"/>
        <v>0</v>
      </c>
      <c r="R544">
        <f t="shared" si="41"/>
        <v>1</v>
      </c>
      <c r="S544">
        <f t="shared" si="42"/>
        <v>0</v>
      </c>
      <c r="T544" s="11">
        <f t="shared" si="43"/>
        <v>2018</v>
      </c>
      <c r="U544" s="11">
        <f t="shared" si="44"/>
        <v>51168</v>
      </c>
    </row>
    <row r="545" spans="1:21" x14ac:dyDescent="0.3">
      <c r="A545" t="s">
        <v>1024</v>
      </c>
      <c r="B545">
        <v>2020</v>
      </c>
      <c r="C545" t="s">
        <v>56</v>
      </c>
      <c r="D545" t="s">
        <v>53</v>
      </c>
      <c r="E545">
        <v>27518</v>
      </c>
      <c r="F545" t="s">
        <v>57</v>
      </c>
      <c r="G545">
        <v>58100</v>
      </c>
      <c r="H545" t="s">
        <v>20</v>
      </c>
      <c r="I545" t="s">
        <v>58</v>
      </c>
      <c r="J545" t="s">
        <v>59</v>
      </c>
      <c r="K545" t="s">
        <v>23</v>
      </c>
      <c r="L545" t="s">
        <v>494</v>
      </c>
      <c r="M545" t="s">
        <v>113</v>
      </c>
      <c r="N545" t="s">
        <v>114</v>
      </c>
      <c r="O545" t="s">
        <v>27</v>
      </c>
      <c r="P545" s="1">
        <v>44794</v>
      </c>
      <c r="Q545">
        <f t="shared" si="40"/>
        <v>0</v>
      </c>
      <c r="R545">
        <f t="shared" si="41"/>
        <v>0</v>
      </c>
      <c r="S545">
        <f t="shared" si="42"/>
        <v>0</v>
      </c>
      <c r="T545" s="11">
        <f t="shared" si="43"/>
        <v>2020</v>
      </c>
      <c r="U545" s="11">
        <f t="shared" si="44"/>
        <v>27518</v>
      </c>
    </row>
    <row r="546" spans="1:21" x14ac:dyDescent="0.3">
      <c r="A546" t="s">
        <v>1025</v>
      </c>
      <c r="B546">
        <v>2019</v>
      </c>
      <c r="C546" t="s">
        <v>56</v>
      </c>
      <c r="D546" t="s">
        <v>53</v>
      </c>
      <c r="E546">
        <v>53326</v>
      </c>
      <c r="F546" t="s">
        <v>57</v>
      </c>
      <c r="G546">
        <v>52500</v>
      </c>
      <c r="H546" t="s">
        <v>20</v>
      </c>
      <c r="I546" t="s">
        <v>78</v>
      </c>
      <c r="J546" t="s">
        <v>564</v>
      </c>
      <c r="K546" t="s">
        <v>23</v>
      </c>
      <c r="L546" t="s">
        <v>117</v>
      </c>
      <c r="M546" t="s">
        <v>118</v>
      </c>
      <c r="N546" t="s">
        <v>119</v>
      </c>
      <c r="O546" t="s">
        <v>27</v>
      </c>
      <c r="P546" s="1">
        <v>44794</v>
      </c>
      <c r="Q546">
        <f t="shared" si="40"/>
        <v>0</v>
      </c>
      <c r="R546">
        <f t="shared" si="41"/>
        <v>0</v>
      </c>
      <c r="S546">
        <f t="shared" si="42"/>
        <v>0</v>
      </c>
      <c r="T546" s="11">
        <f t="shared" si="43"/>
        <v>2019</v>
      </c>
      <c r="U546" s="11">
        <f t="shared" si="44"/>
        <v>53326</v>
      </c>
    </row>
    <row r="547" spans="1:21" x14ac:dyDescent="0.3">
      <c r="A547" t="s">
        <v>1026</v>
      </c>
      <c r="B547">
        <v>2019</v>
      </c>
      <c r="C547" t="s">
        <v>56</v>
      </c>
      <c r="D547" t="s">
        <v>76</v>
      </c>
      <c r="E547">
        <v>26814</v>
      </c>
      <c r="F547" t="s">
        <v>71</v>
      </c>
      <c r="G547">
        <v>56100</v>
      </c>
      <c r="H547" t="s">
        <v>77</v>
      </c>
      <c r="I547" t="s">
        <v>21</v>
      </c>
      <c r="J547" t="s">
        <v>146</v>
      </c>
      <c r="K547" t="s">
        <v>23</v>
      </c>
      <c r="L547" t="s">
        <v>129</v>
      </c>
      <c r="M547" t="s">
        <v>113</v>
      </c>
      <c r="N547" t="s">
        <v>114</v>
      </c>
      <c r="O547" t="s">
        <v>27</v>
      </c>
      <c r="P547" s="1">
        <v>44794</v>
      </c>
      <c r="Q547">
        <f t="shared" si="40"/>
        <v>0</v>
      </c>
      <c r="R547">
        <f t="shared" si="41"/>
        <v>0</v>
      </c>
      <c r="S547">
        <f t="shared" si="42"/>
        <v>0</v>
      </c>
      <c r="T547" s="11">
        <f t="shared" si="43"/>
        <v>2019</v>
      </c>
      <c r="U547" s="11">
        <f t="shared" si="44"/>
        <v>26814</v>
      </c>
    </row>
    <row r="548" spans="1:21" x14ac:dyDescent="0.3">
      <c r="A548" t="s">
        <v>1027</v>
      </c>
      <c r="B548">
        <v>2017</v>
      </c>
      <c r="C548" t="s">
        <v>29</v>
      </c>
      <c r="D548" t="s">
        <v>32</v>
      </c>
      <c r="E548">
        <v>35524</v>
      </c>
      <c r="F548" t="s">
        <v>52</v>
      </c>
      <c r="G548">
        <v>82900</v>
      </c>
      <c r="H548" t="s">
        <v>32</v>
      </c>
      <c r="I548" t="s">
        <v>110</v>
      </c>
      <c r="J548" t="s">
        <v>1028</v>
      </c>
      <c r="K548" t="s">
        <v>23</v>
      </c>
      <c r="L548" t="s">
        <v>494</v>
      </c>
      <c r="M548" t="s">
        <v>113</v>
      </c>
      <c r="N548" t="s">
        <v>114</v>
      </c>
      <c r="O548" t="s">
        <v>27</v>
      </c>
      <c r="P548" s="1">
        <v>44794</v>
      </c>
      <c r="Q548">
        <f t="shared" si="40"/>
        <v>0</v>
      </c>
      <c r="R548">
        <f t="shared" si="41"/>
        <v>1</v>
      </c>
      <c r="S548">
        <f t="shared" si="42"/>
        <v>0</v>
      </c>
      <c r="T548" s="11">
        <f t="shared" si="43"/>
        <v>2017</v>
      </c>
      <c r="U548" s="11">
        <f t="shared" si="44"/>
        <v>35524</v>
      </c>
    </row>
    <row r="549" spans="1:21" x14ac:dyDescent="0.3">
      <c r="A549" t="s">
        <v>1029</v>
      </c>
      <c r="B549">
        <v>2021</v>
      </c>
      <c r="C549" t="s">
        <v>29</v>
      </c>
      <c r="D549" t="s">
        <v>53</v>
      </c>
      <c r="E549">
        <v>35591</v>
      </c>
      <c r="F549" t="s">
        <v>177</v>
      </c>
      <c r="G549">
        <v>110800</v>
      </c>
      <c r="H549" t="s">
        <v>53</v>
      </c>
      <c r="I549" t="s">
        <v>110</v>
      </c>
      <c r="J549" t="s">
        <v>652</v>
      </c>
      <c r="K549" t="s">
        <v>23</v>
      </c>
      <c r="L549" t="s">
        <v>494</v>
      </c>
      <c r="M549" t="s">
        <v>113</v>
      </c>
      <c r="N549" t="s">
        <v>114</v>
      </c>
      <c r="O549" t="s">
        <v>27</v>
      </c>
      <c r="P549" s="1">
        <v>44794</v>
      </c>
      <c r="Q549">
        <f t="shared" si="40"/>
        <v>0</v>
      </c>
      <c r="R549">
        <f t="shared" si="41"/>
        <v>1</v>
      </c>
      <c r="S549">
        <f t="shared" si="42"/>
        <v>0</v>
      </c>
      <c r="T549" s="11">
        <f t="shared" si="43"/>
        <v>2021</v>
      </c>
      <c r="U549" s="11">
        <f t="shared" si="44"/>
        <v>35591</v>
      </c>
    </row>
    <row r="550" spans="1:21" x14ac:dyDescent="0.3">
      <c r="A550" t="s">
        <v>1030</v>
      </c>
      <c r="B550">
        <v>2017</v>
      </c>
      <c r="C550" t="s">
        <v>29</v>
      </c>
      <c r="D550" t="s">
        <v>51</v>
      </c>
      <c r="E550">
        <v>46989</v>
      </c>
      <c r="F550" t="s">
        <v>52</v>
      </c>
      <c r="G550">
        <v>79600</v>
      </c>
      <c r="H550" t="s">
        <v>32</v>
      </c>
      <c r="I550" t="s">
        <v>21</v>
      </c>
      <c r="J550" t="s">
        <v>1031</v>
      </c>
      <c r="K550" t="s">
        <v>23</v>
      </c>
      <c r="L550" t="s">
        <v>122</v>
      </c>
      <c r="M550" t="s">
        <v>113</v>
      </c>
      <c r="N550" t="s">
        <v>114</v>
      </c>
      <c r="O550" t="s">
        <v>27</v>
      </c>
      <c r="P550" s="1">
        <v>44794</v>
      </c>
      <c r="Q550">
        <f t="shared" si="40"/>
        <v>0</v>
      </c>
      <c r="R550">
        <f t="shared" si="41"/>
        <v>1</v>
      </c>
      <c r="S550">
        <f t="shared" si="42"/>
        <v>0</v>
      </c>
      <c r="T550" s="11">
        <f t="shared" si="43"/>
        <v>2017</v>
      </c>
      <c r="U550" s="11">
        <f t="shared" si="44"/>
        <v>46989</v>
      </c>
    </row>
    <row r="551" spans="1:21" x14ac:dyDescent="0.3">
      <c r="A551" t="s">
        <v>1032</v>
      </c>
      <c r="B551">
        <v>2021</v>
      </c>
      <c r="C551" t="s">
        <v>56</v>
      </c>
      <c r="D551" t="s">
        <v>32</v>
      </c>
      <c r="E551">
        <v>11780</v>
      </c>
      <c r="F551" t="s">
        <v>57</v>
      </c>
      <c r="G551">
        <v>69800</v>
      </c>
      <c r="H551" t="s">
        <v>77</v>
      </c>
      <c r="I551" t="s">
        <v>78</v>
      </c>
      <c r="J551" t="s">
        <v>650</v>
      </c>
      <c r="K551" t="s">
        <v>23</v>
      </c>
      <c r="L551" t="s">
        <v>117</v>
      </c>
      <c r="M551" t="s">
        <v>118</v>
      </c>
      <c r="N551" t="s">
        <v>119</v>
      </c>
      <c r="O551" t="s">
        <v>27</v>
      </c>
      <c r="P551" s="1">
        <v>44794</v>
      </c>
      <c r="Q551">
        <f t="shared" si="40"/>
        <v>0</v>
      </c>
      <c r="R551">
        <f t="shared" si="41"/>
        <v>0</v>
      </c>
      <c r="S551">
        <f t="shared" si="42"/>
        <v>0</v>
      </c>
      <c r="T551" s="11">
        <f t="shared" si="43"/>
        <v>2021</v>
      </c>
      <c r="U551" s="11">
        <f t="shared" si="44"/>
        <v>11780</v>
      </c>
    </row>
    <row r="552" spans="1:21" x14ac:dyDescent="0.3">
      <c r="A552" t="s">
        <v>1033</v>
      </c>
      <c r="B552">
        <v>2018</v>
      </c>
      <c r="C552" t="s">
        <v>56</v>
      </c>
      <c r="D552" t="s">
        <v>76</v>
      </c>
      <c r="E552">
        <v>49842</v>
      </c>
      <c r="F552" t="s">
        <v>57</v>
      </c>
      <c r="G552">
        <v>51000</v>
      </c>
      <c r="H552" t="s">
        <v>20</v>
      </c>
      <c r="I552" t="s">
        <v>58</v>
      </c>
      <c r="J552" t="s">
        <v>979</v>
      </c>
      <c r="K552" t="s">
        <v>23</v>
      </c>
      <c r="L552" t="s">
        <v>112</v>
      </c>
      <c r="M552" t="s">
        <v>113</v>
      </c>
      <c r="N552" t="s">
        <v>114</v>
      </c>
      <c r="O552" t="s">
        <v>27</v>
      </c>
      <c r="P552" s="1">
        <v>44794</v>
      </c>
      <c r="Q552">
        <f t="shared" si="40"/>
        <v>0</v>
      </c>
      <c r="R552">
        <f t="shared" si="41"/>
        <v>0</v>
      </c>
      <c r="S552">
        <f t="shared" si="42"/>
        <v>0</v>
      </c>
      <c r="T552" s="11">
        <f t="shared" si="43"/>
        <v>2018</v>
      </c>
      <c r="U552" s="11">
        <f t="shared" si="44"/>
        <v>49842</v>
      </c>
    </row>
    <row r="553" spans="1:21" x14ac:dyDescent="0.3">
      <c r="A553" t="s">
        <v>1034</v>
      </c>
      <c r="B553">
        <v>2019</v>
      </c>
      <c r="C553" t="s">
        <v>29</v>
      </c>
      <c r="D553" t="s">
        <v>32</v>
      </c>
      <c r="E553">
        <v>19317</v>
      </c>
      <c r="F553" t="s">
        <v>177</v>
      </c>
      <c r="G553">
        <v>96400</v>
      </c>
      <c r="H553" t="s">
        <v>32</v>
      </c>
      <c r="I553" t="s">
        <v>21</v>
      </c>
      <c r="J553" t="s">
        <v>1035</v>
      </c>
      <c r="K553" t="s">
        <v>23</v>
      </c>
      <c r="L553" t="s">
        <v>87</v>
      </c>
      <c r="M553" t="s">
        <v>88</v>
      </c>
      <c r="N553" t="s">
        <v>89</v>
      </c>
      <c r="O553" t="s">
        <v>27</v>
      </c>
      <c r="P553" s="1">
        <v>44794</v>
      </c>
      <c r="Q553">
        <f t="shared" si="40"/>
        <v>0</v>
      </c>
      <c r="R553">
        <f t="shared" si="41"/>
        <v>1</v>
      </c>
      <c r="S553">
        <f t="shared" si="42"/>
        <v>0</v>
      </c>
      <c r="T553" s="11">
        <f t="shared" si="43"/>
        <v>2019</v>
      </c>
      <c r="U553" s="11">
        <f t="shared" si="44"/>
        <v>19317</v>
      </c>
    </row>
    <row r="554" spans="1:21" x14ac:dyDescent="0.3">
      <c r="A554" t="s">
        <v>1036</v>
      </c>
      <c r="B554">
        <v>2019</v>
      </c>
      <c r="C554" t="s">
        <v>56</v>
      </c>
      <c r="D554" t="s">
        <v>32</v>
      </c>
      <c r="E554">
        <v>41396</v>
      </c>
      <c r="F554" t="s">
        <v>57</v>
      </c>
      <c r="G554">
        <v>54800</v>
      </c>
      <c r="H554" t="s">
        <v>20</v>
      </c>
      <c r="I554" t="s">
        <v>58</v>
      </c>
      <c r="J554" t="s">
        <v>168</v>
      </c>
      <c r="K554" t="s">
        <v>23</v>
      </c>
      <c r="L554" t="s">
        <v>494</v>
      </c>
      <c r="M554" t="s">
        <v>113</v>
      </c>
      <c r="N554" t="s">
        <v>114</v>
      </c>
      <c r="O554" t="s">
        <v>27</v>
      </c>
      <c r="P554" s="1">
        <v>44794</v>
      </c>
      <c r="Q554">
        <f t="shared" si="40"/>
        <v>0</v>
      </c>
      <c r="R554">
        <f t="shared" si="41"/>
        <v>0</v>
      </c>
      <c r="S554">
        <f t="shared" si="42"/>
        <v>0</v>
      </c>
      <c r="T554" s="11">
        <f t="shared" si="43"/>
        <v>2019</v>
      </c>
      <c r="U554" s="11">
        <f t="shared" si="44"/>
        <v>41396</v>
      </c>
    </row>
    <row r="555" spans="1:21" x14ac:dyDescent="0.3">
      <c r="A555" t="s">
        <v>1037</v>
      </c>
      <c r="B555">
        <v>2019</v>
      </c>
      <c r="C555" t="s">
        <v>56</v>
      </c>
      <c r="D555" t="s">
        <v>53</v>
      </c>
      <c r="E555">
        <v>27265</v>
      </c>
      <c r="F555" t="s">
        <v>57</v>
      </c>
      <c r="G555">
        <v>53800</v>
      </c>
      <c r="H555" t="s">
        <v>20</v>
      </c>
      <c r="I555" t="s">
        <v>78</v>
      </c>
      <c r="J555" t="s">
        <v>564</v>
      </c>
      <c r="K555" t="s">
        <v>23</v>
      </c>
      <c r="L555" t="s">
        <v>205</v>
      </c>
      <c r="M555" t="s">
        <v>42</v>
      </c>
      <c r="N555" t="s">
        <v>26</v>
      </c>
      <c r="O555" t="s">
        <v>27</v>
      </c>
      <c r="P555" s="1">
        <v>44794</v>
      </c>
      <c r="Q555">
        <f t="shared" si="40"/>
        <v>0</v>
      </c>
      <c r="R555">
        <f t="shared" si="41"/>
        <v>0</v>
      </c>
      <c r="S555">
        <f t="shared" si="42"/>
        <v>0</v>
      </c>
      <c r="T555" s="11">
        <f t="shared" si="43"/>
        <v>2019</v>
      </c>
      <c r="U555" s="11">
        <f t="shared" si="44"/>
        <v>27265</v>
      </c>
    </row>
    <row r="556" spans="1:21" x14ac:dyDescent="0.3">
      <c r="A556" t="s">
        <v>1038</v>
      </c>
      <c r="B556">
        <v>2021</v>
      </c>
      <c r="C556" t="s">
        <v>17</v>
      </c>
      <c r="D556" t="s">
        <v>53</v>
      </c>
      <c r="E556">
        <v>5459</v>
      </c>
      <c r="F556" t="s">
        <v>19</v>
      </c>
      <c r="G556">
        <v>74800</v>
      </c>
      <c r="H556" t="s">
        <v>77</v>
      </c>
      <c r="I556" t="s">
        <v>21</v>
      </c>
      <c r="J556" t="s">
        <v>422</v>
      </c>
      <c r="K556" t="s">
        <v>23</v>
      </c>
      <c r="N556" t="s">
        <v>127</v>
      </c>
      <c r="O556" t="s">
        <v>27</v>
      </c>
      <c r="P556" s="1">
        <v>44794</v>
      </c>
      <c r="Q556">
        <f t="shared" si="40"/>
        <v>0</v>
      </c>
      <c r="R556">
        <f t="shared" si="41"/>
        <v>0</v>
      </c>
      <c r="S556">
        <f t="shared" si="42"/>
        <v>1</v>
      </c>
      <c r="T556" s="11">
        <f t="shared" si="43"/>
        <v>2021</v>
      </c>
      <c r="U556" s="11">
        <f t="shared" si="44"/>
        <v>5459</v>
      </c>
    </row>
    <row r="557" spans="1:21" x14ac:dyDescent="0.3">
      <c r="A557" t="s">
        <v>1039</v>
      </c>
      <c r="B557">
        <v>2019</v>
      </c>
      <c r="C557" t="s">
        <v>56</v>
      </c>
      <c r="D557" t="s">
        <v>53</v>
      </c>
      <c r="E557">
        <v>58202</v>
      </c>
      <c r="F557" t="s">
        <v>71</v>
      </c>
      <c r="G557">
        <v>52700</v>
      </c>
      <c r="H557" t="s">
        <v>77</v>
      </c>
      <c r="I557" t="s">
        <v>21</v>
      </c>
      <c r="J557" t="s">
        <v>496</v>
      </c>
      <c r="K557" t="s">
        <v>23</v>
      </c>
      <c r="L557" t="s">
        <v>41</v>
      </c>
      <c r="M557" t="s">
        <v>42</v>
      </c>
      <c r="N557" t="s">
        <v>26</v>
      </c>
      <c r="O557" t="s">
        <v>27</v>
      </c>
      <c r="P557" s="1">
        <v>44794</v>
      </c>
      <c r="Q557">
        <f t="shared" si="40"/>
        <v>0</v>
      </c>
      <c r="R557">
        <f t="shared" si="41"/>
        <v>0</v>
      </c>
      <c r="S557">
        <f t="shared" si="42"/>
        <v>0</v>
      </c>
      <c r="T557" s="11">
        <f t="shared" si="43"/>
        <v>2019</v>
      </c>
      <c r="U557" s="11">
        <f t="shared" si="44"/>
        <v>58202</v>
      </c>
    </row>
    <row r="558" spans="1:21" x14ac:dyDescent="0.3">
      <c r="A558" t="s">
        <v>1040</v>
      </c>
      <c r="B558">
        <v>2019</v>
      </c>
      <c r="C558" t="s">
        <v>56</v>
      </c>
      <c r="D558" t="s">
        <v>53</v>
      </c>
      <c r="E558">
        <v>11084</v>
      </c>
      <c r="F558" t="s">
        <v>65</v>
      </c>
      <c r="G558">
        <v>48400</v>
      </c>
      <c r="H558" t="s">
        <v>20</v>
      </c>
      <c r="I558" t="s">
        <v>58</v>
      </c>
      <c r="J558" t="s">
        <v>66</v>
      </c>
      <c r="K558" t="s">
        <v>23</v>
      </c>
      <c r="N558" t="s">
        <v>127</v>
      </c>
      <c r="O558" t="s">
        <v>27</v>
      </c>
      <c r="P558" s="1">
        <v>44794</v>
      </c>
      <c r="Q558">
        <f t="shared" si="40"/>
        <v>0</v>
      </c>
      <c r="R558">
        <f t="shared" si="41"/>
        <v>0</v>
      </c>
      <c r="S558">
        <f t="shared" si="42"/>
        <v>0</v>
      </c>
      <c r="T558" s="11">
        <f t="shared" si="43"/>
        <v>2019</v>
      </c>
      <c r="U558" s="11">
        <f t="shared" si="44"/>
        <v>11084</v>
      </c>
    </row>
    <row r="559" spans="1:21" x14ac:dyDescent="0.3">
      <c r="A559" t="s">
        <v>1041</v>
      </c>
      <c r="B559">
        <v>2018</v>
      </c>
      <c r="C559" t="s">
        <v>56</v>
      </c>
      <c r="D559" t="s">
        <v>53</v>
      </c>
      <c r="E559">
        <v>51535</v>
      </c>
      <c r="F559" t="s">
        <v>57</v>
      </c>
      <c r="G559">
        <v>50700</v>
      </c>
      <c r="H559" t="s">
        <v>20</v>
      </c>
      <c r="I559" t="s">
        <v>58</v>
      </c>
      <c r="J559" t="s">
        <v>59</v>
      </c>
      <c r="K559" t="s">
        <v>23</v>
      </c>
      <c r="L559" t="s">
        <v>513</v>
      </c>
      <c r="M559" t="s">
        <v>42</v>
      </c>
      <c r="N559" t="s">
        <v>26</v>
      </c>
      <c r="O559" t="s">
        <v>27</v>
      </c>
      <c r="P559" s="1">
        <v>44794</v>
      </c>
      <c r="Q559">
        <f t="shared" si="40"/>
        <v>0</v>
      </c>
      <c r="R559">
        <f t="shared" si="41"/>
        <v>0</v>
      </c>
      <c r="S559">
        <f t="shared" si="42"/>
        <v>0</v>
      </c>
      <c r="T559" s="11">
        <f t="shared" si="43"/>
        <v>2018</v>
      </c>
      <c r="U559" s="11">
        <f t="shared" si="44"/>
        <v>51535</v>
      </c>
    </row>
    <row r="560" spans="1:21" x14ac:dyDescent="0.3">
      <c r="A560" t="s">
        <v>1042</v>
      </c>
      <c r="B560">
        <v>2019</v>
      </c>
      <c r="C560" t="s">
        <v>56</v>
      </c>
      <c r="D560" t="s">
        <v>30</v>
      </c>
      <c r="E560">
        <v>41591</v>
      </c>
      <c r="F560" t="s">
        <v>234</v>
      </c>
      <c r="G560">
        <v>47500</v>
      </c>
      <c r="H560" t="s">
        <v>77</v>
      </c>
      <c r="I560" t="s">
        <v>58</v>
      </c>
      <c r="J560" t="s">
        <v>1043</v>
      </c>
      <c r="K560" t="s">
        <v>23</v>
      </c>
      <c r="L560" t="s">
        <v>292</v>
      </c>
      <c r="M560" t="s">
        <v>172</v>
      </c>
      <c r="N560" t="s">
        <v>173</v>
      </c>
      <c r="O560" t="s">
        <v>27</v>
      </c>
      <c r="P560" s="1">
        <v>44794</v>
      </c>
      <c r="Q560">
        <f t="shared" si="40"/>
        <v>0</v>
      </c>
      <c r="R560">
        <f t="shared" si="41"/>
        <v>0</v>
      </c>
      <c r="S560">
        <f t="shared" si="42"/>
        <v>0</v>
      </c>
      <c r="T560" s="11">
        <f t="shared" si="43"/>
        <v>2019</v>
      </c>
      <c r="U560" s="11">
        <f t="shared" si="44"/>
        <v>41591</v>
      </c>
    </row>
    <row r="561" spans="1:21" x14ac:dyDescent="0.3">
      <c r="A561" t="s">
        <v>1044</v>
      </c>
      <c r="B561">
        <v>2021</v>
      </c>
      <c r="C561" t="s">
        <v>56</v>
      </c>
      <c r="D561" t="s">
        <v>32</v>
      </c>
      <c r="E561">
        <v>21593</v>
      </c>
      <c r="F561" t="s">
        <v>65</v>
      </c>
      <c r="G561">
        <v>52500</v>
      </c>
      <c r="H561" t="s">
        <v>20</v>
      </c>
      <c r="I561" t="s">
        <v>58</v>
      </c>
      <c r="J561" t="s">
        <v>192</v>
      </c>
      <c r="K561" t="s">
        <v>23</v>
      </c>
      <c r="L561" t="s">
        <v>24</v>
      </c>
      <c r="M561" t="s">
        <v>25</v>
      </c>
      <c r="N561" t="s">
        <v>26</v>
      </c>
      <c r="O561" t="s">
        <v>27</v>
      </c>
      <c r="P561" s="1">
        <v>44794</v>
      </c>
      <c r="Q561">
        <f t="shared" si="40"/>
        <v>0</v>
      </c>
      <c r="R561">
        <f t="shared" si="41"/>
        <v>0</v>
      </c>
      <c r="S561">
        <f t="shared" si="42"/>
        <v>0</v>
      </c>
      <c r="T561" s="11">
        <f t="shared" si="43"/>
        <v>2021</v>
      </c>
      <c r="U561" s="11">
        <f t="shared" si="44"/>
        <v>21593</v>
      </c>
    </row>
    <row r="562" spans="1:21" x14ac:dyDescent="0.3">
      <c r="A562" t="s">
        <v>1045</v>
      </c>
      <c r="B562">
        <v>2020</v>
      </c>
      <c r="C562" t="s">
        <v>56</v>
      </c>
      <c r="D562" t="s">
        <v>53</v>
      </c>
      <c r="E562">
        <v>18851</v>
      </c>
      <c r="F562" t="s">
        <v>65</v>
      </c>
      <c r="G562">
        <v>53300</v>
      </c>
      <c r="H562" t="s">
        <v>77</v>
      </c>
      <c r="I562" t="s">
        <v>78</v>
      </c>
      <c r="J562" t="s">
        <v>1046</v>
      </c>
      <c r="K562" t="s">
        <v>23</v>
      </c>
      <c r="L562" t="s">
        <v>137</v>
      </c>
      <c r="M562" t="s">
        <v>138</v>
      </c>
      <c r="N562" t="s">
        <v>139</v>
      </c>
      <c r="O562" t="s">
        <v>27</v>
      </c>
      <c r="P562" s="1">
        <v>44794</v>
      </c>
      <c r="Q562">
        <f t="shared" si="40"/>
        <v>0</v>
      </c>
      <c r="R562">
        <f t="shared" si="41"/>
        <v>0</v>
      </c>
      <c r="S562">
        <f t="shared" si="42"/>
        <v>0</v>
      </c>
      <c r="T562" s="11">
        <f t="shared" si="43"/>
        <v>2020</v>
      </c>
      <c r="U562" s="11">
        <f t="shared" si="44"/>
        <v>18851</v>
      </c>
    </row>
    <row r="563" spans="1:21" x14ac:dyDescent="0.3">
      <c r="A563" t="s">
        <v>1047</v>
      </c>
      <c r="B563">
        <v>2020</v>
      </c>
      <c r="C563" t="s">
        <v>56</v>
      </c>
      <c r="D563" t="s">
        <v>93</v>
      </c>
      <c r="E563">
        <v>26320</v>
      </c>
      <c r="F563" t="s">
        <v>57</v>
      </c>
      <c r="G563">
        <v>60300</v>
      </c>
      <c r="H563" t="s">
        <v>77</v>
      </c>
      <c r="I563" t="s">
        <v>78</v>
      </c>
      <c r="J563" t="s">
        <v>280</v>
      </c>
      <c r="K563" t="s">
        <v>23</v>
      </c>
      <c r="L563" t="s">
        <v>193</v>
      </c>
      <c r="M563" t="s">
        <v>194</v>
      </c>
      <c r="N563" t="s">
        <v>26</v>
      </c>
      <c r="O563" t="s">
        <v>27</v>
      </c>
      <c r="P563" s="1">
        <v>44794</v>
      </c>
      <c r="Q563">
        <f t="shared" si="40"/>
        <v>0</v>
      </c>
      <c r="R563">
        <f t="shared" si="41"/>
        <v>0</v>
      </c>
      <c r="S563">
        <f t="shared" si="42"/>
        <v>0</v>
      </c>
      <c r="T563" s="11">
        <f t="shared" si="43"/>
        <v>2020</v>
      </c>
      <c r="U563" s="11">
        <f t="shared" si="44"/>
        <v>26320</v>
      </c>
    </row>
    <row r="564" spans="1:21" x14ac:dyDescent="0.3">
      <c r="A564" t="s">
        <v>1048</v>
      </c>
      <c r="B564">
        <v>2019</v>
      </c>
      <c r="C564" t="s">
        <v>56</v>
      </c>
      <c r="D564" t="s">
        <v>76</v>
      </c>
      <c r="E564">
        <v>27131</v>
      </c>
      <c r="F564" t="s">
        <v>57</v>
      </c>
      <c r="G564">
        <v>56000</v>
      </c>
      <c r="H564" t="s">
        <v>20</v>
      </c>
      <c r="I564" t="s">
        <v>58</v>
      </c>
      <c r="J564" t="s">
        <v>979</v>
      </c>
      <c r="K564" t="s">
        <v>23</v>
      </c>
      <c r="L564" t="s">
        <v>183</v>
      </c>
      <c r="M564" t="s">
        <v>25</v>
      </c>
      <c r="N564" t="s">
        <v>26</v>
      </c>
      <c r="O564" t="s">
        <v>27</v>
      </c>
      <c r="P564" s="1">
        <v>44794</v>
      </c>
      <c r="Q564">
        <f t="shared" si="40"/>
        <v>0</v>
      </c>
      <c r="R564">
        <f t="shared" si="41"/>
        <v>0</v>
      </c>
      <c r="S564">
        <f t="shared" si="42"/>
        <v>0</v>
      </c>
      <c r="T564" s="11">
        <f t="shared" si="43"/>
        <v>2019</v>
      </c>
      <c r="U564" s="11">
        <f t="shared" si="44"/>
        <v>27131</v>
      </c>
    </row>
    <row r="565" spans="1:21" x14ac:dyDescent="0.3">
      <c r="A565" t="s">
        <v>1049</v>
      </c>
      <c r="B565">
        <v>2019</v>
      </c>
      <c r="C565" t="s">
        <v>56</v>
      </c>
      <c r="D565" t="s">
        <v>53</v>
      </c>
      <c r="E565">
        <v>32763</v>
      </c>
      <c r="F565" t="s">
        <v>57</v>
      </c>
      <c r="G565">
        <v>55200</v>
      </c>
      <c r="H565" t="s">
        <v>20</v>
      </c>
      <c r="I565" t="s">
        <v>58</v>
      </c>
      <c r="J565" t="s">
        <v>59</v>
      </c>
      <c r="K565" t="s">
        <v>23</v>
      </c>
      <c r="L565" t="s">
        <v>24</v>
      </c>
      <c r="M565" t="s">
        <v>25</v>
      </c>
      <c r="N565" t="s">
        <v>26</v>
      </c>
      <c r="O565" t="s">
        <v>27</v>
      </c>
      <c r="P565" s="1">
        <v>44794</v>
      </c>
      <c r="Q565">
        <f t="shared" si="40"/>
        <v>0</v>
      </c>
      <c r="R565">
        <f t="shared" si="41"/>
        <v>0</v>
      </c>
      <c r="S565">
        <f t="shared" si="42"/>
        <v>0</v>
      </c>
      <c r="T565" s="11">
        <f t="shared" si="43"/>
        <v>2019</v>
      </c>
      <c r="U565" s="11">
        <f t="shared" si="44"/>
        <v>32763</v>
      </c>
    </row>
    <row r="566" spans="1:21" x14ac:dyDescent="0.3">
      <c r="A566" t="s">
        <v>1050</v>
      </c>
      <c r="B566">
        <v>2019</v>
      </c>
      <c r="C566" t="s">
        <v>56</v>
      </c>
      <c r="D566" t="s">
        <v>32</v>
      </c>
      <c r="E566">
        <v>25108</v>
      </c>
      <c r="F566" t="s">
        <v>57</v>
      </c>
      <c r="G566">
        <v>54500</v>
      </c>
      <c r="H566" t="s">
        <v>20</v>
      </c>
      <c r="I566" t="s">
        <v>78</v>
      </c>
      <c r="J566" t="s">
        <v>275</v>
      </c>
      <c r="K566" t="s">
        <v>23</v>
      </c>
      <c r="L566" t="s">
        <v>24</v>
      </c>
      <c r="M566" t="s">
        <v>25</v>
      </c>
      <c r="N566" t="s">
        <v>26</v>
      </c>
      <c r="O566" t="s">
        <v>27</v>
      </c>
      <c r="P566" s="1">
        <v>44794</v>
      </c>
      <c r="Q566">
        <f t="shared" si="40"/>
        <v>0</v>
      </c>
      <c r="R566">
        <f t="shared" si="41"/>
        <v>0</v>
      </c>
      <c r="S566">
        <f t="shared" si="42"/>
        <v>0</v>
      </c>
      <c r="T566" s="11">
        <f t="shared" si="43"/>
        <v>2019</v>
      </c>
      <c r="U566" s="11">
        <f t="shared" si="44"/>
        <v>25108</v>
      </c>
    </row>
    <row r="567" spans="1:21" x14ac:dyDescent="0.3">
      <c r="A567" t="s">
        <v>1051</v>
      </c>
      <c r="B567">
        <v>2019</v>
      </c>
      <c r="C567" t="s">
        <v>56</v>
      </c>
      <c r="D567" t="s">
        <v>93</v>
      </c>
      <c r="E567">
        <v>43905</v>
      </c>
      <c r="F567" t="s">
        <v>57</v>
      </c>
      <c r="G567">
        <v>53600</v>
      </c>
      <c r="H567" t="s">
        <v>20</v>
      </c>
      <c r="I567" t="s">
        <v>58</v>
      </c>
      <c r="J567" t="s">
        <v>842</v>
      </c>
      <c r="K567" t="s">
        <v>23</v>
      </c>
      <c r="L567" t="s">
        <v>513</v>
      </c>
      <c r="M567" t="s">
        <v>42</v>
      </c>
      <c r="N567" t="s">
        <v>26</v>
      </c>
      <c r="O567" t="s">
        <v>27</v>
      </c>
      <c r="P567" s="1">
        <v>44794</v>
      </c>
      <c r="Q567">
        <f t="shared" si="40"/>
        <v>0</v>
      </c>
      <c r="R567">
        <f t="shared" si="41"/>
        <v>0</v>
      </c>
      <c r="S567">
        <f t="shared" si="42"/>
        <v>0</v>
      </c>
      <c r="T567" s="11">
        <f t="shared" si="43"/>
        <v>2019</v>
      </c>
      <c r="U567" s="11">
        <f t="shared" si="44"/>
        <v>43905</v>
      </c>
    </row>
    <row r="568" spans="1:21" x14ac:dyDescent="0.3">
      <c r="A568" t="s">
        <v>1052</v>
      </c>
      <c r="B568">
        <v>2018</v>
      </c>
      <c r="C568" t="s">
        <v>56</v>
      </c>
      <c r="D568" t="s">
        <v>93</v>
      </c>
      <c r="E568">
        <v>50417</v>
      </c>
      <c r="F568" t="s">
        <v>71</v>
      </c>
      <c r="G568">
        <v>52600</v>
      </c>
      <c r="H568" t="s">
        <v>20</v>
      </c>
      <c r="I568" t="s">
        <v>21</v>
      </c>
      <c r="J568" t="s">
        <v>332</v>
      </c>
      <c r="K568" t="s">
        <v>23</v>
      </c>
      <c r="L568" t="s">
        <v>197</v>
      </c>
      <c r="M568" t="s">
        <v>198</v>
      </c>
      <c r="N568" t="s">
        <v>26</v>
      </c>
      <c r="O568" t="s">
        <v>27</v>
      </c>
      <c r="P568" s="1">
        <v>44794</v>
      </c>
      <c r="Q568">
        <f t="shared" si="40"/>
        <v>0</v>
      </c>
      <c r="R568">
        <f t="shared" si="41"/>
        <v>0</v>
      </c>
      <c r="S568">
        <f t="shared" si="42"/>
        <v>0</v>
      </c>
      <c r="T568" s="11">
        <f t="shared" si="43"/>
        <v>2018</v>
      </c>
      <c r="U568" s="11">
        <f t="shared" si="44"/>
        <v>50417</v>
      </c>
    </row>
    <row r="569" spans="1:21" x14ac:dyDescent="0.3">
      <c r="A569" t="s">
        <v>1053</v>
      </c>
      <c r="B569">
        <v>2019</v>
      </c>
      <c r="C569" t="s">
        <v>56</v>
      </c>
      <c r="D569" t="s">
        <v>53</v>
      </c>
      <c r="E569">
        <v>34388</v>
      </c>
      <c r="F569" t="s">
        <v>65</v>
      </c>
      <c r="G569">
        <v>48200</v>
      </c>
      <c r="H569" t="s">
        <v>20</v>
      </c>
      <c r="I569" t="s">
        <v>78</v>
      </c>
      <c r="J569" t="s">
        <v>534</v>
      </c>
      <c r="K569" t="s">
        <v>23</v>
      </c>
      <c r="L569" t="s">
        <v>205</v>
      </c>
      <c r="M569" t="s">
        <v>42</v>
      </c>
      <c r="N569" t="s">
        <v>26</v>
      </c>
      <c r="O569" t="s">
        <v>27</v>
      </c>
      <c r="P569" s="1">
        <v>44794</v>
      </c>
      <c r="Q569">
        <f t="shared" si="40"/>
        <v>0</v>
      </c>
      <c r="R569">
        <f t="shared" si="41"/>
        <v>0</v>
      </c>
      <c r="S569">
        <f t="shared" si="42"/>
        <v>0</v>
      </c>
      <c r="T569" s="11">
        <f t="shared" si="43"/>
        <v>2019</v>
      </c>
      <c r="U569" s="11">
        <f t="shared" si="44"/>
        <v>34388</v>
      </c>
    </row>
    <row r="570" spans="1:21" x14ac:dyDescent="0.3">
      <c r="A570" t="s">
        <v>1054</v>
      </c>
      <c r="B570">
        <v>2019</v>
      </c>
      <c r="C570" t="s">
        <v>56</v>
      </c>
      <c r="D570" t="s">
        <v>53</v>
      </c>
      <c r="E570">
        <v>13037</v>
      </c>
      <c r="F570" t="s">
        <v>65</v>
      </c>
      <c r="G570">
        <v>47400</v>
      </c>
      <c r="H570" t="s">
        <v>77</v>
      </c>
      <c r="I570" t="s">
        <v>78</v>
      </c>
      <c r="J570" t="s">
        <v>1046</v>
      </c>
      <c r="K570" t="s">
        <v>23</v>
      </c>
      <c r="L570" t="s">
        <v>41</v>
      </c>
      <c r="M570" t="s">
        <v>42</v>
      </c>
      <c r="N570" t="s">
        <v>26</v>
      </c>
      <c r="O570" t="s">
        <v>27</v>
      </c>
      <c r="P570" s="1">
        <v>44794</v>
      </c>
      <c r="Q570">
        <f t="shared" si="40"/>
        <v>0</v>
      </c>
      <c r="R570">
        <f t="shared" si="41"/>
        <v>0</v>
      </c>
      <c r="S570">
        <f t="shared" si="42"/>
        <v>0</v>
      </c>
      <c r="T570" s="11">
        <f t="shared" si="43"/>
        <v>2019</v>
      </c>
      <c r="U570" s="11">
        <f t="shared" si="44"/>
        <v>13037</v>
      </c>
    </row>
    <row r="571" spans="1:21" x14ac:dyDescent="0.3">
      <c r="A571" t="s">
        <v>1055</v>
      </c>
      <c r="B571">
        <v>2019</v>
      </c>
      <c r="C571" t="s">
        <v>56</v>
      </c>
      <c r="D571" t="s">
        <v>32</v>
      </c>
      <c r="E571">
        <v>19435</v>
      </c>
      <c r="F571" t="s">
        <v>71</v>
      </c>
      <c r="G571">
        <v>61400</v>
      </c>
      <c r="H571" t="s">
        <v>77</v>
      </c>
      <c r="I571" t="s">
        <v>21</v>
      </c>
      <c r="J571" t="s">
        <v>121</v>
      </c>
      <c r="K571" t="s">
        <v>23</v>
      </c>
      <c r="L571" t="s">
        <v>24</v>
      </c>
      <c r="M571" t="s">
        <v>25</v>
      </c>
      <c r="N571" t="s">
        <v>26</v>
      </c>
      <c r="O571" t="s">
        <v>27</v>
      </c>
      <c r="P571" s="1">
        <v>44794</v>
      </c>
      <c r="Q571">
        <f t="shared" si="40"/>
        <v>0</v>
      </c>
      <c r="R571">
        <f t="shared" si="41"/>
        <v>0</v>
      </c>
      <c r="S571">
        <f t="shared" si="42"/>
        <v>0</v>
      </c>
      <c r="T571" s="11">
        <f t="shared" si="43"/>
        <v>2019</v>
      </c>
      <c r="U571" s="11">
        <f t="shared" si="44"/>
        <v>19435</v>
      </c>
    </row>
    <row r="572" spans="1:21" x14ac:dyDescent="0.3">
      <c r="A572" t="s">
        <v>1056</v>
      </c>
      <c r="B572">
        <v>2018</v>
      </c>
      <c r="C572" t="s">
        <v>56</v>
      </c>
      <c r="D572" t="s">
        <v>93</v>
      </c>
      <c r="E572">
        <v>10521</v>
      </c>
      <c r="F572" t="s">
        <v>234</v>
      </c>
      <c r="G572">
        <v>51300</v>
      </c>
      <c r="H572" t="s">
        <v>20</v>
      </c>
      <c r="I572" t="s">
        <v>78</v>
      </c>
      <c r="J572" t="s">
        <v>290</v>
      </c>
      <c r="K572" t="s">
        <v>23</v>
      </c>
      <c r="L572" t="s">
        <v>183</v>
      </c>
      <c r="M572" t="s">
        <v>25</v>
      </c>
      <c r="N572" t="s">
        <v>26</v>
      </c>
      <c r="O572" t="s">
        <v>27</v>
      </c>
      <c r="P572" s="1">
        <v>44794</v>
      </c>
      <c r="Q572">
        <f t="shared" si="40"/>
        <v>0</v>
      </c>
      <c r="R572">
        <f t="shared" si="41"/>
        <v>0</v>
      </c>
      <c r="S572">
        <f t="shared" si="42"/>
        <v>0</v>
      </c>
      <c r="T572" s="11">
        <f t="shared" si="43"/>
        <v>2018</v>
      </c>
      <c r="U572" s="11">
        <f t="shared" si="44"/>
        <v>10521</v>
      </c>
    </row>
    <row r="573" spans="1:21" x14ac:dyDescent="0.3">
      <c r="A573" t="s">
        <v>1057</v>
      </c>
      <c r="B573">
        <v>2018</v>
      </c>
      <c r="C573" t="s">
        <v>29</v>
      </c>
      <c r="D573" t="s">
        <v>30</v>
      </c>
      <c r="E573">
        <v>38750</v>
      </c>
      <c r="F573" t="s">
        <v>52</v>
      </c>
      <c r="G573">
        <v>85600</v>
      </c>
      <c r="H573" t="s">
        <v>45</v>
      </c>
      <c r="I573" t="s">
        <v>21</v>
      </c>
      <c r="J573" t="s">
        <v>1058</v>
      </c>
      <c r="K573" t="s">
        <v>23</v>
      </c>
      <c r="L573" t="s">
        <v>183</v>
      </c>
      <c r="M573" t="s">
        <v>25</v>
      </c>
      <c r="N573" t="s">
        <v>26</v>
      </c>
      <c r="O573" t="s">
        <v>27</v>
      </c>
      <c r="P573" s="1">
        <v>44793</v>
      </c>
      <c r="Q573">
        <f t="shared" si="40"/>
        <v>0</v>
      </c>
      <c r="R573">
        <f t="shared" si="41"/>
        <v>1</v>
      </c>
      <c r="S573">
        <f t="shared" si="42"/>
        <v>0</v>
      </c>
      <c r="T573" s="11">
        <f t="shared" si="43"/>
        <v>2018</v>
      </c>
      <c r="U573" s="11">
        <f t="shared" si="44"/>
        <v>38750</v>
      </c>
    </row>
    <row r="574" spans="1:21" x14ac:dyDescent="0.3">
      <c r="A574" t="s">
        <v>1059</v>
      </c>
      <c r="B574">
        <v>2020</v>
      </c>
      <c r="C574" t="s">
        <v>29</v>
      </c>
      <c r="D574" t="s">
        <v>51</v>
      </c>
      <c r="E574">
        <v>13558</v>
      </c>
      <c r="F574" t="s">
        <v>177</v>
      </c>
      <c r="G574">
        <v>98800</v>
      </c>
      <c r="H574" t="s">
        <v>53</v>
      </c>
      <c r="I574" t="s">
        <v>21</v>
      </c>
      <c r="J574" t="s">
        <v>1060</v>
      </c>
      <c r="K574" t="s">
        <v>23</v>
      </c>
      <c r="L574" t="s">
        <v>371</v>
      </c>
      <c r="M574" t="s">
        <v>48</v>
      </c>
      <c r="N574" t="s">
        <v>49</v>
      </c>
      <c r="O574" t="s">
        <v>27</v>
      </c>
      <c r="P574" s="1">
        <v>44793</v>
      </c>
      <c r="Q574">
        <f t="shared" si="40"/>
        <v>0</v>
      </c>
      <c r="R574">
        <f t="shared" si="41"/>
        <v>1</v>
      </c>
      <c r="S574">
        <f t="shared" si="42"/>
        <v>0</v>
      </c>
      <c r="T574" s="11">
        <f t="shared" si="43"/>
        <v>2020</v>
      </c>
      <c r="U574" s="11">
        <f t="shared" si="44"/>
        <v>13558</v>
      </c>
    </row>
    <row r="575" spans="1:21" x14ac:dyDescent="0.3">
      <c r="A575" t="s">
        <v>1061</v>
      </c>
      <c r="B575">
        <v>2019</v>
      </c>
      <c r="C575" t="s">
        <v>29</v>
      </c>
      <c r="D575" t="s">
        <v>53</v>
      </c>
      <c r="E575">
        <v>46895</v>
      </c>
      <c r="F575" t="s">
        <v>52</v>
      </c>
      <c r="G575">
        <v>89200</v>
      </c>
      <c r="H575" t="s">
        <v>53</v>
      </c>
      <c r="I575" t="s">
        <v>110</v>
      </c>
      <c r="J575" t="s">
        <v>1062</v>
      </c>
      <c r="K575" t="s">
        <v>23</v>
      </c>
      <c r="L575" t="s">
        <v>175</v>
      </c>
      <c r="M575" t="s">
        <v>42</v>
      </c>
      <c r="N575" t="s">
        <v>26</v>
      </c>
      <c r="O575" t="s">
        <v>27</v>
      </c>
      <c r="P575" s="1">
        <v>44793</v>
      </c>
      <c r="Q575">
        <f t="shared" si="40"/>
        <v>0</v>
      </c>
      <c r="R575">
        <f t="shared" si="41"/>
        <v>1</v>
      </c>
      <c r="S575">
        <f t="shared" si="42"/>
        <v>0</v>
      </c>
      <c r="T575" s="11">
        <f t="shared" si="43"/>
        <v>2019</v>
      </c>
      <c r="U575" s="11">
        <f t="shared" si="44"/>
        <v>46895</v>
      </c>
    </row>
    <row r="576" spans="1:21" x14ac:dyDescent="0.3">
      <c r="A576" t="s">
        <v>1063</v>
      </c>
      <c r="B576">
        <v>2019</v>
      </c>
      <c r="C576" t="s">
        <v>29</v>
      </c>
      <c r="D576" t="s">
        <v>51</v>
      </c>
      <c r="E576">
        <v>9542</v>
      </c>
      <c r="F576" t="s">
        <v>52</v>
      </c>
      <c r="G576">
        <v>103800</v>
      </c>
      <c r="H576" t="s">
        <v>53</v>
      </c>
      <c r="I576" t="s">
        <v>21</v>
      </c>
      <c r="J576" t="s">
        <v>264</v>
      </c>
      <c r="K576" t="s">
        <v>23</v>
      </c>
      <c r="L576" t="s">
        <v>34</v>
      </c>
      <c r="N576" t="s">
        <v>35</v>
      </c>
      <c r="O576" t="s">
        <v>27</v>
      </c>
      <c r="P576" s="1">
        <v>44793</v>
      </c>
      <c r="Q576">
        <f t="shared" si="40"/>
        <v>0</v>
      </c>
      <c r="R576">
        <f t="shared" si="41"/>
        <v>1</v>
      </c>
      <c r="S576">
        <f t="shared" si="42"/>
        <v>0</v>
      </c>
      <c r="T576" s="11">
        <f t="shared" si="43"/>
        <v>2019</v>
      </c>
      <c r="U576" s="11">
        <f t="shared" si="44"/>
        <v>9542</v>
      </c>
    </row>
    <row r="577" spans="1:21" x14ac:dyDescent="0.3">
      <c r="A577" t="s">
        <v>1064</v>
      </c>
      <c r="B577">
        <v>2019</v>
      </c>
      <c r="C577" t="s">
        <v>29</v>
      </c>
      <c r="D577" t="s">
        <v>53</v>
      </c>
      <c r="E577">
        <v>21966</v>
      </c>
      <c r="F577" t="s">
        <v>270</v>
      </c>
      <c r="G577">
        <v>94400</v>
      </c>
      <c r="H577" t="s">
        <v>53</v>
      </c>
      <c r="I577" t="s">
        <v>110</v>
      </c>
      <c r="J577" t="s">
        <v>1065</v>
      </c>
      <c r="K577" t="s">
        <v>23</v>
      </c>
      <c r="L577" t="s">
        <v>41</v>
      </c>
      <c r="M577" t="s">
        <v>42</v>
      </c>
      <c r="N577" t="s">
        <v>26</v>
      </c>
      <c r="O577" t="s">
        <v>27</v>
      </c>
      <c r="P577" s="1">
        <v>44793</v>
      </c>
      <c r="Q577">
        <f t="shared" si="40"/>
        <v>0</v>
      </c>
      <c r="R577">
        <f t="shared" si="41"/>
        <v>1</v>
      </c>
      <c r="S577">
        <f t="shared" si="42"/>
        <v>0</v>
      </c>
      <c r="T577" s="11">
        <f t="shared" si="43"/>
        <v>2019</v>
      </c>
      <c r="U577" s="11">
        <f t="shared" si="44"/>
        <v>21966</v>
      </c>
    </row>
    <row r="578" spans="1:21" x14ac:dyDescent="0.3">
      <c r="A578" t="s">
        <v>1066</v>
      </c>
      <c r="B578">
        <v>2021</v>
      </c>
      <c r="C578" t="s">
        <v>29</v>
      </c>
      <c r="D578" t="s">
        <v>32</v>
      </c>
      <c r="E578">
        <v>18059</v>
      </c>
      <c r="F578" t="s">
        <v>31</v>
      </c>
      <c r="G578">
        <v>112600</v>
      </c>
      <c r="H578" t="s">
        <v>45</v>
      </c>
      <c r="I578" t="s">
        <v>21</v>
      </c>
      <c r="J578" t="s">
        <v>46</v>
      </c>
      <c r="K578" t="s">
        <v>23</v>
      </c>
      <c r="L578" t="s">
        <v>342</v>
      </c>
      <c r="M578" t="s">
        <v>244</v>
      </c>
      <c r="N578" t="s">
        <v>245</v>
      </c>
      <c r="O578" t="s">
        <v>27</v>
      </c>
      <c r="P578" s="1">
        <v>44793</v>
      </c>
      <c r="Q578">
        <f t="shared" ref="Q578:Q641" si="45">--(C578="ms")</f>
        <v>0</v>
      </c>
      <c r="R578">
        <f t="shared" ref="R578:R641" si="46">--(C578="mx")</f>
        <v>1</v>
      </c>
      <c r="S578">
        <f t="shared" ref="S578:S641" si="47">--(C578="my")</f>
        <v>0</v>
      </c>
      <c r="T578" s="11">
        <f t="shared" ref="T578:T641" si="48">B578</f>
        <v>2021</v>
      </c>
      <c r="U578" s="11">
        <f t="shared" ref="U578:U641" si="49">E578</f>
        <v>18059</v>
      </c>
    </row>
    <row r="579" spans="1:21" x14ac:dyDescent="0.3">
      <c r="A579" t="s">
        <v>1067</v>
      </c>
      <c r="B579">
        <v>2021</v>
      </c>
      <c r="C579" t="s">
        <v>17</v>
      </c>
      <c r="D579" t="s">
        <v>32</v>
      </c>
      <c r="E579">
        <v>51214</v>
      </c>
      <c r="F579" t="s">
        <v>207</v>
      </c>
      <c r="G579">
        <v>72200</v>
      </c>
      <c r="H579" t="s">
        <v>20</v>
      </c>
      <c r="I579" t="s">
        <v>78</v>
      </c>
      <c r="J579" t="s">
        <v>386</v>
      </c>
      <c r="K579" t="s">
        <v>23</v>
      </c>
      <c r="L579" t="s">
        <v>509</v>
      </c>
      <c r="N579" t="s">
        <v>26</v>
      </c>
      <c r="O579" t="s">
        <v>27</v>
      </c>
      <c r="P579" s="1">
        <v>44793</v>
      </c>
      <c r="Q579">
        <f t="shared" si="45"/>
        <v>0</v>
      </c>
      <c r="R579">
        <f t="shared" si="46"/>
        <v>0</v>
      </c>
      <c r="S579">
        <f t="shared" si="47"/>
        <v>1</v>
      </c>
      <c r="T579" s="11">
        <f t="shared" si="48"/>
        <v>2021</v>
      </c>
      <c r="U579" s="11">
        <f t="shared" si="49"/>
        <v>51214</v>
      </c>
    </row>
    <row r="580" spans="1:21" x14ac:dyDescent="0.3">
      <c r="A580" t="s">
        <v>1068</v>
      </c>
      <c r="B580">
        <v>2020</v>
      </c>
      <c r="C580" t="s">
        <v>17</v>
      </c>
      <c r="D580" t="s">
        <v>76</v>
      </c>
      <c r="E580">
        <v>15037</v>
      </c>
      <c r="F580" t="s">
        <v>207</v>
      </c>
      <c r="G580">
        <v>68300</v>
      </c>
      <c r="H580" t="s">
        <v>20</v>
      </c>
      <c r="I580" t="s">
        <v>21</v>
      </c>
      <c r="J580" t="s">
        <v>570</v>
      </c>
      <c r="K580" t="s">
        <v>23</v>
      </c>
      <c r="L580" t="s">
        <v>447</v>
      </c>
      <c r="N580" t="s">
        <v>203</v>
      </c>
      <c r="O580" t="s">
        <v>27</v>
      </c>
      <c r="P580" s="1">
        <v>44793</v>
      </c>
      <c r="Q580">
        <f t="shared" si="45"/>
        <v>0</v>
      </c>
      <c r="R580">
        <f t="shared" si="46"/>
        <v>0</v>
      </c>
      <c r="S580">
        <f t="shared" si="47"/>
        <v>1</v>
      </c>
      <c r="T580" s="11">
        <f t="shared" si="48"/>
        <v>2020</v>
      </c>
      <c r="U580" s="11">
        <f t="shared" si="49"/>
        <v>15037</v>
      </c>
    </row>
    <row r="581" spans="1:21" x14ac:dyDescent="0.3">
      <c r="A581" t="s">
        <v>1069</v>
      </c>
      <c r="B581">
        <v>2021</v>
      </c>
      <c r="C581" t="s">
        <v>37</v>
      </c>
      <c r="D581" t="s">
        <v>53</v>
      </c>
      <c r="E581">
        <v>7058</v>
      </c>
      <c r="F581" t="s">
        <v>131</v>
      </c>
      <c r="G581">
        <v>116800</v>
      </c>
      <c r="H581" t="s">
        <v>53</v>
      </c>
      <c r="I581" t="s">
        <v>78</v>
      </c>
      <c r="J581" t="s">
        <v>512</v>
      </c>
      <c r="K581" t="s">
        <v>23</v>
      </c>
      <c r="L581" t="s">
        <v>137</v>
      </c>
      <c r="M581" t="s">
        <v>138</v>
      </c>
      <c r="N581" t="s">
        <v>139</v>
      </c>
      <c r="O581" t="s">
        <v>27</v>
      </c>
      <c r="P581" s="1">
        <v>44793</v>
      </c>
      <c r="Q581">
        <f t="shared" si="45"/>
        <v>1</v>
      </c>
      <c r="R581">
        <f t="shared" si="46"/>
        <v>0</v>
      </c>
      <c r="S581">
        <f t="shared" si="47"/>
        <v>0</v>
      </c>
      <c r="T581" s="11">
        <f t="shared" si="48"/>
        <v>2021</v>
      </c>
      <c r="U581" s="11">
        <f t="shared" si="49"/>
        <v>7058</v>
      </c>
    </row>
    <row r="582" spans="1:21" x14ac:dyDescent="0.3">
      <c r="A582" t="s">
        <v>1070</v>
      </c>
      <c r="B582">
        <v>2019</v>
      </c>
      <c r="C582" t="s">
        <v>56</v>
      </c>
      <c r="D582" t="s">
        <v>32</v>
      </c>
      <c r="E582">
        <v>14812</v>
      </c>
      <c r="F582" t="s">
        <v>65</v>
      </c>
      <c r="G582">
        <v>46200</v>
      </c>
      <c r="H582" t="s">
        <v>20</v>
      </c>
      <c r="I582" t="s">
        <v>58</v>
      </c>
      <c r="J582" t="s">
        <v>192</v>
      </c>
      <c r="K582" t="s">
        <v>23</v>
      </c>
      <c r="L582" t="s">
        <v>183</v>
      </c>
      <c r="M582" t="s">
        <v>25</v>
      </c>
      <c r="N582" t="s">
        <v>26</v>
      </c>
      <c r="O582" t="s">
        <v>27</v>
      </c>
      <c r="P582" s="1">
        <v>44793</v>
      </c>
      <c r="Q582">
        <f t="shared" si="45"/>
        <v>0</v>
      </c>
      <c r="R582">
        <f t="shared" si="46"/>
        <v>0</v>
      </c>
      <c r="S582">
        <f t="shared" si="47"/>
        <v>0</v>
      </c>
      <c r="T582" s="11">
        <f t="shared" si="48"/>
        <v>2019</v>
      </c>
      <c r="U582" s="11">
        <f t="shared" si="49"/>
        <v>14812</v>
      </c>
    </row>
    <row r="583" spans="1:21" x14ac:dyDescent="0.3">
      <c r="A583" t="s">
        <v>1071</v>
      </c>
      <c r="B583">
        <v>2021</v>
      </c>
      <c r="C583" t="s">
        <v>17</v>
      </c>
      <c r="D583" t="s">
        <v>76</v>
      </c>
      <c r="E583">
        <v>36977</v>
      </c>
      <c r="F583" t="s">
        <v>207</v>
      </c>
      <c r="G583">
        <v>73600</v>
      </c>
      <c r="H583" t="s">
        <v>20</v>
      </c>
      <c r="I583" t="s">
        <v>21</v>
      </c>
      <c r="J583" t="s">
        <v>570</v>
      </c>
      <c r="K583" t="s">
        <v>23</v>
      </c>
      <c r="L583" t="s">
        <v>292</v>
      </c>
      <c r="M583" t="s">
        <v>172</v>
      </c>
      <c r="N583" t="s">
        <v>173</v>
      </c>
      <c r="O583" t="s">
        <v>27</v>
      </c>
      <c r="P583" s="1">
        <v>44793</v>
      </c>
      <c r="Q583">
        <f t="shared" si="45"/>
        <v>0</v>
      </c>
      <c r="R583">
        <f t="shared" si="46"/>
        <v>0</v>
      </c>
      <c r="S583">
        <f t="shared" si="47"/>
        <v>1</v>
      </c>
      <c r="T583" s="11">
        <f t="shared" si="48"/>
        <v>2021</v>
      </c>
      <c r="U583" s="11">
        <f t="shared" si="49"/>
        <v>36977</v>
      </c>
    </row>
    <row r="584" spans="1:21" x14ac:dyDescent="0.3">
      <c r="A584" t="s">
        <v>1072</v>
      </c>
      <c r="B584">
        <v>2021</v>
      </c>
      <c r="C584" t="s">
        <v>17</v>
      </c>
      <c r="D584" t="s">
        <v>32</v>
      </c>
      <c r="E584">
        <v>52092</v>
      </c>
      <c r="F584" t="s">
        <v>207</v>
      </c>
      <c r="G584">
        <v>65800</v>
      </c>
      <c r="H584" t="s">
        <v>20</v>
      </c>
      <c r="I584" t="s">
        <v>21</v>
      </c>
      <c r="J584" t="s">
        <v>429</v>
      </c>
      <c r="K584" t="s">
        <v>23</v>
      </c>
      <c r="L584" t="s">
        <v>193</v>
      </c>
      <c r="M584" t="s">
        <v>194</v>
      </c>
      <c r="N584" t="s">
        <v>26</v>
      </c>
      <c r="O584" t="s">
        <v>27</v>
      </c>
      <c r="P584" s="1">
        <v>44793</v>
      </c>
      <c r="Q584">
        <f t="shared" si="45"/>
        <v>0</v>
      </c>
      <c r="R584">
        <f t="shared" si="46"/>
        <v>0</v>
      </c>
      <c r="S584">
        <f t="shared" si="47"/>
        <v>1</v>
      </c>
      <c r="T584" s="11">
        <f t="shared" si="48"/>
        <v>2021</v>
      </c>
      <c r="U584" s="11">
        <f t="shared" si="49"/>
        <v>52092</v>
      </c>
    </row>
    <row r="585" spans="1:21" x14ac:dyDescent="0.3">
      <c r="A585" t="s">
        <v>1073</v>
      </c>
      <c r="B585">
        <v>2021</v>
      </c>
      <c r="C585" t="s">
        <v>17</v>
      </c>
      <c r="D585" t="s">
        <v>30</v>
      </c>
      <c r="E585">
        <v>29959</v>
      </c>
      <c r="F585" t="s">
        <v>19</v>
      </c>
      <c r="G585">
        <v>76100</v>
      </c>
      <c r="H585" t="s">
        <v>20</v>
      </c>
      <c r="I585" t="s">
        <v>21</v>
      </c>
      <c r="J585" t="s">
        <v>1074</v>
      </c>
      <c r="K585" t="s">
        <v>23</v>
      </c>
      <c r="L585" t="s">
        <v>179</v>
      </c>
      <c r="M585" t="s">
        <v>180</v>
      </c>
      <c r="N585" t="s">
        <v>173</v>
      </c>
      <c r="O585" t="s">
        <v>27</v>
      </c>
      <c r="P585" s="1">
        <v>44793</v>
      </c>
      <c r="Q585">
        <f t="shared" si="45"/>
        <v>0</v>
      </c>
      <c r="R585">
        <f t="shared" si="46"/>
        <v>0</v>
      </c>
      <c r="S585">
        <f t="shared" si="47"/>
        <v>1</v>
      </c>
      <c r="T585" s="11">
        <f t="shared" si="48"/>
        <v>2021</v>
      </c>
      <c r="U585" s="11">
        <f t="shared" si="49"/>
        <v>29959</v>
      </c>
    </row>
    <row r="586" spans="1:21" x14ac:dyDescent="0.3">
      <c r="A586" t="s">
        <v>1075</v>
      </c>
      <c r="B586">
        <v>2021</v>
      </c>
      <c r="C586" t="s">
        <v>17</v>
      </c>
      <c r="D586" t="s">
        <v>53</v>
      </c>
      <c r="E586">
        <v>26069</v>
      </c>
      <c r="F586" t="s">
        <v>207</v>
      </c>
      <c r="G586">
        <v>76400</v>
      </c>
      <c r="H586" t="s">
        <v>20</v>
      </c>
      <c r="I586" t="s">
        <v>21</v>
      </c>
      <c r="J586" t="s">
        <v>613</v>
      </c>
      <c r="K586" t="s">
        <v>23</v>
      </c>
      <c r="L586" t="s">
        <v>193</v>
      </c>
      <c r="M586" t="s">
        <v>194</v>
      </c>
      <c r="N586" t="s">
        <v>26</v>
      </c>
      <c r="O586" t="s">
        <v>27</v>
      </c>
      <c r="P586" s="1">
        <v>44793</v>
      </c>
      <c r="Q586">
        <f t="shared" si="45"/>
        <v>0</v>
      </c>
      <c r="R586">
        <f t="shared" si="46"/>
        <v>0</v>
      </c>
      <c r="S586">
        <f t="shared" si="47"/>
        <v>1</v>
      </c>
      <c r="T586" s="11">
        <f t="shared" si="48"/>
        <v>2021</v>
      </c>
      <c r="U586" s="11">
        <f t="shared" si="49"/>
        <v>26069</v>
      </c>
    </row>
    <row r="587" spans="1:21" x14ac:dyDescent="0.3">
      <c r="A587" t="s">
        <v>1076</v>
      </c>
      <c r="B587">
        <v>2017</v>
      </c>
      <c r="C587" t="s">
        <v>37</v>
      </c>
      <c r="D587" t="s">
        <v>32</v>
      </c>
      <c r="E587">
        <v>19496</v>
      </c>
      <c r="F587" t="s">
        <v>104</v>
      </c>
      <c r="G587">
        <v>75700</v>
      </c>
      <c r="H587" t="s">
        <v>32</v>
      </c>
      <c r="I587" t="s">
        <v>39</v>
      </c>
      <c r="J587" t="s">
        <v>1077</v>
      </c>
      <c r="K587" t="s">
        <v>23</v>
      </c>
      <c r="N587" t="s">
        <v>127</v>
      </c>
      <c r="O587" t="s">
        <v>27</v>
      </c>
      <c r="P587" s="1">
        <v>44793</v>
      </c>
      <c r="Q587">
        <f t="shared" si="45"/>
        <v>1</v>
      </c>
      <c r="R587">
        <f t="shared" si="46"/>
        <v>0</v>
      </c>
      <c r="S587">
        <f t="shared" si="47"/>
        <v>0</v>
      </c>
      <c r="T587" s="11">
        <f t="shared" si="48"/>
        <v>2017</v>
      </c>
      <c r="U587" s="11">
        <f t="shared" si="49"/>
        <v>19496</v>
      </c>
    </row>
    <row r="588" spans="1:21" x14ac:dyDescent="0.3">
      <c r="A588" t="s">
        <v>1078</v>
      </c>
      <c r="B588">
        <v>2021</v>
      </c>
      <c r="C588" t="s">
        <v>17</v>
      </c>
      <c r="D588" t="s">
        <v>30</v>
      </c>
      <c r="E588">
        <v>18275</v>
      </c>
      <c r="F588" t="s">
        <v>19</v>
      </c>
      <c r="G588">
        <v>76400</v>
      </c>
      <c r="H588" t="s">
        <v>77</v>
      </c>
      <c r="I588" t="s">
        <v>78</v>
      </c>
      <c r="J588" t="s">
        <v>1079</v>
      </c>
      <c r="K588" t="s">
        <v>23</v>
      </c>
      <c r="L588" t="s">
        <v>183</v>
      </c>
      <c r="M588" t="s">
        <v>25</v>
      </c>
      <c r="N588" t="s">
        <v>26</v>
      </c>
      <c r="O588" t="s">
        <v>27</v>
      </c>
      <c r="P588" s="1">
        <v>44793</v>
      </c>
      <c r="Q588">
        <f t="shared" si="45"/>
        <v>0</v>
      </c>
      <c r="R588">
        <f t="shared" si="46"/>
        <v>0</v>
      </c>
      <c r="S588">
        <f t="shared" si="47"/>
        <v>1</v>
      </c>
      <c r="T588" s="11">
        <f t="shared" si="48"/>
        <v>2021</v>
      </c>
      <c r="U588" s="11">
        <f t="shared" si="49"/>
        <v>18275</v>
      </c>
    </row>
    <row r="589" spans="1:21" x14ac:dyDescent="0.3">
      <c r="A589" t="s">
        <v>1080</v>
      </c>
      <c r="B589">
        <v>2019</v>
      </c>
      <c r="C589" t="s">
        <v>56</v>
      </c>
      <c r="D589" t="s">
        <v>32</v>
      </c>
      <c r="E589">
        <v>23055</v>
      </c>
      <c r="F589" t="s">
        <v>65</v>
      </c>
      <c r="G589">
        <v>46700</v>
      </c>
      <c r="H589" t="s">
        <v>20</v>
      </c>
      <c r="I589" t="s">
        <v>78</v>
      </c>
      <c r="J589" t="s">
        <v>317</v>
      </c>
      <c r="K589" t="s">
        <v>23</v>
      </c>
      <c r="N589" t="s">
        <v>127</v>
      </c>
      <c r="O589" t="s">
        <v>27</v>
      </c>
      <c r="P589" s="1">
        <v>44793</v>
      </c>
      <c r="Q589">
        <f t="shared" si="45"/>
        <v>0</v>
      </c>
      <c r="R589">
        <f t="shared" si="46"/>
        <v>0</v>
      </c>
      <c r="S589">
        <f t="shared" si="47"/>
        <v>0</v>
      </c>
      <c r="T589" s="11">
        <f t="shared" si="48"/>
        <v>2019</v>
      </c>
      <c r="U589" s="11">
        <f t="shared" si="49"/>
        <v>23055</v>
      </c>
    </row>
    <row r="590" spans="1:21" x14ac:dyDescent="0.3">
      <c r="A590" t="s">
        <v>1081</v>
      </c>
      <c r="B590">
        <v>2021</v>
      </c>
      <c r="C590" t="s">
        <v>37</v>
      </c>
      <c r="D590" t="s">
        <v>76</v>
      </c>
      <c r="E590">
        <v>11818</v>
      </c>
      <c r="F590" t="s">
        <v>131</v>
      </c>
      <c r="G590">
        <v>120500</v>
      </c>
      <c r="H590" t="s">
        <v>53</v>
      </c>
      <c r="I590" t="s">
        <v>39</v>
      </c>
      <c r="J590" t="s">
        <v>1082</v>
      </c>
      <c r="K590" t="s">
        <v>23</v>
      </c>
      <c r="L590" t="s">
        <v>330</v>
      </c>
      <c r="M590" t="s">
        <v>42</v>
      </c>
      <c r="N590" t="s">
        <v>26</v>
      </c>
      <c r="O590" t="s">
        <v>27</v>
      </c>
      <c r="P590" s="1">
        <v>44793</v>
      </c>
      <c r="Q590">
        <f t="shared" si="45"/>
        <v>1</v>
      </c>
      <c r="R590">
        <f t="shared" si="46"/>
        <v>0</v>
      </c>
      <c r="S590">
        <f t="shared" si="47"/>
        <v>0</v>
      </c>
      <c r="T590" s="11">
        <f t="shared" si="48"/>
        <v>2021</v>
      </c>
      <c r="U590" s="11">
        <f t="shared" si="49"/>
        <v>11818</v>
      </c>
    </row>
    <row r="591" spans="1:21" x14ac:dyDescent="0.3">
      <c r="A591" t="s">
        <v>1083</v>
      </c>
      <c r="B591">
        <v>2020</v>
      </c>
      <c r="C591" t="s">
        <v>56</v>
      </c>
      <c r="D591" t="s">
        <v>32</v>
      </c>
      <c r="E591">
        <v>14644</v>
      </c>
      <c r="F591" t="s">
        <v>65</v>
      </c>
      <c r="G591">
        <v>51000</v>
      </c>
      <c r="H591" t="s">
        <v>20</v>
      </c>
      <c r="I591" t="s">
        <v>78</v>
      </c>
      <c r="J591" t="s">
        <v>317</v>
      </c>
      <c r="K591" t="s">
        <v>23</v>
      </c>
      <c r="N591" t="s">
        <v>127</v>
      </c>
      <c r="O591" t="s">
        <v>27</v>
      </c>
      <c r="P591" s="1">
        <v>44793</v>
      </c>
      <c r="Q591">
        <f t="shared" si="45"/>
        <v>0</v>
      </c>
      <c r="R591">
        <f t="shared" si="46"/>
        <v>0</v>
      </c>
      <c r="S591">
        <f t="shared" si="47"/>
        <v>0</v>
      </c>
      <c r="T591" s="11">
        <f t="shared" si="48"/>
        <v>2020</v>
      </c>
      <c r="U591" s="11">
        <f t="shared" si="49"/>
        <v>14644</v>
      </c>
    </row>
    <row r="592" spans="1:21" x14ac:dyDescent="0.3">
      <c r="A592" t="s">
        <v>1084</v>
      </c>
      <c r="B592">
        <v>2018</v>
      </c>
      <c r="C592" t="s">
        <v>29</v>
      </c>
      <c r="D592" t="s">
        <v>53</v>
      </c>
      <c r="E592">
        <v>25943</v>
      </c>
      <c r="F592" t="s">
        <v>104</v>
      </c>
      <c r="G592">
        <v>82300</v>
      </c>
      <c r="H592" t="s">
        <v>32</v>
      </c>
      <c r="I592" t="s">
        <v>21</v>
      </c>
      <c r="J592" t="s">
        <v>1085</v>
      </c>
      <c r="K592" t="s">
        <v>23</v>
      </c>
      <c r="L592" t="s">
        <v>183</v>
      </c>
      <c r="M592" t="s">
        <v>25</v>
      </c>
      <c r="N592" t="s">
        <v>26</v>
      </c>
      <c r="O592" t="s">
        <v>27</v>
      </c>
      <c r="P592" s="1">
        <v>44793</v>
      </c>
      <c r="Q592">
        <f t="shared" si="45"/>
        <v>0</v>
      </c>
      <c r="R592">
        <f t="shared" si="46"/>
        <v>1</v>
      </c>
      <c r="S592">
        <f t="shared" si="47"/>
        <v>0</v>
      </c>
      <c r="T592" s="11">
        <f t="shared" si="48"/>
        <v>2018</v>
      </c>
      <c r="U592" s="11">
        <f t="shared" si="49"/>
        <v>25943</v>
      </c>
    </row>
    <row r="593" spans="1:21" x14ac:dyDescent="0.3">
      <c r="A593" t="s">
        <v>1086</v>
      </c>
      <c r="B593">
        <v>2021</v>
      </c>
      <c r="C593" t="s">
        <v>56</v>
      </c>
      <c r="D593" t="s">
        <v>93</v>
      </c>
      <c r="E593">
        <v>9839</v>
      </c>
      <c r="F593" t="s">
        <v>57</v>
      </c>
      <c r="G593">
        <v>65800</v>
      </c>
      <c r="H593" t="s">
        <v>20</v>
      </c>
      <c r="I593" t="s">
        <v>58</v>
      </c>
      <c r="J593" t="s">
        <v>842</v>
      </c>
      <c r="K593" t="s">
        <v>23</v>
      </c>
      <c r="N593" t="s">
        <v>127</v>
      </c>
      <c r="O593" t="s">
        <v>27</v>
      </c>
      <c r="P593" s="1">
        <v>44793</v>
      </c>
      <c r="Q593">
        <f t="shared" si="45"/>
        <v>0</v>
      </c>
      <c r="R593">
        <f t="shared" si="46"/>
        <v>0</v>
      </c>
      <c r="S593">
        <f t="shared" si="47"/>
        <v>0</v>
      </c>
      <c r="T593" s="11">
        <f t="shared" si="48"/>
        <v>2021</v>
      </c>
      <c r="U593" s="11">
        <f t="shared" si="49"/>
        <v>9839</v>
      </c>
    </row>
    <row r="594" spans="1:21" x14ac:dyDescent="0.3">
      <c r="A594" t="s">
        <v>1087</v>
      </c>
      <c r="B594">
        <v>2020</v>
      </c>
      <c r="C594" t="s">
        <v>17</v>
      </c>
      <c r="D594" t="s">
        <v>32</v>
      </c>
      <c r="E594">
        <v>11287</v>
      </c>
      <c r="F594" t="s">
        <v>156</v>
      </c>
      <c r="G594">
        <v>71500</v>
      </c>
      <c r="H594" t="s">
        <v>77</v>
      </c>
      <c r="I594" t="s">
        <v>39</v>
      </c>
      <c r="J594" t="s">
        <v>1088</v>
      </c>
      <c r="K594" t="s">
        <v>23</v>
      </c>
      <c r="L594" t="s">
        <v>513</v>
      </c>
      <c r="M594" t="s">
        <v>42</v>
      </c>
      <c r="N594" t="s">
        <v>26</v>
      </c>
      <c r="O594" t="s">
        <v>27</v>
      </c>
      <c r="P594" s="1">
        <v>44793</v>
      </c>
      <c r="Q594">
        <f t="shared" si="45"/>
        <v>0</v>
      </c>
      <c r="R594">
        <f t="shared" si="46"/>
        <v>0</v>
      </c>
      <c r="S594">
        <f t="shared" si="47"/>
        <v>1</v>
      </c>
      <c r="T594" s="11">
        <f t="shared" si="48"/>
        <v>2020</v>
      </c>
      <c r="U594" s="11">
        <f t="shared" si="49"/>
        <v>11287</v>
      </c>
    </row>
    <row r="595" spans="1:21" x14ac:dyDescent="0.3">
      <c r="A595" t="s">
        <v>1089</v>
      </c>
      <c r="B595">
        <v>2020</v>
      </c>
      <c r="C595" t="s">
        <v>29</v>
      </c>
      <c r="D595" t="s">
        <v>32</v>
      </c>
      <c r="E595">
        <v>28888</v>
      </c>
      <c r="F595" t="s">
        <v>31</v>
      </c>
      <c r="G595">
        <v>105500</v>
      </c>
      <c r="H595" t="s">
        <v>32</v>
      </c>
      <c r="I595" t="s">
        <v>110</v>
      </c>
      <c r="J595" t="s">
        <v>1090</v>
      </c>
      <c r="K595" t="s">
        <v>23</v>
      </c>
      <c r="L595" t="s">
        <v>278</v>
      </c>
      <c r="M595" t="s">
        <v>148</v>
      </c>
      <c r="N595" t="s">
        <v>149</v>
      </c>
      <c r="O595" t="s">
        <v>27</v>
      </c>
      <c r="P595" s="1">
        <v>44793</v>
      </c>
      <c r="Q595">
        <f t="shared" si="45"/>
        <v>0</v>
      </c>
      <c r="R595">
        <f t="shared" si="46"/>
        <v>1</v>
      </c>
      <c r="S595">
        <f t="shared" si="47"/>
        <v>0</v>
      </c>
      <c r="T595" s="11">
        <f t="shared" si="48"/>
        <v>2020</v>
      </c>
      <c r="U595" s="11">
        <f t="shared" si="49"/>
        <v>28888</v>
      </c>
    </row>
    <row r="596" spans="1:21" x14ac:dyDescent="0.3">
      <c r="A596" t="s">
        <v>1091</v>
      </c>
      <c r="B596">
        <v>2021</v>
      </c>
      <c r="C596" t="s">
        <v>17</v>
      </c>
      <c r="D596" t="s">
        <v>18</v>
      </c>
      <c r="E596">
        <v>18101</v>
      </c>
      <c r="F596" t="s">
        <v>207</v>
      </c>
      <c r="G596">
        <v>71700</v>
      </c>
      <c r="H596" t="s">
        <v>20</v>
      </c>
      <c r="I596" t="s">
        <v>21</v>
      </c>
      <c r="J596" t="s">
        <v>326</v>
      </c>
      <c r="K596" t="s">
        <v>23</v>
      </c>
      <c r="L596" t="s">
        <v>600</v>
      </c>
      <c r="N596" t="s">
        <v>26</v>
      </c>
      <c r="O596" t="s">
        <v>27</v>
      </c>
      <c r="P596" s="1">
        <v>44793</v>
      </c>
      <c r="Q596">
        <f t="shared" si="45"/>
        <v>0</v>
      </c>
      <c r="R596">
        <f t="shared" si="46"/>
        <v>0</v>
      </c>
      <c r="S596">
        <f t="shared" si="47"/>
        <v>1</v>
      </c>
      <c r="T596" s="11">
        <f t="shared" si="48"/>
        <v>2021</v>
      </c>
      <c r="U596" s="11">
        <f t="shared" si="49"/>
        <v>18101</v>
      </c>
    </row>
    <row r="597" spans="1:21" x14ac:dyDescent="0.3">
      <c r="A597" t="s">
        <v>1092</v>
      </c>
      <c r="B597">
        <v>2020</v>
      </c>
      <c r="C597" t="s">
        <v>17</v>
      </c>
      <c r="D597" t="s">
        <v>32</v>
      </c>
      <c r="E597">
        <v>25887</v>
      </c>
      <c r="F597" t="s">
        <v>207</v>
      </c>
      <c r="G597">
        <v>62800</v>
      </c>
      <c r="H597" t="s">
        <v>20</v>
      </c>
      <c r="I597" t="s">
        <v>78</v>
      </c>
      <c r="J597" t="s">
        <v>386</v>
      </c>
      <c r="K597" t="s">
        <v>23</v>
      </c>
      <c r="L597" t="s">
        <v>122</v>
      </c>
      <c r="M597" t="s">
        <v>113</v>
      </c>
      <c r="N597" t="s">
        <v>114</v>
      </c>
      <c r="O597" t="s">
        <v>27</v>
      </c>
      <c r="P597" s="1">
        <v>44793</v>
      </c>
      <c r="Q597">
        <f t="shared" si="45"/>
        <v>0</v>
      </c>
      <c r="R597">
        <f t="shared" si="46"/>
        <v>0</v>
      </c>
      <c r="S597">
        <f t="shared" si="47"/>
        <v>1</v>
      </c>
      <c r="T597" s="11">
        <f t="shared" si="48"/>
        <v>2020</v>
      </c>
      <c r="U597" s="11">
        <f t="shared" si="49"/>
        <v>25887</v>
      </c>
    </row>
    <row r="598" spans="1:21" x14ac:dyDescent="0.3">
      <c r="A598" t="s">
        <v>1093</v>
      </c>
      <c r="B598">
        <v>2022</v>
      </c>
      <c r="C598" t="s">
        <v>17</v>
      </c>
      <c r="D598" t="s">
        <v>18</v>
      </c>
      <c r="E598">
        <v>7833</v>
      </c>
      <c r="F598" t="s">
        <v>189</v>
      </c>
      <c r="G598">
        <v>80500</v>
      </c>
      <c r="H598" t="s">
        <v>20</v>
      </c>
      <c r="I598" t="s">
        <v>39</v>
      </c>
      <c r="J598" t="s">
        <v>157</v>
      </c>
      <c r="K598" t="s">
        <v>23</v>
      </c>
      <c r="L598" t="s">
        <v>163</v>
      </c>
      <c r="M598" t="s">
        <v>164</v>
      </c>
      <c r="N598" t="s">
        <v>26</v>
      </c>
      <c r="O598" t="s">
        <v>27</v>
      </c>
      <c r="P598" s="1">
        <v>44793</v>
      </c>
      <c r="Q598">
        <f t="shared" si="45"/>
        <v>0</v>
      </c>
      <c r="R598">
        <f t="shared" si="46"/>
        <v>0</v>
      </c>
      <c r="S598">
        <f t="shared" si="47"/>
        <v>1</v>
      </c>
      <c r="T598" s="11">
        <f t="shared" si="48"/>
        <v>2022</v>
      </c>
      <c r="U598" s="11">
        <f t="shared" si="49"/>
        <v>7833</v>
      </c>
    </row>
    <row r="599" spans="1:21" x14ac:dyDescent="0.3">
      <c r="A599" t="s">
        <v>1094</v>
      </c>
      <c r="B599">
        <v>2020</v>
      </c>
      <c r="C599" t="s">
        <v>17</v>
      </c>
      <c r="D599" t="s">
        <v>18</v>
      </c>
      <c r="E599">
        <v>26320</v>
      </c>
      <c r="F599" t="s">
        <v>207</v>
      </c>
      <c r="G599">
        <v>67800</v>
      </c>
      <c r="H599" t="s">
        <v>20</v>
      </c>
      <c r="I599" t="s">
        <v>21</v>
      </c>
      <c r="J599" t="s">
        <v>326</v>
      </c>
      <c r="K599" t="s">
        <v>23</v>
      </c>
      <c r="L599" t="s">
        <v>95</v>
      </c>
      <c r="M599" t="s">
        <v>96</v>
      </c>
      <c r="N599" t="s">
        <v>89</v>
      </c>
      <c r="O599" t="s">
        <v>27</v>
      </c>
      <c r="P599" s="1">
        <v>44793</v>
      </c>
      <c r="Q599">
        <f t="shared" si="45"/>
        <v>0</v>
      </c>
      <c r="R599">
        <f t="shared" si="46"/>
        <v>0</v>
      </c>
      <c r="S599">
        <f t="shared" si="47"/>
        <v>1</v>
      </c>
      <c r="T599" s="11">
        <f t="shared" si="48"/>
        <v>2020</v>
      </c>
      <c r="U599" s="11">
        <f t="shared" si="49"/>
        <v>26320</v>
      </c>
    </row>
    <row r="600" spans="1:21" x14ac:dyDescent="0.3">
      <c r="A600" t="s">
        <v>1095</v>
      </c>
      <c r="B600">
        <v>2018</v>
      </c>
      <c r="C600" t="s">
        <v>29</v>
      </c>
      <c r="D600" t="s">
        <v>32</v>
      </c>
      <c r="E600">
        <v>26628</v>
      </c>
      <c r="F600" t="s">
        <v>52</v>
      </c>
      <c r="G600">
        <v>94100</v>
      </c>
      <c r="H600" t="s">
        <v>53</v>
      </c>
      <c r="I600" t="s">
        <v>110</v>
      </c>
      <c r="J600" t="s">
        <v>1096</v>
      </c>
      <c r="K600" t="s">
        <v>23</v>
      </c>
      <c r="L600" t="s">
        <v>456</v>
      </c>
      <c r="M600" t="s">
        <v>164</v>
      </c>
      <c r="N600" t="s">
        <v>26</v>
      </c>
      <c r="O600" t="s">
        <v>27</v>
      </c>
      <c r="P600" s="1">
        <v>44793</v>
      </c>
      <c r="Q600">
        <f t="shared" si="45"/>
        <v>0</v>
      </c>
      <c r="R600">
        <f t="shared" si="46"/>
        <v>1</v>
      </c>
      <c r="S600">
        <f t="shared" si="47"/>
        <v>0</v>
      </c>
      <c r="T600" s="11">
        <f t="shared" si="48"/>
        <v>2018</v>
      </c>
      <c r="U600" s="11">
        <f t="shared" si="49"/>
        <v>26628</v>
      </c>
    </row>
    <row r="601" spans="1:21" x14ac:dyDescent="0.3">
      <c r="A601" t="s">
        <v>1097</v>
      </c>
      <c r="B601">
        <v>2018</v>
      </c>
      <c r="C601" t="s">
        <v>37</v>
      </c>
      <c r="D601" t="s">
        <v>30</v>
      </c>
      <c r="E601">
        <v>69028</v>
      </c>
      <c r="F601" t="s">
        <v>104</v>
      </c>
      <c r="G601">
        <v>59600</v>
      </c>
      <c r="H601" t="s">
        <v>45</v>
      </c>
      <c r="I601" t="s">
        <v>78</v>
      </c>
      <c r="J601" t="s">
        <v>1098</v>
      </c>
      <c r="K601" t="s">
        <v>23</v>
      </c>
      <c r="L601" t="s">
        <v>47</v>
      </c>
      <c r="M601" t="s">
        <v>48</v>
      </c>
      <c r="N601" t="s">
        <v>49</v>
      </c>
      <c r="O601" t="s">
        <v>27</v>
      </c>
      <c r="P601" s="1">
        <v>44793</v>
      </c>
      <c r="Q601">
        <f t="shared" si="45"/>
        <v>1</v>
      </c>
      <c r="R601">
        <f t="shared" si="46"/>
        <v>0</v>
      </c>
      <c r="S601">
        <f t="shared" si="47"/>
        <v>0</v>
      </c>
      <c r="T601" s="11">
        <f t="shared" si="48"/>
        <v>2018</v>
      </c>
      <c r="U601" s="11">
        <f t="shared" si="49"/>
        <v>69028</v>
      </c>
    </row>
    <row r="602" spans="1:21" x14ac:dyDescent="0.3">
      <c r="A602" t="s">
        <v>1099</v>
      </c>
      <c r="B602">
        <v>2019</v>
      </c>
      <c r="C602" t="s">
        <v>56</v>
      </c>
      <c r="D602" t="s">
        <v>53</v>
      </c>
      <c r="E602">
        <v>23393</v>
      </c>
      <c r="F602" t="s">
        <v>65</v>
      </c>
      <c r="G602">
        <v>49300</v>
      </c>
      <c r="H602" t="s">
        <v>20</v>
      </c>
      <c r="I602" t="s">
        <v>58</v>
      </c>
      <c r="J602" t="s">
        <v>66</v>
      </c>
      <c r="K602" t="s">
        <v>23</v>
      </c>
      <c r="N602" t="s">
        <v>127</v>
      </c>
      <c r="O602" t="s">
        <v>27</v>
      </c>
      <c r="P602" s="1">
        <v>44793</v>
      </c>
      <c r="Q602">
        <f t="shared" si="45"/>
        <v>0</v>
      </c>
      <c r="R602">
        <f t="shared" si="46"/>
        <v>0</v>
      </c>
      <c r="S602">
        <f t="shared" si="47"/>
        <v>0</v>
      </c>
      <c r="T602" s="11">
        <f t="shared" si="48"/>
        <v>2019</v>
      </c>
      <c r="U602" s="11">
        <f t="shared" si="49"/>
        <v>23393</v>
      </c>
    </row>
    <row r="603" spans="1:21" x14ac:dyDescent="0.3">
      <c r="A603" t="s">
        <v>1100</v>
      </c>
      <c r="B603">
        <v>2019</v>
      </c>
      <c r="C603" t="s">
        <v>56</v>
      </c>
      <c r="D603" t="s">
        <v>53</v>
      </c>
      <c r="E603">
        <v>33931</v>
      </c>
      <c r="F603" t="s">
        <v>65</v>
      </c>
      <c r="G603">
        <v>46200</v>
      </c>
      <c r="H603" t="s">
        <v>77</v>
      </c>
      <c r="I603" t="s">
        <v>58</v>
      </c>
      <c r="J603" t="s">
        <v>126</v>
      </c>
      <c r="K603" t="s">
        <v>23</v>
      </c>
      <c r="L603" t="s">
        <v>84</v>
      </c>
      <c r="M603" t="s">
        <v>48</v>
      </c>
      <c r="N603" t="s">
        <v>69</v>
      </c>
      <c r="O603" t="s">
        <v>27</v>
      </c>
      <c r="P603" s="1">
        <v>44793</v>
      </c>
      <c r="Q603">
        <f t="shared" si="45"/>
        <v>0</v>
      </c>
      <c r="R603">
        <f t="shared" si="46"/>
        <v>0</v>
      </c>
      <c r="S603">
        <f t="shared" si="47"/>
        <v>0</v>
      </c>
      <c r="T603" s="11">
        <f t="shared" si="48"/>
        <v>2019</v>
      </c>
      <c r="U603" s="11">
        <f t="shared" si="49"/>
        <v>33931</v>
      </c>
    </row>
    <row r="604" spans="1:21" x14ac:dyDescent="0.3">
      <c r="A604" t="s">
        <v>1101</v>
      </c>
      <c r="B604">
        <v>2020</v>
      </c>
      <c r="C604" t="s">
        <v>29</v>
      </c>
      <c r="D604" t="s">
        <v>76</v>
      </c>
      <c r="E604">
        <v>37447</v>
      </c>
      <c r="F604" t="s">
        <v>31</v>
      </c>
      <c r="G604">
        <v>105000</v>
      </c>
      <c r="H604" t="s">
        <v>53</v>
      </c>
      <c r="I604" t="s">
        <v>110</v>
      </c>
      <c r="J604" t="s">
        <v>1102</v>
      </c>
      <c r="K604" t="s">
        <v>23</v>
      </c>
      <c r="N604" t="s">
        <v>127</v>
      </c>
      <c r="O604" t="s">
        <v>27</v>
      </c>
      <c r="P604" s="1">
        <v>44793</v>
      </c>
      <c r="Q604">
        <f t="shared" si="45"/>
        <v>0</v>
      </c>
      <c r="R604">
        <f t="shared" si="46"/>
        <v>1</v>
      </c>
      <c r="S604">
        <f t="shared" si="47"/>
        <v>0</v>
      </c>
      <c r="T604" s="11">
        <f t="shared" si="48"/>
        <v>2020</v>
      </c>
      <c r="U604" s="11">
        <f t="shared" si="49"/>
        <v>37447</v>
      </c>
    </row>
    <row r="605" spans="1:21" x14ac:dyDescent="0.3">
      <c r="A605" t="s">
        <v>1103</v>
      </c>
      <c r="B605">
        <v>2019</v>
      </c>
      <c r="C605" t="s">
        <v>56</v>
      </c>
      <c r="D605" t="s">
        <v>76</v>
      </c>
      <c r="E605">
        <v>83295</v>
      </c>
      <c r="F605" t="s">
        <v>57</v>
      </c>
      <c r="G605">
        <v>48000</v>
      </c>
      <c r="H605" t="s">
        <v>20</v>
      </c>
      <c r="I605" t="s">
        <v>58</v>
      </c>
      <c r="J605" t="s">
        <v>979</v>
      </c>
      <c r="K605" t="s">
        <v>23</v>
      </c>
      <c r="L605" t="s">
        <v>474</v>
      </c>
      <c r="M605" t="s">
        <v>255</v>
      </c>
      <c r="N605" t="s">
        <v>256</v>
      </c>
      <c r="O605" t="s">
        <v>27</v>
      </c>
      <c r="P605" s="1">
        <v>44793</v>
      </c>
      <c r="Q605">
        <f t="shared" si="45"/>
        <v>0</v>
      </c>
      <c r="R605">
        <f t="shared" si="46"/>
        <v>0</v>
      </c>
      <c r="S605">
        <f t="shared" si="47"/>
        <v>0</v>
      </c>
      <c r="T605" s="11">
        <f t="shared" si="48"/>
        <v>2019</v>
      </c>
      <c r="U605" s="11">
        <f t="shared" si="49"/>
        <v>83295</v>
      </c>
    </row>
    <row r="606" spans="1:21" x14ac:dyDescent="0.3">
      <c r="A606" t="s">
        <v>1104</v>
      </c>
      <c r="B606">
        <v>2019</v>
      </c>
      <c r="C606" t="s">
        <v>56</v>
      </c>
      <c r="D606" t="s">
        <v>53</v>
      </c>
      <c r="E606">
        <v>44190</v>
      </c>
      <c r="F606" t="s">
        <v>65</v>
      </c>
      <c r="G606">
        <v>44200</v>
      </c>
      <c r="H606" t="s">
        <v>20</v>
      </c>
      <c r="I606" t="s">
        <v>58</v>
      </c>
      <c r="J606" t="s">
        <v>66</v>
      </c>
      <c r="K606" t="s">
        <v>23</v>
      </c>
      <c r="L606" t="s">
        <v>147</v>
      </c>
      <c r="M606" t="s">
        <v>148</v>
      </c>
      <c r="N606" t="s">
        <v>149</v>
      </c>
      <c r="O606" t="s">
        <v>27</v>
      </c>
      <c r="P606" s="1">
        <v>44793</v>
      </c>
      <c r="Q606">
        <f t="shared" si="45"/>
        <v>0</v>
      </c>
      <c r="R606">
        <f t="shared" si="46"/>
        <v>0</v>
      </c>
      <c r="S606">
        <f t="shared" si="47"/>
        <v>0</v>
      </c>
      <c r="T606" s="11">
        <f t="shared" si="48"/>
        <v>2019</v>
      </c>
      <c r="U606" s="11">
        <f t="shared" si="49"/>
        <v>44190</v>
      </c>
    </row>
    <row r="607" spans="1:21" x14ac:dyDescent="0.3">
      <c r="A607" t="s">
        <v>1105</v>
      </c>
      <c r="B607">
        <v>2019</v>
      </c>
      <c r="C607" t="s">
        <v>56</v>
      </c>
      <c r="D607" t="s">
        <v>32</v>
      </c>
      <c r="E607">
        <v>46161</v>
      </c>
      <c r="F607" t="s">
        <v>57</v>
      </c>
      <c r="G607">
        <v>53300</v>
      </c>
      <c r="H607" t="s">
        <v>77</v>
      </c>
      <c r="I607" t="s">
        <v>78</v>
      </c>
      <c r="J607" t="s">
        <v>650</v>
      </c>
      <c r="K607" t="s">
        <v>23</v>
      </c>
      <c r="L607" t="s">
        <v>474</v>
      </c>
      <c r="M607" t="s">
        <v>255</v>
      </c>
      <c r="N607" t="s">
        <v>256</v>
      </c>
      <c r="O607" t="s">
        <v>27</v>
      </c>
      <c r="P607" s="1">
        <v>44793</v>
      </c>
      <c r="Q607">
        <f t="shared" si="45"/>
        <v>0</v>
      </c>
      <c r="R607">
        <f t="shared" si="46"/>
        <v>0</v>
      </c>
      <c r="S607">
        <f t="shared" si="47"/>
        <v>0</v>
      </c>
      <c r="T607" s="11">
        <f t="shared" si="48"/>
        <v>2019</v>
      </c>
      <c r="U607" s="11">
        <f t="shared" si="49"/>
        <v>46161</v>
      </c>
    </row>
    <row r="608" spans="1:21" x14ac:dyDescent="0.3">
      <c r="A608" t="s">
        <v>1106</v>
      </c>
      <c r="B608">
        <v>2017</v>
      </c>
      <c r="C608" t="s">
        <v>37</v>
      </c>
      <c r="D608" t="s">
        <v>53</v>
      </c>
      <c r="E608">
        <v>45201</v>
      </c>
      <c r="F608" t="s">
        <v>52</v>
      </c>
      <c r="G608">
        <v>71500</v>
      </c>
      <c r="H608" t="s">
        <v>53</v>
      </c>
      <c r="I608" t="s">
        <v>78</v>
      </c>
      <c r="J608" t="s">
        <v>1107</v>
      </c>
      <c r="K608" t="s">
        <v>23</v>
      </c>
      <c r="L608" t="s">
        <v>494</v>
      </c>
      <c r="M608" t="s">
        <v>113</v>
      </c>
      <c r="N608" t="s">
        <v>114</v>
      </c>
      <c r="O608" t="s">
        <v>27</v>
      </c>
      <c r="P608" s="1">
        <v>44793</v>
      </c>
      <c r="Q608">
        <f t="shared" si="45"/>
        <v>1</v>
      </c>
      <c r="R608">
        <f t="shared" si="46"/>
        <v>0</v>
      </c>
      <c r="S608">
        <f t="shared" si="47"/>
        <v>0</v>
      </c>
      <c r="T608" s="11">
        <f t="shared" si="48"/>
        <v>2017</v>
      </c>
      <c r="U608" s="11">
        <f t="shared" si="49"/>
        <v>45201</v>
      </c>
    </row>
    <row r="609" spans="1:21" x14ac:dyDescent="0.3">
      <c r="A609" t="s">
        <v>1108</v>
      </c>
      <c r="B609">
        <v>2018</v>
      </c>
      <c r="C609" t="s">
        <v>56</v>
      </c>
      <c r="D609" t="s">
        <v>30</v>
      </c>
      <c r="E609">
        <v>40492</v>
      </c>
      <c r="F609" t="s">
        <v>71</v>
      </c>
      <c r="G609">
        <v>56900</v>
      </c>
      <c r="H609" t="s">
        <v>20</v>
      </c>
      <c r="I609" t="s">
        <v>21</v>
      </c>
      <c r="J609" t="s">
        <v>384</v>
      </c>
      <c r="K609" t="s">
        <v>23</v>
      </c>
      <c r="L609" t="s">
        <v>474</v>
      </c>
      <c r="M609" t="s">
        <v>255</v>
      </c>
      <c r="N609" t="s">
        <v>256</v>
      </c>
      <c r="O609" t="s">
        <v>27</v>
      </c>
      <c r="P609" s="1">
        <v>44793</v>
      </c>
      <c r="Q609">
        <f t="shared" si="45"/>
        <v>0</v>
      </c>
      <c r="R609">
        <f t="shared" si="46"/>
        <v>0</v>
      </c>
      <c r="S609">
        <f t="shared" si="47"/>
        <v>0</v>
      </c>
      <c r="T609" s="11">
        <f t="shared" si="48"/>
        <v>2018</v>
      </c>
      <c r="U609" s="11">
        <f t="shared" si="49"/>
        <v>40492</v>
      </c>
    </row>
    <row r="610" spans="1:21" x14ac:dyDescent="0.3">
      <c r="A610" t="s">
        <v>1109</v>
      </c>
      <c r="B610">
        <v>2021</v>
      </c>
      <c r="C610" t="s">
        <v>17</v>
      </c>
      <c r="D610" t="s">
        <v>32</v>
      </c>
      <c r="E610">
        <v>21502</v>
      </c>
      <c r="F610" t="s">
        <v>19</v>
      </c>
      <c r="G610">
        <v>71100</v>
      </c>
      <c r="H610" t="s">
        <v>77</v>
      </c>
      <c r="I610" t="s">
        <v>21</v>
      </c>
      <c r="J610" t="s">
        <v>476</v>
      </c>
      <c r="K610" t="s">
        <v>23</v>
      </c>
      <c r="L610" t="s">
        <v>494</v>
      </c>
      <c r="M610" t="s">
        <v>113</v>
      </c>
      <c r="N610" t="s">
        <v>114</v>
      </c>
      <c r="O610" t="s">
        <v>27</v>
      </c>
      <c r="P610" s="1">
        <v>44793</v>
      </c>
      <c r="Q610">
        <f t="shared" si="45"/>
        <v>0</v>
      </c>
      <c r="R610">
        <f t="shared" si="46"/>
        <v>0</v>
      </c>
      <c r="S610">
        <f t="shared" si="47"/>
        <v>1</v>
      </c>
      <c r="T610" s="11">
        <f t="shared" si="48"/>
        <v>2021</v>
      </c>
      <c r="U610" s="11">
        <f t="shared" si="49"/>
        <v>21502</v>
      </c>
    </row>
    <row r="611" spans="1:21" x14ac:dyDescent="0.3">
      <c r="A611" t="s">
        <v>1110</v>
      </c>
      <c r="B611">
        <v>2022</v>
      </c>
      <c r="C611" t="s">
        <v>56</v>
      </c>
      <c r="D611" t="s">
        <v>53</v>
      </c>
      <c r="E611">
        <v>1518</v>
      </c>
      <c r="F611" t="s">
        <v>508</v>
      </c>
      <c r="G611">
        <v>69600</v>
      </c>
      <c r="H611" t="s">
        <v>20</v>
      </c>
      <c r="I611" t="s">
        <v>78</v>
      </c>
      <c r="J611" t="s">
        <v>564</v>
      </c>
      <c r="K611" t="s">
        <v>23</v>
      </c>
      <c r="L611" t="s">
        <v>34</v>
      </c>
      <c r="N611" t="s">
        <v>35</v>
      </c>
      <c r="O611" t="s">
        <v>27</v>
      </c>
      <c r="P611" s="1">
        <v>44793</v>
      </c>
      <c r="Q611">
        <f t="shared" si="45"/>
        <v>0</v>
      </c>
      <c r="R611">
        <f t="shared" si="46"/>
        <v>0</v>
      </c>
      <c r="S611">
        <f t="shared" si="47"/>
        <v>0</v>
      </c>
      <c r="T611" s="11">
        <f t="shared" si="48"/>
        <v>2022</v>
      </c>
      <c r="U611" s="11">
        <f t="shared" si="49"/>
        <v>1518</v>
      </c>
    </row>
    <row r="612" spans="1:21" x14ac:dyDescent="0.3">
      <c r="A612" t="s">
        <v>1111</v>
      </c>
      <c r="B612">
        <v>2021</v>
      </c>
      <c r="C612" t="s">
        <v>37</v>
      </c>
      <c r="D612" t="s">
        <v>51</v>
      </c>
      <c r="E612">
        <v>7995</v>
      </c>
      <c r="F612" t="s">
        <v>131</v>
      </c>
      <c r="G612">
        <v>111500</v>
      </c>
      <c r="H612" t="s">
        <v>53</v>
      </c>
      <c r="I612" t="s">
        <v>39</v>
      </c>
      <c r="J612" t="s">
        <v>319</v>
      </c>
      <c r="K612" t="s">
        <v>23</v>
      </c>
      <c r="L612" t="s">
        <v>122</v>
      </c>
      <c r="M612" t="s">
        <v>113</v>
      </c>
      <c r="N612" t="s">
        <v>114</v>
      </c>
      <c r="O612" t="s">
        <v>27</v>
      </c>
      <c r="P612" s="1">
        <v>44793</v>
      </c>
      <c r="Q612">
        <f t="shared" si="45"/>
        <v>1</v>
      </c>
      <c r="R612">
        <f t="shared" si="46"/>
        <v>0</v>
      </c>
      <c r="S612">
        <f t="shared" si="47"/>
        <v>0</v>
      </c>
      <c r="T612" s="11">
        <f t="shared" si="48"/>
        <v>2021</v>
      </c>
      <c r="U612" s="11">
        <f t="shared" si="49"/>
        <v>7995</v>
      </c>
    </row>
    <row r="613" spans="1:21" x14ac:dyDescent="0.3">
      <c r="A613" t="s">
        <v>1112</v>
      </c>
      <c r="B613">
        <v>2020</v>
      </c>
      <c r="C613" t="s">
        <v>17</v>
      </c>
      <c r="D613" t="s">
        <v>32</v>
      </c>
      <c r="E613">
        <v>36644</v>
      </c>
      <c r="F613" t="s">
        <v>207</v>
      </c>
      <c r="G613">
        <v>63500</v>
      </c>
      <c r="H613" t="s">
        <v>77</v>
      </c>
      <c r="I613" t="s">
        <v>78</v>
      </c>
      <c r="J613" t="s">
        <v>277</v>
      </c>
      <c r="K613" t="s">
        <v>23</v>
      </c>
      <c r="L613" t="s">
        <v>768</v>
      </c>
      <c r="M613" t="s">
        <v>68</v>
      </c>
      <c r="N613" t="s">
        <v>69</v>
      </c>
      <c r="O613" t="s">
        <v>27</v>
      </c>
      <c r="P613" s="1">
        <v>44793</v>
      </c>
      <c r="Q613">
        <f t="shared" si="45"/>
        <v>0</v>
      </c>
      <c r="R613">
        <f t="shared" si="46"/>
        <v>0</v>
      </c>
      <c r="S613">
        <f t="shared" si="47"/>
        <v>1</v>
      </c>
      <c r="T613" s="11">
        <f t="shared" si="48"/>
        <v>2020</v>
      </c>
      <c r="U613" s="11">
        <f t="shared" si="49"/>
        <v>36644</v>
      </c>
    </row>
    <row r="614" spans="1:21" x14ac:dyDescent="0.3">
      <c r="A614" t="s">
        <v>1113</v>
      </c>
      <c r="B614">
        <v>2020</v>
      </c>
      <c r="C614" t="s">
        <v>17</v>
      </c>
      <c r="D614" t="s">
        <v>32</v>
      </c>
      <c r="E614">
        <v>25137</v>
      </c>
      <c r="F614" t="s">
        <v>207</v>
      </c>
      <c r="G614">
        <v>62500</v>
      </c>
      <c r="H614" t="s">
        <v>20</v>
      </c>
      <c r="I614" t="s">
        <v>78</v>
      </c>
      <c r="J614" t="s">
        <v>386</v>
      </c>
      <c r="K614" t="s">
        <v>23</v>
      </c>
      <c r="L614" t="s">
        <v>122</v>
      </c>
      <c r="M614" t="s">
        <v>113</v>
      </c>
      <c r="N614" t="s">
        <v>114</v>
      </c>
      <c r="O614" t="s">
        <v>27</v>
      </c>
      <c r="P614" s="1">
        <v>44793</v>
      </c>
      <c r="Q614">
        <f t="shared" si="45"/>
        <v>0</v>
      </c>
      <c r="R614">
        <f t="shared" si="46"/>
        <v>0</v>
      </c>
      <c r="S614">
        <f t="shared" si="47"/>
        <v>1</v>
      </c>
      <c r="T614" s="11">
        <f t="shared" si="48"/>
        <v>2020</v>
      </c>
      <c r="U614" s="11">
        <f t="shared" si="49"/>
        <v>25137</v>
      </c>
    </row>
    <row r="615" spans="1:21" x14ac:dyDescent="0.3">
      <c r="A615" t="s">
        <v>1114</v>
      </c>
      <c r="B615">
        <v>2020</v>
      </c>
      <c r="C615" t="s">
        <v>17</v>
      </c>
      <c r="D615" t="s">
        <v>18</v>
      </c>
      <c r="E615">
        <v>22871</v>
      </c>
      <c r="F615" t="s">
        <v>207</v>
      </c>
      <c r="G615">
        <v>65900</v>
      </c>
      <c r="H615" t="s">
        <v>20</v>
      </c>
      <c r="I615" t="s">
        <v>78</v>
      </c>
      <c r="J615" t="s">
        <v>881</v>
      </c>
      <c r="K615" t="s">
        <v>23</v>
      </c>
      <c r="L615" t="s">
        <v>371</v>
      </c>
      <c r="M615" t="s">
        <v>48</v>
      </c>
      <c r="N615" t="s">
        <v>49</v>
      </c>
      <c r="O615" t="s">
        <v>27</v>
      </c>
      <c r="P615" s="1">
        <v>44793</v>
      </c>
      <c r="Q615">
        <f t="shared" si="45"/>
        <v>0</v>
      </c>
      <c r="R615">
        <f t="shared" si="46"/>
        <v>0</v>
      </c>
      <c r="S615">
        <f t="shared" si="47"/>
        <v>1</v>
      </c>
      <c r="T615" s="11">
        <f t="shared" si="48"/>
        <v>2020</v>
      </c>
      <c r="U615" s="11">
        <f t="shared" si="49"/>
        <v>22871</v>
      </c>
    </row>
    <row r="616" spans="1:21" x14ac:dyDescent="0.3">
      <c r="A616" t="s">
        <v>1115</v>
      </c>
      <c r="B616">
        <v>2020</v>
      </c>
      <c r="C616" t="s">
        <v>17</v>
      </c>
      <c r="D616" t="s">
        <v>30</v>
      </c>
      <c r="E616">
        <v>27636</v>
      </c>
      <c r="F616" t="s">
        <v>207</v>
      </c>
      <c r="G616">
        <v>68400</v>
      </c>
      <c r="H616" t="s">
        <v>77</v>
      </c>
      <c r="I616" t="s">
        <v>21</v>
      </c>
      <c r="J616" t="s">
        <v>1116</v>
      </c>
      <c r="K616" t="s">
        <v>23</v>
      </c>
      <c r="L616" t="s">
        <v>112</v>
      </c>
      <c r="M616" t="s">
        <v>113</v>
      </c>
      <c r="N616" t="s">
        <v>114</v>
      </c>
      <c r="O616" t="s">
        <v>27</v>
      </c>
      <c r="P616" s="1">
        <v>44793</v>
      </c>
      <c r="Q616">
        <f t="shared" si="45"/>
        <v>0</v>
      </c>
      <c r="R616">
        <f t="shared" si="46"/>
        <v>0</v>
      </c>
      <c r="S616">
        <f t="shared" si="47"/>
        <v>1</v>
      </c>
      <c r="T616" s="11">
        <f t="shared" si="48"/>
        <v>2020</v>
      </c>
      <c r="U616" s="11">
        <f t="shared" si="49"/>
        <v>27636</v>
      </c>
    </row>
    <row r="617" spans="1:21" x14ac:dyDescent="0.3">
      <c r="A617" t="s">
        <v>1117</v>
      </c>
      <c r="B617">
        <v>2020</v>
      </c>
      <c r="C617" t="s">
        <v>17</v>
      </c>
      <c r="D617" t="s">
        <v>30</v>
      </c>
      <c r="E617">
        <v>34611</v>
      </c>
      <c r="F617" t="s">
        <v>207</v>
      </c>
      <c r="G617">
        <v>67300</v>
      </c>
      <c r="H617" t="s">
        <v>20</v>
      </c>
      <c r="I617" t="s">
        <v>21</v>
      </c>
      <c r="J617" t="s">
        <v>626</v>
      </c>
      <c r="K617" t="s">
        <v>23</v>
      </c>
      <c r="L617" t="s">
        <v>60</v>
      </c>
      <c r="M617" t="s">
        <v>48</v>
      </c>
      <c r="N617" t="s">
        <v>49</v>
      </c>
      <c r="O617" t="s">
        <v>27</v>
      </c>
      <c r="P617" s="1">
        <v>44793</v>
      </c>
      <c r="Q617">
        <f t="shared" si="45"/>
        <v>0</v>
      </c>
      <c r="R617">
        <f t="shared" si="46"/>
        <v>0</v>
      </c>
      <c r="S617">
        <f t="shared" si="47"/>
        <v>1</v>
      </c>
      <c r="T617" s="11">
        <f t="shared" si="48"/>
        <v>2020</v>
      </c>
      <c r="U617" s="11">
        <f t="shared" si="49"/>
        <v>34611</v>
      </c>
    </row>
    <row r="618" spans="1:21" x14ac:dyDescent="0.3">
      <c r="A618" t="s">
        <v>1118</v>
      </c>
      <c r="B618">
        <v>2020</v>
      </c>
      <c r="C618" t="s">
        <v>17</v>
      </c>
      <c r="D618" t="s">
        <v>32</v>
      </c>
      <c r="E618">
        <v>19909</v>
      </c>
      <c r="F618" t="s">
        <v>207</v>
      </c>
      <c r="G618">
        <v>66000</v>
      </c>
      <c r="H618" t="s">
        <v>20</v>
      </c>
      <c r="I618" t="s">
        <v>21</v>
      </c>
      <c r="J618" t="s">
        <v>506</v>
      </c>
      <c r="K618" t="s">
        <v>23</v>
      </c>
      <c r="L618" t="s">
        <v>1119</v>
      </c>
      <c r="M618" t="s">
        <v>1120</v>
      </c>
      <c r="N618" t="s">
        <v>119</v>
      </c>
      <c r="O618" t="s">
        <v>27</v>
      </c>
      <c r="P618" s="1">
        <v>44793</v>
      </c>
      <c r="Q618">
        <f t="shared" si="45"/>
        <v>0</v>
      </c>
      <c r="R618">
        <f t="shared" si="46"/>
        <v>0</v>
      </c>
      <c r="S618">
        <f t="shared" si="47"/>
        <v>1</v>
      </c>
      <c r="T618" s="11">
        <f t="shared" si="48"/>
        <v>2020</v>
      </c>
      <c r="U618" s="11">
        <f t="shared" si="49"/>
        <v>19909</v>
      </c>
    </row>
    <row r="619" spans="1:21" x14ac:dyDescent="0.3">
      <c r="A619" t="s">
        <v>1121</v>
      </c>
      <c r="B619">
        <v>2020</v>
      </c>
      <c r="C619" t="s">
        <v>17</v>
      </c>
      <c r="D619" t="s">
        <v>76</v>
      </c>
      <c r="E619">
        <v>22165</v>
      </c>
      <c r="F619" t="s">
        <v>207</v>
      </c>
      <c r="G619">
        <v>68200</v>
      </c>
      <c r="H619" t="s">
        <v>20</v>
      </c>
      <c r="I619" t="s">
        <v>21</v>
      </c>
      <c r="J619" t="s">
        <v>1122</v>
      </c>
      <c r="K619" t="s">
        <v>23</v>
      </c>
      <c r="L619" t="s">
        <v>84</v>
      </c>
      <c r="M619" t="s">
        <v>48</v>
      </c>
      <c r="N619" t="s">
        <v>69</v>
      </c>
      <c r="O619" t="s">
        <v>27</v>
      </c>
      <c r="P619" s="1">
        <v>44793</v>
      </c>
      <c r="Q619">
        <f t="shared" si="45"/>
        <v>0</v>
      </c>
      <c r="R619">
        <f t="shared" si="46"/>
        <v>0</v>
      </c>
      <c r="S619">
        <f t="shared" si="47"/>
        <v>1</v>
      </c>
      <c r="T619" s="11">
        <f t="shared" si="48"/>
        <v>2020</v>
      </c>
      <c r="U619" s="11">
        <f t="shared" si="49"/>
        <v>22165</v>
      </c>
    </row>
    <row r="620" spans="1:21" x14ac:dyDescent="0.3">
      <c r="A620" t="s">
        <v>1123</v>
      </c>
      <c r="B620">
        <v>2020</v>
      </c>
      <c r="C620" t="s">
        <v>17</v>
      </c>
      <c r="D620" t="s">
        <v>18</v>
      </c>
      <c r="E620">
        <v>37058</v>
      </c>
      <c r="F620" t="s">
        <v>207</v>
      </c>
      <c r="G620">
        <v>73200</v>
      </c>
      <c r="H620" t="s">
        <v>20</v>
      </c>
      <c r="I620" t="s">
        <v>78</v>
      </c>
      <c r="J620" t="s">
        <v>1124</v>
      </c>
      <c r="K620" t="s">
        <v>23</v>
      </c>
      <c r="L620" t="s">
        <v>95</v>
      </c>
      <c r="M620" t="s">
        <v>96</v>
      </c>
      <c r="N620" t="s">
        <v>89</v>
      </c>
      <c r="O620" t="s">
        <v>27</v>
      </c>
      <c r="P620" s="1">
        <v>44793</v>
      </c>
      <c r="Q620">
        <f t="shared" si="45"/>
        <v>0</v>
      </c>
      <c r="R620">
        <f t="shared" si="46"/>
        <v>0</v>
      </c>
      <c r="S620">
        <f t="shared" si="47"/>
        <v>1</v>
      </c>
      <c r="T620" s="11">
        <f t="shared" si="48"/>
        <v>2020</v>
      </c>
      <c r="U620" s="11">
        <f t="shared" si="49"/>
        <v>37058</v>
      </c>
    </row>
    <row r="621" spans="1:21" x14ac:dyDescent="0.3">
      <c r="A621" t="s">
        <v>1125</v>
      </c>
      <c r="B621">
        <v>2020</v>
      </c>
      <c r="C621" t="s">
        <v>17</v>
      </c>
      <c r="D621" t="s">
        <v>53</v>
      </c>
      <c r="E621">
        <v>25396</v>
      </c>
      <c r="F621" t="s">
        <v>207</v>
      </c>
      <c r="G621">
        <v>69400</v>
      </c>
      <c r="H621" t="s">
        <v>20</v>
      </c>
      <c r="I621" t="s">
        <v>21</v>
      </c>
      <c r="J621" t="s">
        <v>613</v>
      </c>
      <c r="K621" t="s">
        <v>23</v>
      </c>
      <c r="L621" t="s">
        <v>756</v>
      </c>
      <c r="M621" t="s">
        <v>261</v>
      </c>
      <c r="N621" t="s">
        <v>262</v>
      </c>
      <c r="O621" t="s">
        <v>27</v>
      </c>
      <c r="P621" s="1">
        <v>44793</v>
      </c>
      <c r="Q621">
        <f t="shared" si="45"/>
        <v>0</v>
      </c>
      <c r="R621">
        <f t="shared" si="46"/>
        <v>0</v>
      </c>
      <c r="S621">
        <f t="shared" si="47"/>
        <v>1</v>
      </c>
      <c r="T621" s="11">
        <f t="shared" si="48"/>
        <v>2020</v>
      </c>
      <c r="U621" s="11">
        <f t="shared" si="49"/>
        <v>25396</v>
      </c>
    </row>
    <row r="622" spans="1:21" x14ac:dyDescent="0.3">
      <c r="A622" t="s">
        <v>1126</v>
      </c>
      <c r="B622">
        <v>2019</v>
      </c>
      <c r="C622" t="s">
        <v>56</v>
      </c>
      <c r="D622" t="s">
        <v>93</v>
      </c>
      <c r="E622">
        <v>28002</v>
      </c>
      <c r="F622" t="s">
        <v>65</v>
      </c>
      <c r="G622">
        <v>46800</v>
      </c>
      <c r="H622" t="s">
        <v>20</v>
      </c>
      <c r="I622" t="s">
        <v>58</v>
      </c>
      <c r="J622" t="s">
        <v>294</v>
      </c>
      <c r="K622" t="s">
        <v>23</v>
      </c>
      <c r="L622" t="s">
        <v>47</v>
      </c>
      <c r="M622" t="s">
        <v>48</v>
      </c>
      <c r="N622" t="s">
        <v>49</v>
      </c>
      <c r="O622" t="s">
        <v>27</v>
      </c>
      <c r="P622" s="1">
        <v>44793</v>
      </c>
      <c r="Q622">
        <f t="shared" si="45"/>
        <v>0</v>
      </c>
      <c r="R622">
        <f t="shared" si="46"/>
        <v>0</v>
      </c>
      <c r="S622">
        <f t="shared" si="47"/>
        <v>0</v>
      </c>
      <c r="T622" s="11">
        <f t="shared" si="48"/>
        <v>2019</v>
      </c>
      <c r="U622" s="11">
        <f t="shared" si="49"/>
        <v>28002</v>
      </c>
    </row>
    <row r="623" spans="1:21" x14ac:dyDescent="0.3">
      <c r="A623" t="s">
        <v>1127</v>
      </c>
      <c r="B623">
        <v>2021</v>
      </c>
      <c r="C623" t="s">
        <v>37</v>
      </c>
      <c r="D623" t="s">
        <v>53</v>
      </c>
      <c r="E623">
        <v>7742</v>
      </c>
      <c r="F623" t="s">
        <v>131</v>
      </c>
      <c r="G623">
        <v>118200</v>
      </c>
      <c r="H623" t="s">
        <v>53</v>
      </c>
      <c r="I623" t="s">
        <v>39</v>
      </c>
      <c r="J623" t="s">
        <v>552</v>
      </c>
      <c r="K623" t="s">
        <v>23</v>
      </c>
      <c r="L623" t="s">
        <v>342</v>
      </c>
      <c r="M623" t="s">
        <v>244</v>
      </c>
      <c r="N623" t="s">
        <v>245</v>
      </c>
      <c r="O623" t="s">
        <v>27</v>
      </c>
      <c r="P623" s="1">
        <v>44793</v>
      </c>
      <c r="Q623">
        <f t="shared" si="45"/>
        <v>1</v>
      </c>
      <c r="R623">
        <f t="shared" si="46"/>
        <v>0</v>
      </c>
      <c r="S623">
        <f t="shared" si="47"/>
        <v>0</v>
      </c>
      <c r="T623" s="11">
        <f t="shared" si="48"/>
        <v>2021</v>
      </c>
      <c r="U623" s="11">
        <f t="shared" si="49"/>
        <v>7742</v>
      </c>
    </row>
    <row r="624" spans="1:21" x14ac:dyDescent="0.3">
      <c r="A624" t="s">
        <v>1128</v>
      </c>
      <c r="B624">
        <v>2019</v>
      </c>
      <c r="C624" t="s">
        <v>56</v>
      </c>
      <c r="D624" t="s">
        <v>32</v>
      </c>
      <c r="E624">
        <v>38016</v>
      </c>
      <c r="F624" t="s">
        <v>57</v>
      </c>
      <c r="G624">
        <v>52500</v>
      </c>
      <c r="H624" t="s">
        <v>77</v>
      </c>
      <c r="I624" t="s">
        <v>78</v>
      </c>
      <c r="J624" t="s">
        <v>650</v>
      </c>
      <c r="K624" t="s">
        <v>23</v>
      </c>
      <c r="L624" t="s">
        <v>34</v>
      </c>
      <c r="N624" t="s">
        <v>35</v>
      </c>
      <c r="O624" t="s">
        <v>27</v>
      </c>
      <c r="P624" s="1">
        <v>44793</v>
      </c>
      <c r="Q624">
        <f t="shared" si="45"/>
        <v>0</v>
      </c>
      <c r="R624">
        <f t="shared" si="46"/>
        <v>0</v>
      </c>
      <c r="S624">
        <f t="shared" si="47"/>
        <v>0</v>
      </c>
      <c r="T624" s="11">
        <f t="shared" si="48"/>
        <v>2019</v>
      </c>
      <c r="U624" s="11">
        <f t="shared" si="49"/>
        <v>38016</v>
      </c>
    </row>
    <row r="625" spans="1:21" x14ac:dyDescent="0.3">
      <c r="A625" t="s">
        <v>1129</v>
      </c>
      <c r="B625">
        <v>2019</v>
      </c>
      <c r="C625" t="s">
        <v>56</v>
      </c>
      <c r="D625" t="s">
        <v>93</v>
      </c>
      <c r="E625">
        <v>30228</v>
      </c>
      <c r="F625" t="s">
        <v>65</v>
      </c>
      <c r="G625">
        <v>51800</v>
      </c>
      <c r="H625" t="s">
        <v>20</v>
      </c>
      <c r="I625" t="s">
        <v>58</v>
      </c>
      <c r="J625" t="s">
        <v>294</v>
      </c>
      <c r="K625" t="s">
        <v>23</v>
      </c>
      <c r="L625" t="s">
        <v>201</v>
      </c>
      <c r="M625" t="s">
        <v>202</v>
      </c>
      <c r="N625" t="s">
        <v>203</v>
      </c>
      <c r="O625" t="s">
        <v>27</v>
      </c>
      <c r="P625" s="1">
        <v>44793</v>
      </c>
      <c r="Q625">
        <f t="shared" si="45"/>
        <v>0</v>
      </c>
      <c r="R625">
        <f t="shared" si="46"/>
        <v>0</v>
      </c>
      <c r="S625">
        <f t="shared" si="47"/>
        <v>0</v>
      </c>
      <c r="T625" s="11">
        <f t="shared" si="48"/>
        <v>2019</v>
      </c>
      <c r="U625" s="11">
        <f t="shared" si="49"/>
        <v>30228</v>
      </c>
    </row>
    <row r="626" spans="1:21" x14ac:dyDescent="0.3">
      <c r="A626" t="s">
        <v>1130</v>
      </c>
      <c r="B626">
        <v>2018</v>
      </c>
      <c r="C626" t="s">
        <v>29</v>
      </c>
      <c r="D626" t="s">
        <v>30</v>
      </c>
      <c r="E626">
        <v>27638</v>
      </c>
      <c r="F626" t="s">
        <v>104</v>
      </c>
      <c r="G626">
        <v>76600</v>
      </c>
      <c r="H626" t="s">
        <v>45</v>
      </c>
      <c r="I626" t="s">
        <v>21</v>
      </c>
      <c r="J626" t="s">
        <v>1131</v>
      </c>
      <c r="K626" t="s">
        <v>23</v>
      </c>
      <c r="L626" t="s">
        <v>371</v>
      </c>
      <c r="M626" t="s">
        <v>48</v>
      </c>
      <c r="N626" t="s">
        <v>49</v>
      </c>
      <c r="O626" t="s">
        <v>27</v>
      </c>
      <c r="P626" s="1">
        <v>44793</v>
      </c>
      <c r="Q626">
        <f t="shared" si="45"/>
        <v>0</v>
      </c>
      <c r="R626">
        <f t="shared" si="46"/>
        <v>1</v>
      </c>
      <c r="S626">
        <f t="shared" si="47"/>
        <v>0</v>
      </c>
      <c r="T626" s="11">
        <f t="shared" si="48"/>
        <v>2018</v>
      </c>
      <c r="U626" s="11">
        <f t="shared" si="49"/>
        <v>27638</v>
      </c>
    </row>
    <row r="627" spans="1:21" x14ac:dyDescent="0.3">
      <c r="A627" t="s">
        <v>1132</v>
      </c>
      <c r="B627">
        <v>2021</v>
      </c>
      <c r="C627" t="s">
        <v>17</v>
      </c>
      <c r="D627" t="s">
        <v>30</v>
      </c>
      <c r="E627">
        <v>17117</v>
      </c>
      <c r="F627" t="s">
        <v>207</v>
      </c>
      <c r="G627">
        <v>69800</v>
      </c>
      <c r="H627" t="s">
        <v>77</v>
      </c>
      <c r="I627" t="s">
        <v>21</v>
      </c>
      <c r="J627" t="s">
        <v>687</v>
      </c>
      <c r="K627" t="s">
        <v>23</v>
      </c>
      <c r="L627" t="s">
        <v>201</v>
      </c>
      <c r="M627" t="s">
        <v>202</v>
      </c>
      <c r="N627" t="s">
        <v>203</v>
      </c>
      <c r="O627" t="s">
        <v>27</v>
      </c>
      <c r="P627" s="1">
        <v>44793</v>
      </c>
      <c r="Q627">
        <f t="shared" si="45"/>
        <v>0</v>
      </c>
      <c r="R627">
        <f t="shared" si="46"/>
        <v>0</v>
      </c>
      <c r="S627">
        <f t="shared" si="47"/>
        <v>1</v>
      </c>
      <c r="T627" s="11">
        <f t="shared" si="48"/>
        <v>2021</v>
      </c>
      <c r="U627" s="11">
        <f t="shared" si="49"/>
        <v>17117</v>
      </c>
    </row>
    <row r="628" spans="1:21" x14ac:dyDescent="0.3">
      <c r="A628" t="s">
        <v>1133</v>
      </c>
      <c r="B628">
        <v>2019</v>
      </c>
      <c r="C628" t="s">
        <v>56</v>
      </c>
      <c r="D628" t="s">
        <v>76</v>
      </c>
      <c r="E628">
        <v>28086</v>
      </c>
      <c r="F628" t="s">
        <v>65</v>
      </c>
      <c r="G628">
        <v>46500</v>
      </c>
      <c r="H628" t="s">
        <v>20</v>
      </c>
      <c r="I628" t="s">
        <v>58</v>
      </c>
      <c r="J628" t="s">
        <v>399</v>
      </c>
      <c r="K628" t="s">
        <v>23</v>
      </c>
      <c r="L628" t="s">
        <v>183</v>
      </c>
      <c r="M628" t="s">
        <v>25</v>
      </c>
      <c r="N628" t="s">
        <v>26</v>
      </c>
      <c r="O628" t="s">
        <v>27</v>
      </c>
      <c r="P628" s="1">
        <v>44793</v>
      </c>
      <c r="Q628">
        <f t="shared" si="45"/>
        <v>0</v>
      </c>
      <c r="R628">
        <f t="shared" si="46"/>
        <v>0</v>
      </c>
      <c r="S628">
        <f t="shared" si="47"/>
        <v>0</v>
      </c>
      <c r="T628" s="11">
        <f t="shared" si="48"/>
        <v>2019</v>
      </c>
      <c r="U628" s="11">
        <f t="shared" si="49"/>
        <v>28086</v>
      </c>
    </row>
    <row r="629" spans="1:21" x14ac:dyDescent="0.3">
      <c r="A629" t="s">
        <v>1134</v>
      </c>
      <c r="B629">
        <v>2020</v>
      </c>
      <c r="C629" t="s">
        <v>56</v>
      </c>
      <c r="D629" t="s">
        <v>32</v>
      </c>
      <c r="E629">
        <v>16957</v>
      </c>
      <c r="F629" t="s">
        <v>65</v>
      </c>
      <c r="G629">
        <v>50300</v>
      </c>
      <c r="H629" t="s">
        <v>20</v>
      </c>
      <c r="I629" t="s">
        <v>58</v>
      </c>
      <c r="J629" t="s">
        <v>192</v>
      </c>
      <c r="K629" t="s">
        <v>23</v>
      </c>
      <c r="L629" t="s">
        <v>183</v>
      </c>
      <c r="M629" t="s">
        <v>25</v>
      </c>
      <c r="N629" t="s">
        <v>26</v>
      </c>
      <c r="O629" t="s">
        <v>27</v>
      </c>
      <c r="P629" s="1">
        <v>44793</v>
      </c>
      <c r="Q629">
        <f t="shared" si="45"/>
        <v>0</v>
      </c>
      <c r="R629">
        <f t="shared" si="46"/>
        <v>0</v>
      </c>
      <c r="S629">
        <f t="shared" si="47"/>
        <v>0</v>
      </c>
      <c r="T629" s="11">
        <f t="shared" si="48"/>
        <v>2020</v>
      </c>
      <c r="U629" s="11">
        <f t="shared" si="49"/>
        <v>16957</v>
      </c>
    </row>
    <row r="630" spans="1:21" x14ac:dyDescent="0.3">
      <c r="A630" t="s">
        <v>1135</v>
      </c>
      <c r="B630">
        <v>2017</v>
      </c>
      <c r="C630" t="s">
        <v>29</v>
      </c>
      <c r="D630" t="s">
        <v>51</v>
      </c>
      <c r="E630">
        <v>53085</v>
      </c>
      <c r="F630" t="s">
        <v>104</v>
      </c>
      <c r="G630">
        <v>74400</v>
      </c>
      <c r="H630" t="s">
        <v>32</v>
      </c>
      <c r="I630" t="s">
        <v>21</v>
      </c>
      <c r="J630" t="s">
        <v>1136</v>
      </c>
      <c r="K630" t="s">
        <v>23</v>
      </c>
      <c r="L630" t="s">
        <v>183</v>
      </c>
      <c r="M630" t="s">
        <v>25</v>
      </c>
      <c r="N630" t="s">
        <v>26</v>
      </c>
      <c r="O630" t="s">
        <v>27</v>
      </c>
      <c r="P630" s="1">
        <v>44793</v>
      </c>
      <c r="Q630">
        <f t="shared" si="45"/>
        <v>0</v>
      </c>
      <c r="R630">
        <f t="shared" si="46"/>
        <v>1</v>
      </c>
      <c r="S630">
        <f t="shared" si="47"/>
        <v>0</v>
      </c>
      <c r="T630" s="11">
        <f t="shared" si="48"/>
        <v>2017</v>
      </c>
      <c r="U630" s="11">
        <f t="shared" si="49"/>
        <v>53085</v>
      </c>
    </row>
    <row r="631" spans="1:21" x14ac:dyDescent="0.3">
      <c r="A631" t="s">
        <v>1137</v>
      </c>
      <c r="B631">
        <v>2017</v>
      </c>
      <c r="C631" t="s">
        <v>29</v>
      </c>
      <c r="D631" t="s">
        <v>53</v>
      </c>
      <c r="E631">
        <v>21792</v>
      </c>
      <c r="F631" t="s">
        <v>104</v>
      </c>
      <c r="G631">
        <v>76800</v>
      </c>
      <c r="H631" t="s">
        <v>53</v>
      </c>
      <c r="I631" t="s">
        <v>21</v>
      </c>
      <c r="J631" t="s">
        <v>1138</v>
      </c>
      <c r="K631" t="s">
        <v>23</v>
      </c>
      <c r="L631" t="s">
        <v>183</v>
      </c>
      <c r="M631" t="s">
        <v>25</v>
      </c>
      <c r="N631" t="s">
        <v>26</v>
      </c>
      <c r="O631" t="s">
        <v>27</v>
      </c>
      <c r="P631" s="1">
        <v>44793</v>
      </c>
      <c r="Q631">
        <f t="shared" si="45"/>
        <v>0</v>
      </c>
      <c r="R631">
        <f t="shared" si="46"/>
        <v>1</v>
      </c>
      <c r="S631">
        <f t="shared" si="47"/>
        <v>0</v>
      </c>
      <c r="T631" s="11">
        <f t="shared" si="48"/>
        <v>2017</v>
      </c>
      <c r="U631" s="11">
        <f t="shared" si="49"/>
        <v>21792</v>
      </c>
    </row>
    <row r="632" spans="1:21" x14ac:dyDescent="0.3">
      <c r="A632" t="s">
        <v>1139</v>
      </c>
      <c r="B632">
        <v>2020</v>
      </c>
      <c r="C632" t="s">
        <v>17</v>
      </c>
      <c r="D632" t="s">
        <v>30</v>
      </c>
      <c r="E632">
        <v>21200</v>
      </c>
      <c r="F632" t="s">
        <v>207</v>
      </c>
      <c r="G632">
        <v>66800</v>
      </c>
      <c r="H632" t="s">
        <v>20</v>
      </c>
      <c r="I632" t="s">
        <v>21</v>
      </c>
      <c r="J632" t="s">
        <v>626</v>
      </c>
      <c r="K632" t="s">
        <v>23</v>
      </c>
      <c r="L632" t="s">
        <v>24</v>
      </c>
      <c r="M632" t="s">
        <v>25</v>
      </c>
      <c r="N632" t="s">
        <v>26</v>
      </c>
      <c r="O632" t="s">
        <v>27</v>
      </c>
      <c r="P632" s="1">
        <v>44793</v>
      </c>
      <c r="Q632">
        <f t="shared" si="45"/>
        <v>0</v>
      </c>
      <c r="R632">
        <f t="shared" si="46"/>
        <v>0</v>
      </c>
      <c r="S632">
        <f t="shared" si="47"/>
        <v>1</v>
      </c>
      <c r="T632" s="11">
        <f t="shared" si="48"/>
        <v>2020</v>
      </c>
      <c r="U632" s="11">
        <f t="shared" si="49"/>
        <v>21200</v>
      </c>
    </row>
    <row r="633" spans="1:21" x14ac:dyDescent="0.3">
      <c r="A633" t="s">
        <v>1140</v>
      </c>
      <c r="B633">
        <v>2019</v>
      </c>
      <c r="C633" t="s">
        <v>56</v>
      </c>
      <c r="D633" t="s">
        <v>32</v>
      </c>
      <c r="E633">
        <v>29489</v>
      </c>
      <c r="F633" t="s">
        <v>65</v>
      </c>
      <c r="G633">
        <v>44200</v>
      </c>
      <c r="H633" t="s">
        <v>20</v>
      </c>
      <c r="I633" t="s">
        <v>78</v>
      </c>
      <c r="J633" t="s">
        <v>317</v>
      </c>
      <c r="K633" t="s">
        <v>23</v>
      </c>
      <c r="L633" t="s">
        <v>205</v>
      </c>
      <c r="M633" t="s">
        <v>42</v>
      </c>
      <c r="N633" t="s">
        <v>26</v>
      </c>
      <c r="O633" t="s">
        <v>27</v>
      </c>
      <c r="P633" s="1">
        <v>44793</v>
      </c>
      <c r="Q633">
        <f t="shared" si="45"/>
        <v>0</v>
      </c>
      <c r="R633">
        <f t="shared" si="46"/>
        <v>0</v>
      </c>
      <c r="S633">
        <f t="shared" si="47"/>
        <v>0</v>
      </c>
      <c r="T633" s="11">
        <f t="shared" si="48"/>
        <v>2019</v>
      </c>
      <c r="U633" s="11">
        <f t="shared" si="49"/>
        <v>29489</v>
      </c>
    </row>
    <row r="634" spans="1:21" x14ac:dyDescent="0.3">
      <c r="A634" t="s">
        <v>1141</v>
      </c>
      <c r="B634">
        <v>2018</v>
      </c>
      <c r="C634" t="s">
        <v>56</v>
      </c>
      <c r="D634" t="s">
        <v>32</v>
      </c>
      <c r="E634">
        <v>65757</v>
      </c>
      <c r="F634" t="s">
        <v>234</v>
      </c>
      <c r="G634">
        <v>45400</v>
      </c>
      <c r="H634" t="s">
        <v>20</v>
      </c>
      <c r="I634" t="s">
        <v>58</v>
      </c>
      <c r="J634" t="s">
        <v>373</v>
      </c>
      <c r="K634" t="s">
        <v>23</v>
      </c>
      <c r="L634" t="s">
        <v>41</v>
      </c>
      <c r="M634" t="s">
        <v>42</v>
      </c>
      <c r="N634" t="s">
        <v>26</v>
      </c>
      <c r="O634" t="s">
        <v>27</v>
      </c>
      <c r="P634" s="1">
        <v>44793</v>
      </c>
      <c r="Q634">
        <f t="shared" si="45"/>
        <v>0</v>
      </c>
      <c r="R634">
        <f t="shared" si="46"/>
        <v>0</v>
      </c>
      <c r="S634">
        <f t="shared" si="47"/>
        <v>0</v>
      </c>
      <c r="T634" s="11">
        <f t="shared" si="48"/>
        <v>2018</v>
      </c>
      <c r="U634" s="11">
        <f t="shared" si="49"/>
        <v>65757</v>
      </c>
    </row>
    <row r="635" spans="1:21" x14ac:dyDescent="0.3">
      <c r="A635" t="s">
        <v>1142</v>
      </c>
      <c r="B635">
        <v>2019</v>
      </c>
      <c r="C635" t="s">
        <v>56</v>
      </c>
      <c r="D635" t="s">
        <v>76</v>
      </c>
      <c r="E635">
        <v>25146</v>
      </c>
      <c r="F635" t="s">
        <v>65</v>
      </c>
      <c r="G635">
        <v>46700</v>
      </c>
      <c r="H635" t="s">
        <v>77</v>
      </c>
      <c r="I635" t="s">
        <v>58</v>
      </c>
      <c r="J635" t="s">
        <v>378</v>
      </c>
      <c r="K635" t="s">
        <v>23</v>
      </c>
      <c r="L635" t="s">
        <v>205</v>
      </c>
      <c r="M635" t="s">
        <v>42</v>
      </c>
      <c r="N635" t="s">
        <v>26</v>
      </c>
      <c r="O635" t="s">
        <v>27</v>
      </c>
      <c r="P635" s="1">
        <v>44793</v>
      </c>
      <c r="Q635">
        <f t="shared" si="45"/>
        <v>0</v>
      </c>
      <c r="R635">
        <f t="shared" si="46"/>
        <v>0</v>
      </c>
      <c r="S635">
        <f t="shared" si="47"/>
        <v>0</v>
      </c>
      <c r="T635" s="11">
        <f t="shared" si="48"/>
        <v>2019</v>
      </c>
      <c r="U635" s="11">
        <f t="shared" si="49"/>
        <v>25146</v>
      </c>
    </row>
    <row r="636" spans="1:21" x14ac:dyDescent="0.3">
      <c r="A636" t="s">
        <v>1143</v>
      </c>
      <c r="B636">
        <v>2019</v>
      </c>
      <c r="C636" t="s">
        <v>56</v>
      </c>
      <c r="D636" t="s">
        <v>32</v>
      </c>
      <c r="E636">
        <v>33159</v>
      </c>
      <c r="F636" t="s">
        <v>65</v>
      </c>
      <c r="G636">
        <v>48600</v>
      </c>
      <c r="H636" t="s">
        <v>77</v>
      </c>
      <c r="I636" t="s">
        <v>78</v>
      </c>
      <c r="J636" t="s">
        <v>388</v>
      </c>
      <c r="K636" t="s">
        <v>23</v>
      </c>
      <c r="L636" t="s">
        <v>205</v>
      </c>
      <c r="M636" t="s">
        <v>42</v>
      </c>
      <c r="N636" t="s">
        <v>26</v>
      </c>
      <c r="O636" t="s">
        <v>27</v>
      </c>
      <c r="P636" s="1">
        <v>44793</v>
      </c>
      <c r="Q636">
        <f t="shared" si="45"/>
        <v>0</v>
      </c>
      <c r="R636">
        <f t="shared" si="46"/>
        <v>0</v>
      </c>
      <c r="S636">
        <f t="shared" si="47"/>
        <v>0</v>
      </c>
      <c r="T636" s="11">
        <f t="shared" si="48"/>
        <v>2019</v>
      </c>
      <c r="U636" s="11">
        <f t="shared" si="49"/>
        <v>33159</v>
      </c>
    </row>
    <row r="637" spans="1:21" x14ac:dyDescent="0.3">
      <c r="A637" t="s">
        <v>1144</v>
      </c>
      <c r="B637">
        <v>2018</v>
      </c>
      <c r="C637" t="s">
        <v>29</v>
      </c>
      <c r="D637" t="s">
        <v>32</v>
      </c>
      <c r="E637">
        <v>64961</v>
      </c>
      <c r="F637" t="s">
        <v>104</v>
      </c>
      <c r="G637">
        <v>72000</v>
      </c>
      <c r="H637" t="s">
        <v>53</v>
      </c>
      <c r="I637" t="s">
        <v>110</v>
      </c>
      <c r="J637" t="s">
        <v>1145</v>
      </c>
      <c r="K637" t="s">
        <v>23</v>
      </c>
      <c r="L637" t="s">
        <v>205</v>
      </c>
      <c r="M637" t="s">
        <v>42</v>
      </c>
      <c r="N637" t="s">
        <v>26</v>
      </c>
      <c r="O637" t="s">
        <v>27</v>
      </c>
      <c r="P637" s="1">
        <v>44793</v>
      </c>
      <c r="Q637">
        <f t="shared" si="45"/>
        <v>0</v>
      </c>
      <c r="R637">
        <f t="shared" si="46"/>
        <v>1</v>
      </c>
      <c r="S637">
        <f t="shared" si="47"/>
        <v>0</v>
      </c>
      <c r="T637" s="11">
        <f t="shared" si="48"/>
        <v>2018</v>
      </c>
      <c r="U637" s="11">
        <f t="shared" si="49"/>
        <v>64961</v>
      </c>
    </row>
    <row r="638" spans="1:21" x14ac:dyDescent="0.3">
      <c r="A638" t="s">
        <v>1146</v>
      </c>
      <c r="B638">
        <v>2020</v>
      </c>
      <c r="C638" t="s">
        <v>56</v>
      </c>
      <c r="D638" t="s">
        <v>53</v>
      </c>
      <c r="E638">
        <v>17380</v>
      </c>
      <c r="F638" t="s">
        <v>57</v>
      </c>
      <c r="G638">
        <v>54300</v>
      </c>
      <c r="H638" t="s">
        <v>20</v>
      </c>
      <c r="I638" t="s">
        <v>58</v>
      </c>
      <c r="J638" t="s">
        <v>59</v>
      </c>
      <c r="K638" t="s">
        <v>23</v>
      </c>
      <c r="L638" t="s">
        <v>175</v>
      </c>
      <c r="M638" t="s">
        <v>42</v>
      </c>
      <c r="N638" t="s">
        <v>26</v>
      </c>
      <c r="O638" t="s">
        <v>27</v>
      </c>
      <c r="P638" s="1">
        <v>44792</v>
      </c>
      <c r="Q638">
        <f t="shared" si="45"/>
        <v>0</v>
      </c>
      <c r="R638">
        <f t="shared" si="46"/>
        <v>0</v>
      </c>
      <c r="S638">
        <f t="shared" si="47"/>
        <v>0</v>
      </c>
      <c r="T638" s="11">
        <f t="shared" si="48"/>
        <v>2020</v>
      </c>
      <c r="U638" s="11">
        <f t="shared" si="49"/>
        <v>17380</v>
      </c>
    </row>
    <row r="639" spans="1:21" x14ac:dyDescent="0.3">
      <c r="A639" t="s">
        <v>1147</v>
      </c>
      <c r="B639">
        <v>2018</v>
      </c>
      <c r="C639" t="s">
        <v>56</v>
      </c>
      <c r="D639" t="s">
        <v>93</v>
      </c>
      <c r="E639">
        <v>19901</v>
      </c>
      <c r="F639" t="s">
        <v>57</v>
      </c>
      <c r="G639">
        <v>54100</v>
      </c>
      <c r="H639" t="s">
        <v>20</v>
      </c>
      <c r="I639" t="s">
        <v>78</v>
      </c>
      <c r="J639" t="s">
        <v>218</v>
      </c>
      <c r="K639" t="s">
        <v>23</v>
      </c>
      <c r="L639" t="s">
        <v>67</v>
      </c>
      <c r="M639" t="s">
        <v>68</v>
      </c>
      <c r="N639" t="s">
        <v>69</v>
      </c>
      <c r="O639" t="s">
        <v>27</v>
      </c>
      <c r="P639" s="1">
        <v>44792</v>
      </c>
      <c r="Q639">
        <f t="shared" si="45"/>
        <v>0</v>
      </c>
      <c r="R639">
        <f t="shared" si="46"/>
        <v>0</v>
      </c>
      <c r="S639">
        <f t="shared" si="47"/>
        <v>0</v>
      </c>
      <c r="T639" s="11">
        <f t="shared" si="48"/>
        <v>2018</v>
      </c>
      <c r="U639" s="11">
        <f t="shared" si="49"/>
        <v>19901</v>
      </c>
    </row>
    <row r="640" spans="1:21" x14ac:dyDescent="0.3">
      <c r="A640" t="s">
        <v>1148</v>
      </c>
      <c r="B640">
        <v>2020</v>
      </c>
      <c r="C640" t="s">
        <v>56</v>
      </c>
      <c r="D640" t="s">
        <v>53</v>
      </c>
      <c r="E640">
        <v>26654</v>
      </c>
      <c r="F640" t="s">
        <v>65</v>
      </c>
      <c r="G640">
        <v>52300</v>
      </c>
      <c r="H640" t="s">
        <v>20</v>
      </c>
      <c r="I640" t="s">
        <v>78</v>
      </c>
      <c r="J640" t="s">
        <v>534</v>
      </c>
      <c r="K640" t="s">
        <v>23</v>
      </c>
      <c r="L640" t="s">
        <v>513</v>
      </c>
      <c r="M640" t="s">
        <v>42</v>
      </c>
      <c r="N640" t="s">
        <v>26</v>
      </c>
      <c r="O640" t="s">
        <v>27</v>
      </c>
      <c r="P640" s="1">
        <v>44792</v>
      </c>
      <c r="Q640">
        <f t="shared" si="45"/>
        <v>0</v>
      </c>
      <c r="R640">
        <f t="shared" si="46"/>
        <v>0</v>
      </c>
      <c r="S640">
        <f t="shared" si="47"/>
        <v>0</v>
      </c>
      <c r="T640" s="11">
        <f t="shared" si="48"/>
        <v>2020</v>
      </c>
      <c r="U640" s="11">
        <f t="shared" si="49"/>
        <v>26654</v>
      </c>
    </row>
    <row r="641" spans="1:21" x14ac:dyDescent="0.3">
      <c r="A641" t="s">
        <v>1149</v>
      </c>
      <c r="B641">
        <v>2019</v>
      </c>
      <c r="C641" t="s">
        <v>56</v>
      </c>
      <c r="D641" t="s">
        <v>32</v>
      </c>
      <c r="E641">
        <v>61760</v>
      </c>
      <c r="F641" t="s">
        <v>71</v>
      </c>
      <c r="G641">
        <v>50800</v>
      </c>
      <c r="H641" t="s">
        <v>20</v>
      </c>
      <c r="I641" t="s">
        <v>58</v>
      </c>
      <c r="J641" t="s">
        <v>1150</v>
      </c>
      <c r="K641" t="s">
        <v>23</v>
      </c>
      <c r="L641" t="s">
        <v>47</v>
      </c>
      <c r="M641" t="s">
        <v>48</v>
      </c>
      <c r="N641" t="s">
        <v>49</v>
      </c>
      <c r="O641" t="s">
        <v>27</v>
      </c>
      <c r="P641" s="1">
        <v>44792</v>
      </c>
      <c r="Q641">
        <f t="shared" si="45"/>
        <v>0</v>
      </c>
      <c r="R641">
        <f t="shared" si="46"/>
        <v>0</v>
      </c>
      <c r="S641">
        <f t="shared" si="47"/>
        <v>0</v>
      </c>
      <c r="T641" s="11">
        <f t="shared" si="48"/>
        <v>2019</v>
      </c>
      <c r="U641" s="11">
        <f t="shared" si="49"/>
        <v>61760</v>
      </c>
    </row>
    <row r="642" spans="1:21" x14ac:dyDescent="0.3">
      <c r="A642" t="s">
        <v>1151</v>
      </c>
      <c r="B642">
        <v>2022</v>
      </c>
      <c r="C642" t="s">
        <v>37</v>
      </c>
      <c r="D642" t="s">
        <v>53</v>
      </c>
      <c r="E642">
        <v>3519</v>
      </c>
      <c r="F642" t="s">
        <v>131</v>
      </c>
      <c r="G642">
        <v>131000</v>
      </c>
      <c r="H642" t="s">
        <v>32</v>
      </c>
      <c r="I642" t="s">
        <v>78</v>
      </c>
      <c r="J642" t="s">
        <v>1152</v>
      </c>
      <c r="K642" t="s">
        <v>23</v>
      </c>
      <c r="L642" t="s">
        <v>163</v>
      </c>
      <c r="M642" t="s">
        <v>164</v>
      </c>
      <c r="N642" t="s">
        <v>26</v>
      </c>
      <c r="O642" t="s">
        <v>27</v>
      </c>
      <c r="P642" s="1">
        <v>44792</v>
      </c>
      <c r="Q642">
        <f t="shared" ref="Q642:Q705" si="50">--(C642="ms")</f>
        <v>1</v>
      </c>
      <c r="R642">
        <f t="shared" ref="R642:R705" si="51">--(C642="mx")</f>
        <v>0</v>
      </c>
      <c r="S642">
        <f t="shared" ref="S642:S705" si="52">--(C642="my")</f>
        <v>0</v>
      </c>
      <c r="T642" s="11">
        <f t="shared" ref="T642:T705" si="53">B642</f>
        <v>2022</v>
      </c>
      <c r="U642" s="11">
        <f t="shared" ref="U642:U705" si="54">E642</f>
        <v>3519</v>
      </c>
    </row>
    <row r="643" spans="1:21" x14ac:dyDescent="0.3">
      <c r="A643" t="s">
        <v>1153</v>
      </c>
      <c r="B643">
        <v>2018</v>
      </c>
      <c r="C643" t="s">
        <v>56</v>
      </c>
      <c r="D643" t="s">
        <v>53</v>
      </c>
      <c r="E643">
        <v>24152</v>
      </c>
      <c r="F643" t="s">
        <v>636</v>
      </c>
      <c r="G643">
        <v>46400</v>
      </c>
      <c r="H643" t="s">
        <v>20</v>
      </c>
      <c r="I643" t="s">
        <v>58</v>
      </c>
      <c r="J643" t="s">
        <v>579</v>
      </c>
      <c r="K643" t="s">
        <v>23</v>
      </c>
      <c r="L643" t="s">
        <v>47</v>
      </c>
      <c r="M643" t="s">
        <v>48</v>
      </c>
      <c r="N643" t="s">
        <v>49</v>
      </c>
      <c r="O643" t="s">
        <v>27</v>
      </c>
      <c r="P643" s="1">
        <v>44792</v>
      </c>
      <c r="Q643">
        <f t="shared" si="50"/>
        <v>0</v>
      </c>
      <c r="R643">
        <f t="shared" si="51"/>
        <v>0</v>
      </c>
      <c r="S643">
        <f t="shared" si="52"/>
        <v>0</v>
      </c>
      <c r="T643" s="11">
        <f t="shared" si="53"/>
        <v>2018</v>
      </c>
      <c r="U643" s="11">
        <f t="shared" si="54"/>
        <v>24152</v>
      </c>
    </row>
    <row r="644" spans="1:21" x14ac:dyDescent="0.3">
      <c r="A644" t="s">
        <v>1154</v>
      </c>
      <c r="B644">
        <v>2019</v>
      </c>
      <c r="C644" t="s">
        <v>56</v>
      </c>
      <c r="D644" t="s">
        <v>53</v>
      </c>
      <c r="E644">
        <v>19692</v>
      </c>
      <c r="F644" t="s">
        <v>71</v>
      </c>
      <c r="G644">
        <v>61600</v>
      </c>
      <c r="H644" t="s">
        <v>20</v>
      </c>
      <c r="I644" t="s">
        <v>21</v>
      </c>
      <c r="J644" t="s">
        <v>376</v>
      </c>
      <c r="K644" t="s">
        <v>23</v>
      </c>
      <c r="L644" t="s">
        <v>24</v>
      </c>
      <c r="M644" t="s">
        <v>25</v>
      </c>
      <c r="N644" t="s">
        <v>26</v>
      </c>
      <c r="O644" t="s">
        <v>27</v>
      </c>
      <c r="P644" s="1">
        <v>44792</v>
      </c>
      <c r="Q644">
        <f t="shared" si="50"/>
        <v>0</v>
      </c>
      <c r="R644">
        <f t="shared" si="51"/>
        <v>0</v>
      </c>
      <c r="S644">
        <f t="shared" si="52"/>
        <v>0</v>
      </c>
      <c r="T644" s="11">
        <f t="shared" si="53"/>
        <v>2019</v>
      </c>
      <c r="U644" s="11">
        <f t="shared" si="54"/>
        <v>19692</v>
      </c>
    </row>
    <row r="645" spans="1:21" x14ac:dyDescent="0.3">
      <c r="A645" t="s">
        <v>1155</v>
      </c>
      <c r="B645">
        <v>2018</v>
      </c>
      <c r="C645" t="s">
        <v>56</v>
      </c>
      <c r="D645" t="s">
        <v>93</v>
      </c>
      <c r="E645">
        <v>67060</v>
      </c>
      <c r="F645" t="s">
        <v>234</v>
      </c>
      <c r="G645">
        <v>44500</v>
      </c>
      <c r="H645" t="s">
        <v>20</v>
      </c>
      <c r="I645" t="s">
        <v>78</v>
      </c>
      <c r="J645" t="s">
        <v>290</v>
      </c>
      <c r="K645" t="s">
        <v>23</v>
      </c>
      <c r="L645" t="s">
        <v>47</v>
      </c>
      <c r="M645" t="s">
        <v>48</v>
      </c>
      <c r="N645" t="s">
        <v>49</v>
      </c>
      <c r="O645" t="s">
        <v>27</v>
      </c>
      <c r="P645" s="1">
        <v>44792</v>
      </c>
      <c r="Q645">
        <f t="shared" si="50"/>
        <v>0</v>
      </c>
      <c r="R645">
        <f t="shared" si="51"/>
        <v>0</v>
      </c>
      <c r="S645">
        <f t="shared" si="52"/>
        <v>0</v>
      </c>
      <c r="T645" s="11">
        <f t="shared" si="53"/>
        <v>2018</v>
      </c>
      <c r="U645" s="11">
        <f t="shared" si="54"/>
        <v>67060</v>
      </c>
    </row>
    <row r="646" spans="1:21" x14ac:dyDescent="0.3">
      <c r="A646" t="s">
        <v>1156</v>
      </c>
      <c r="B646">
        <v>2022</v>
      </c>
      <c r="C646" t="s">
        <v>37</v>
      </c>
      <c r="D646" t="s">
        <v>76</v>
      </c>
      <c r="E646">
        <v>1313</v>
      </c>
      <c r="F646" t="s">
        <v>131</v>
      </c>
      <c r="G646">
        <v>128700</v>
      </c>
      <c r="H646" t="s">
        <v>53</v>
      </c>
      <c r="I646" t="s">
        <v>39</v>
      </c>
      <c r="J646" t="s">
        <v>1157</v>
      </c>
      <c r="K646" t="s">
        <v>23</v>
      </c>
      <c r="L646" t="s">
        <v>183</v>
      </c>
      <c r="M646" t="s">
        <v>25</v>
      </c>
      <c r="N646" t="s">
        <v>26</v>
      </c>
      <c r="O646" t="s">
        <v>27</v>
      </c>
      <c r="P646" s="1">
        <v>44792</v>
      </c>
      <c r="Q646">
        <f t="shared" si="50"/>
        <v>1</v>
      </c>
      <c r="R646">
        <f t="shared" si="51"/>
        <v>0</v>
      </c>
      <c r="S646">
        <f t="shared" si="52"/>
        <v>0</v>
      </c>
      <c r="T646" s="11">
        <f t="shared" si="53"/>
        <v>2022</v>
      </c>
      <c r="U646" s="11">
        <f t="shared" si="54"/>
        <v>1313</v>
      </c>
    </row>
    <row r="647" spans="1:21" x14ac:dyDescent="0.3">
      <c r="A647" t="s">
        <v>1158</v>
      </c>
      <c r="B647">
        <v>2020</v>
      </c>
      <c r="C647" t="s">
        <v>56</v>
      </c>
      <c r="D647" t="s">
        <v>32</v>
      </c>
      <c r="E647">
        <v>36908</v>
      </c>
      <c r="F647" t="s">
        <v>57</v>
      </c>
      <c r="G647">
        <v>56200</v>
      </c>
      <c r="H647" t="s">
        <v>20</v>
      </c>
      <c r="I647" t="s">
        <v>58</v>
      </c>
      <c r="J647" t="s">
        <v>168</v>
      </c>
      <c r="K647" t="s">
        <v>23</v>
      </c>
      <c r="L647" t="s">
        <v>87</v>
      </c>
      <c r="M647" t="s">
        <v>88</v>
      </c>
      <c r="N647" t="s">
        <v>89</v>
      </c>
      <c r="O647" t="s">
        <v>27</v>
      </c>
      <c r="P647" s="1">
        <v>44792</v>
      </c>
      <c r="Q647">
        <f t="shared" si="50"/>
        <v>0</v>
      </c>
      <c r="R647">
        <f t="shared" si="51"/>
        <v>0</v>
      </c>
      <c r="S647">
        <f t="shared" si="52"/>
        <v>0</v>
      </c>
      <c r="T647" s="11">
        <f t="shared" si="53"/>
        <v>2020</v>
      </c>
      <c r="U647" s="11">
        <f t="shared" si="54"/>
        <v>36908</v>
      </c>
    </row>
    <row r="648" spans="1:21" x14ac:dyDescent="0.3">
      <c r="A648" t="s">
        <v>1159</v>
      </c>
      <c r="B648">
        <v>2018</v>
      </c>
      <c r="C648" t="s">
        <v>56</v>
      </c>
      <c r="D648" t="s">
        <v>76</v>
      </c>
      <c r="E648">
        <v>18424</v>
      </c>
      <c r="F648" t="s">
        <v>57</v>
      </c>
      <c r="G648">
        <v>55000</v>
      </c>
      <c r="H648" t="s">
        <v>20</v>
      </c>
      <c r="I648" t="s">
        <v>58</v>
      </c>
      <c r="J648" t="s">
        <v>979</v>
      </c>
      <c r="K648" t="s">
        <v>23</v>
      </c>
      <c r="L648" t="s">
        <v>1160</v>
      </c>
      <c r="M648" t="s">
        <v>202</v>
      </c>
      <c r="N648" t="s">
        <v>203</v>
      </c>
      <c r="O648" t="s">
        <v>27</v>
      </c>
      <c r="P648" s="1">
        <v>44792</v>
      </c>
      <c r="Q648">
        <f t="shared" si="50"/>
        <v>0</v>
      </c>
      <c r="R648">
        <f t="shared" si="51"/>
        <v>0</v>
      </c>
      <c r="S648">
        <f t="shared" si="52"/>
        <v>0</v>
      </c>
      <c r="T648" s="11">
        <f t="shared" si="53"/>
        <v>2018</v>
      </c>
      <c r="U648" s="11">
        <f t="shared" si="54"/>
        <v>18424</v>
      </c>
    </row>
    <row r="649" spans="1:21" x14ac:dyDescent="0.3">
      <c r="A649" t="s">
        <v>1161</v>
      </c>
      <c r="B649">
        <v>2021</v>
      </c>
      <c r="C649" t="s">
        <v>56</v>
      </c>
      <c r="D649" t="s">
        <v>76</v>
      </c>
      <c r="E649">
        <v>42618</v>
      </c>
      <c r="F649" t="s">
        <v>65</v>
      </c>
      <c r="G649">
        <v>53700</v>
      </c>
      <c r="H649" t="s">
        <v>20</v>
      </c>
      <c r="I649" t="s">
        <v>58</v>
      </c>
      <c r="J649" t="s">
        <v>399</v>
      </c>
      <c r="K649" t="s">
        <v>23</v>
      </c>
      <c r="L649" t="s">
        <v>447</v>
      </c>
      <c r="N649" t="s">
        <v>203</v>
      </c>
      <c r="O649" t="s">
        <v>27</v>
      </c>
      <c r="P649" s="1">
        <v>44792</v>
      </c>
      <c r="Q649">
        <f t="shared" si="50"/>
        <v>0</v>
      </c>
      <c r="R649">
        <f t="shared" si="51"/>
        <v>0</v>
      </c>
      <c r="S649">
        <f t="shared" si="52"/>
        <v>0</v>
      </c>
      <c r="T649" s="11">
        <f t="shared" si="53"/>
        <v>2021</v>
      </c>
      <c r="U649" s="11">
        <f t="shared" si="54"/>
        <v>42618</v>
      </c>
    </row>
    <row r="650" spans="1:21" x14ac:dyDescent="0.3">
      <c r="A650" t="s">
        <v>1162</v>
      </c>
      <c r="B650">
        <v>2019</v>
      </c>
      <c r="C650" t="s">
        <v>29</v>
      </c>
      <c r="D650" t="s">
        <v>32</v>
      </c>
      <c r="E650">
        <v>40306</v>
      </c>
      <c r="F650" t="s">
        <v>177</v>
      </c>
      <c r="G650">
        <v>87600</v>
      </c>
      <c r="H650" t="s">
        <v>53</v>
      </c>
      <c r="I650" t="s">
        <v>21</v>
      </c>
      <c r="J650" t="s">
        <v>992</v>
      </c>
      <c r="K650" t="s">
        <v>23</v>
      </c>
      <c r="L650" t="s">
        <v>247</v>
      </c>
      <c r="M650" t="s">
        <v>248</v>
      </c>
      <c r="N650" t="s">
        <v>249</v>
      </c>
      <c r="O650" t="s">
        <v>27</v>
      </c>
      <c r="P650" s="1">
        <v>44792</v>
      </c>
      <c r="Q650">
        <f t="shared" si="50"/>
        <v>0</v>
      </c>
      <c r="R650">
        <f t="shared" si="51"/>
        <v>1</v>
      </c>
      <c r="S650">
        <f t="shared" si="52"/>
        <v>0</v>
      </c>
      <c r="T650" s="11">
        <f t="shared" si="53"/>
        <v>2019</v>
      </c>
      <c r="U650" s="11">
        <f t="shared" si="54"/>
        <v>40306</v>
      </c>
    </row>
    <row r="651" spans="1:21" x14ac:dyDescent="0.3">
      <c r="A651" t="s">
        <v>1163</v>
      </c>
      <c r="B651">
        <v>2019</v>
      </c>
      <c r="C651" t="s">
        <v>56</v>
      </c>
      <c r="D651" t="s">
        <v>32</v>
      </c>
      <c r="E651">
        <v>42514</v>
      </c>
      <c r="F651" t="s">
        <v>71</v>
      </c>
      <c r="G651">
        <v>57200</v>
      </c>
      <c r="H651" t="s">
        <v>20</v>
      </c>
      <c r="I651" t="s">
        <v>21</v>
      </c>
      <c r="J651" t="s">
        <v>72</v>
      </c>
      <c r="K651" t="s">
        <v>23</v>
      </c>
      <c r="L651" t="s">
        <v>201</v>
      </c>
      <c r="M651" t="s">
        <v>202</v>
      </c>
      <c r="N651" t="s">
        <v>203</v>
      </c>
      <c r="O651" t="s">
        <v>27</v>
      </c>
      <c r="P651" s="1">
        <v>44792</v>
      </c>
      <c r="Q651">
        <f t="shared" si="50"/>
        <v>0</v>
      </c>
      <c r="R651">
        <f t="shared" si="51"/>
        <v>0</v>
      </c>
      <c r="S651">
        <f t="shared" si="52"/>
        <v>0</v>
      </c>
      <c r="T651" s="11">
        <f t="shared" si="53"/>
        <v>2019</v>
      </c>
      <c r="U651" s="11">
        <f t="shared" si="54"/>
        <v>42514</v>
      </c>
    </row>
    <row r="652" spans="1:21" x14ac:dyDescent="0.3">
      <c r="A652" t="s">
        <v>1164</v>
      </c>
      <c r="B652">
        <v>2022</v>
      </c>
      <c r="C652" t="s">
        <v>56</v>
      </c>
      <c r="D652" t="s">
        <v>32</v>
      </c>
      <c r="E652">
        <v>4802</v>
      </c>
      <c r="F652" t="s">
        <v>143</v>
      </c>
      <c r="G652">
        <v>70900</v>
      </c>
      <c r="H652" t="s">
        <v>77</v>
      </c>
      <c r="J652" t="s">
        <v>706</v>
      </c>
      <c r="K652" t="s">
        <v>23</v>
      </c>
      <c r="L652" t="s">
        <v>47</v>
      </c>
      <c r="M652" t="s">
        <v>48</v>
      </c>
      <c r="N652" t="s">
        <v>49</v>
      </c>
      <c r="O652" t="s">
        <v>27</v>
      </c>
      <c r="P652" s="1">
        <v>44792</v>
      </c>
      <c r="Q652">
        <f t="shared" si="50"/>
        <v>0</v>
      </c>
      <c r="R652">
        <f t="shared" si="51"/>
        <v>0</v>
      </c>
      <c r="S652">
        <f t="shared" si="52"/>
        <v>0</v>
      </c>
      <c r="T652" s="11">
        <f t="shared" si="53"/>
        <v>2022</v>
      </c>
      <c r="U652" s="11">
        <f t="shared" si="54"/>
        <v>4802</v>
      </c>
    </row>
    <row r="653" spans="1:21" x14ac:dyDescent="0.3">
      <c r="A653" t="s">
        <v>1165</v>
      </c>
      <c r="B653">
        <v>2021</v>
      </c>
      <c r="C653" t="s">
        <v>37</v>
      </c>
      <c r="D653" t="s">
        <v>51</v>
      </c>
      <c r="E653">
        <v>12548</v>
      </c>
      <c r="F653" t="s">
        <v>131</v>
      </c>
      <c r="G653">
        <v>113300</v>
      </c>
      <c r="H653" t="s">
        <v>53</v>
      </c>
      <c r="I653" t="s">
        <v>39</v>
      </c>
      <c r="J653" t="s">
        <v>557</v>
      </c>
      <c r="K653" t="s">
        <v>23</v>
      </c>
      <c r="L653" t="s">
        <v>183</v>
      </c>
      <c r="M653" t="s">
        <v>25</v>
      </c>
      <c r="N653" t="s">
        <v>26</v>
      </c>
      <c r="O653" t="s">
        <v>27</v>
      </c>
      <c r="P653" s="1">
        <v>44792</v>
      </c>
      <c r="Q653">
        <f t="shared" si="50"/>
        <v>1</v>
      </c>
      <c r="R653">
        <f t="shared" si="51"/>
        <v>0</v>
      </c>
      <c r="S653">
        <f t="shared" si="52"/>
        <v>0</v>
      </c>
      <c r="T653" s="11">
        <f t="shared" si="53"/>
        <v>2021</v>
      </c>
      <c r="U653" s="11">
        <f t="shared" si="54"/>
        <v>12548</v>
      </c>
    </row>
    <row r="654" spans="1:21" x14ac:dyDescent="0.3">
      <c r="A654" t="s">
        <v>1166</v>
      </c>
      <c r="B654">
        <v>2019</v>
      </c>
      <c r="C654" t="s">
        <v>56</v>
      </c>
      <c r="D654" t="s">
        <v>32</v>
      </c>
      <c r="E654">
        <v>16324</v>
      </c>
      <c r="F654" t="s">
        <v>71</v>
      </c>
      <c r="G654">
        <v>58200</v>
      </c>
      <c r="H654" t="s">
        <v>20</v>
      </c>
      <c r="I654" t="s">
        <v>21</v>
      </c>
      <c r="J654" t="s">
        <v>72</v>
      </c>
      <c r="K654" t="s">
        <v>23</v>
      </c>
      <c r="L654" t="s">
        <v>47</v>
      </c>
      <c r="M654" t="s">
        <v>48</v>
      </c>
      <c r="N654" t="s">
        <v>49</v>
      </c>
      <c r="O654" t="s">
        <v>27</v>
      </c>
      <c r="P654" s="1">
        <v>44792</v>
      </c>
      <c r="Q654">
        <f t="shared" si="50"/>
        <v>0</v>
      </c>
      <c r="R654">
        <f t="shared" si="51"/>
        <v>0</v>
      </c>
      <c r="S654">
        <f t="shared" si="52"/>
        <v>0</v>
      </c>
      <c r="T654" s="11">
        <f t="shared" si="53"/>
        <v>2019</v>
      </c>
      <c r="U654" s="11">
        <f t="shared" si="54"/>
        <v>16324</v>
      </c>
    </row>
    <row r="655" spans="1:21" x14ac:dyDescent="0.3">
      <c r="A655" t="s">
        <v>1167</v>
      </c>
      <c r="B655">
        <v>2019</v>
      </c>
      <c r="C655" t="s">
        <v>56</v>
      </c>
      <c r="D655" t="s">
        <v>53</v>
      </c>
      <c r="E655">
        <v>29915</v>
      </c>
      <c r="F655" t="s">
        <v>234</v>
      </c>
      <c r="G655">
        <v>51500</v>
      </c>
      <c r="H655" t="s">
        <v>20</v>
      </c>
      <c r="I655" t="s">
        <v>78</v>
      </c>
      <c r="J655" t="s">
        <v>403</v>
      </c>
      <c r="K655" t="s">
        <v>23</v>
      </c>
      <c r="L655" t="s">
        <v>183</v>
      </c>
      <c r="M655" t="s">
        <v>25</v>
      </c>
      <c r="N655" t="s">
        <v>26</v>
      </c>
      <c r="O655" t="s">
        <v>27</v>
      </c>
      <c r="P655" s="1">
        <v>44792</v>
      </c>
      <c r="Q655">
        <f t="shared" si="50"/>
        <v>0</v>
      </c>
      <c r="R655">
        <f t="shared" si="51"/>
        <v>0</v>
      </c>
      <c r="S655">
        <f t="shared" si="52"/>
        <v>0</v>
      </c>
      <c r="T655" s="11">
        <f t="shared" si="53"/>
        <v>2019</v>
      </c>
      <c r="U655" s="11">
        <f t="shared" si="54"/>
        <v>29915</v>
      </c>
    </row>
    <row r="656" spans="1:21" x14ac:dyDescent="0.3">
      <c r="A656" t="s">
        <v>1168</v>
      </c>
      <c r="B656">
        <v>2021</v>
      </c>
      <c r="C656" t="s">
        <v>56</v>
      </c>
      <c r="D656" t="s">
        <v>32</v>
      </c>
      <c r="E656">
        <v>31860</v>
      </c>
      <c r="F656" t="s">
        <v>65</v>
      </c>
      <c r="G656">
        <v>55200</v>
      </c>
      <c r="H656" t="s">
        <v>20</v>
      </c>
      <c r="I656" t="s">
        <v>78</v>
      </c>
      <c r="J656" t="s">
        <v>317</v>
      </c>
      <c r="K656" t="s">
        <v>23</v>
      </c>
      <c r="L656" t="s">
        <v>345</v>
      </c>
      <c r="M656" t="s">
        <v>48</v>
      </c>
      <c r="N656" t="s">
        <v>69</v>
      </c>
      <c r="O656" t="s">
        <v>27</v>
      </c>
      <c r="P656" s="1">
        <v>44792</v>
      </c>
      <c r="Q656">
        <f t="shared" si="50"/>
        <v>0</v>
      </c>
      <c r="R656">
        <f t="shared" si="51"/>
        <v>0</v>
      </c>
      <c r="S656">
        <f t="shared" si="52"/>
        <v>0</v>
      </c>
      <c r="T656" s="11">
        <f t="shared" si="53"/>
        <v>2021</v>
      </c>
      <c r="U656" s="11">
        <f t="shared" si="54"/>
        <v>31860</v>
      </c>
    </row>
    <row r="657" spans="1:21" x14ac:dyDescent="0.3">
      <c r="A657" t="s">
        <v>1169</v>
      </c>
      <c r="B657">
        <v>2019</v>
      </c>
      <c r="C657" t="s">
        <v>56</v>
      </c>
      <c r="D657" t="s">
        <v>93</v>
      </c>
      <c r="E657">
        <v>45053</v>
      </c>
      <c r="F657" t="s">
        <v>57</v>
      </c>
      <c r="G657">
        <v>51700</v>
      </c>
      <c r="H657" t="s">
        <v>20</v>
      </c>
      <c r="I657" t="s">
        <v>78</v>
      </c>
      <c r="J657" t="s">
        <v>218</v>
      </c>
      <c r="K657" t="s">
        <v>23</v>
      </c>
      <c r="L657" t="s">
        <v>183</v>
      </c>
      <c r="M657" t="s">
        <v>25</v>
      </c>
      <c r="N657" t="s">
        <v>26</v>
      </c>
      <c r="O657" t="s">
        <v>27</v>
      </c>
      <c r="P657" s="1">
        <v>44792</v>
      </c>
      <c r="Q657">
        <f t="shared" si="50"/>
        <v>0</v>
      </c>
      <c r="R657">
        <f t="shared" si="51"/>
        <v>0</v>
      </c>
      <c r="S657">
        <f t="shared" si="52"/>
        <v>0</v>
      </c>
      <c r="T657" s="11">
        <f t="shared" si="53"/>
        <v>2019</v>
      </c>
      <c r="U657" s="11">
        <f t="shared" si="54"/>
        <v>45053</v>
      </c>
    </row>
    <row r="658" spans="1:21" x14ac:dyDescent="0.3">
      <c r="A658" t="s">
        <v>1170</v>
      </c>
      <c r="B658">
        <v>2018</v>
      </c>
      <c r="C658" t="s">
        <v>29</v>
      </c>
      <c r="D658" t="s">
        <v>32</v>
      </c>
      <c r="E658">
        <v>24416</v>
      </c>
      <c r="F658" t="s">
        <v>104</v>
      </c>
      <c r="G658">
        <v>73000</v>
      </c>
      <c r="H658" t="s">
        <v>32</v>
      </c>
      <c r="I658" t="s">
        <v>110</v>
      </c>
      <c r="J658" t="s">
        <v>1171</v>
      </c>
      <c r="K658" t="s">
        <v>23</v>
      </c>
      <c r="L658" t="s">
        <v>95</v>
      </c>
      <c r="M658" t="s">
        <v>96</v>
      </c>
      <c r="N658" t="s">
        <v>89</v>
      </c>
      <c r="O658" t="s">
        <v>27</v>
      </c>
      <c r="P658" s="1">
        <v>44792</v>
      </c>
      <c r="Q658">
        <f t="shared" si="50"/>
        <v>0</v>
      </c>
      <c r="R658">
        <f t="shared" si="51"/>
        <v>1</v>
      </c>
      <c r="S658">
        <f t="shared" si="52"/>
        <v>0</v>
      </c>
      <c r="T658" s="11">
        <f t="shared" si="53"/>
        <v>2018</v>
      </c>
      <c r="U658" s="11">
        <f t="shared" si="54"/>
        <v>24416</v>
      </c>
    </row>
    <row r="659" spans="1:21" x14ac:dyDescent="0.3">
      <c r="A659" t="s">
        <v>1172</v>
      </c>
      <c r="B659">
        <v>2021</v>
      </c>
      <c r="C659" t="s">
        <v>37</v>
      </c>
      <c r="D659" t="s">
        <v>32</v>
      </c>
      <c r="E659">
        <v>11484</v>
      </c>
      <c r="F659" t="s">
        <v>131</v>
      </c>
      <c r="G659">
        <v>121700</v>
      </c>
      <c r="H659" t="s">
        <v>53</v>
      </c>
      <c r="I659" t="s">
        <v>78</v>
      </c>
      <c r="J659" t="s">
        <v>1173</v>
      </c>
      <c r="K659" t="s">
        <v>23</v>
      </c>
      <c r="L659" t="s">
        <v>205</v>
      </c>
      <c r="M659" t="s">
        <v>42</v>
      </c>
      <c r="N659" t="s">
        <v>26</v>
      </c>
      <c r="O659" t="s">
        <v>27</v>
      </c>
      <c r="P659" s="1">
        <v>44792</v>
      </c>
      <c r="Q659">
        <f t="shared" si="50"/>
        <v>1</v>
      </c>
      <c r="R659">
        <f t="shared" si="51"/>
        <v>0</v>
      </c>
      <c r="S659">
        <f t="shared" si="52"/>
        <v>0</v>
      </c>
      <c r="T659" s="11">
        <f t="shared" si="53"/>
        <v>2021</v>
      </c>
      <c r="U659" s="11">
        <f t="shared" si="54"/>
        <v>11484</v>
      </c>
    </row>
    <row r="660" spans="1:21" x14ac:dyDescent="0.3">
      <c r="A660" t="s">
        <v>1174</v>
      </c>
      <c r="B660">
        <v>2019</v>
      </c>
      <c r="C660" t="s">
        <v>56</v>
      </c>
      <c r="D660" t="s">
        <v>32</v>
      </c>
      <c r="E660">
        <v>28341</v>
      </c>
      <c r="F660" t="s">
        <v>57</v>
      </c>
      <c r="G660">
        <v>57000</v>
      </c>
      <c r="H660" t="s">
        <v>20</v>
      </c>
      <c r="I660" t="s">
        <v>78</v>
      </c>
      <c r="J660" t="s">
        <v>275</v>
      </c>
      <c r="K660" t="s">
        <v>23</v>
      </c>
      <c r="L660" t="s">
        <v>87</v>
      </c>
      <c r="M660" t="s">
        <v>88</v>
      </c>
      <c r="N660" t="s">
        <v>89</v>
      </c>
      <c r="O660" t="s">
        <v>27</v>
      </c>
      <c r="P660" s="1">
        <v>44792</v>
      </c>
      <c r="Q660">
        <f t="shared" si="50"/>
        <v>0</v>
      </c>
      <c r="R660">
        <f t="shared" si="51"/>
        <v>0</v>
      </c>
      <c r="S660">
        <f t="shared" si="52"/>
        <v>0</v>
      </c>
      <c r="T660" s="11">
        <f t="shared" si="53"/>
        <v>2019</v>
      </c>
      <c r="U660" s="11">
        <f t="shared" si="54"/>
        <v>28341</v>
      </c>
    </row>
    <row r="661" spans="1:21" x14ac:dyDescent="0.3">
      <c r="A661" t="s">
        <v>1175</v>
      </c>
      <c r="B661">
        <v>2019</v>
      </c>
      <c r="C661" t="s">
        <v>56</v>
      </c>
      <c r="D661" t="s">
        <v>53</v>
      </c>
      <c r="E661">
        <v>86985</v>
      </c>
      <c r="F661" t="s">
        <v>65</v>
      </c>
      <c r="G661">
        <v>40700</v>
      </c>
      <c r="H661" t="s">
        <v>20</v>
      </c>
      <c r="I661" t="s">
        <v>78</v>
      </c>
      <c r="J661" t="s">
        <v>534</v>
      </c>
      <c r="K661" t="s">
        <v>23</v>
      </c>
      <c r="L661" t="s">
        <v>829</v>
      </c>
      <c r="M661" t="s">
        <v>830</v>
      </c>
      <c r="N661" t="s">
        <v>831</v>
      </c>
      <c r="O661" t="s">
        <v>27</v>
      </c>
      <c r="P661" s="1">
        <v>44792</v>
      </c>
      <c r="Q661">
        <f t="shared" si="50"/>
        <v>0</v>
      </c>
      <c r="R661">
        <f t="shared" si="51"/>
        <v>0</v>
      </c>
      <c r="S661">
        <f t="shared" si="52"/>
        <v>0</v>
      </c>
      <c r="T661" s="11">
        <f t="shared" si="53"/>
        <v>2019</v>
      </c>
      <c r="U661" s="11">
        <f t="shared" si="54"/>
        <v>86985</v>
      </c>
    </row>
    <row r="662" spans="1:21" x14ac:dyDescent="0.3">
      <c r="A662" t="s">
        <v>1176</v>
      </c>
      <c r="B662">
        <v>2020</v>
      </c>
      <c r="C662" t="s">
        <v>37</v>
      </c>
      <c r="D662" t="s">
        <v>51</v>
      </c>
      <c r="E662">
        <v>77032</v>
      </c>
      <c r="F662" t="s">
        <v>303</v>
      </c>
      <c r="G662">
        <v>75700</v>
      </c>
      <c r="H662" t="s">
        <v>53</v>
      </c>
      <c r="I662" t="s">
        <v>78</v>
      </c>
      <c r="J662" t="s">
        <v>1177</v>
      </c>
      <c r="K662" t="s">
        <v>23</v>
      </c>
      <c r="L662" t="s">
        <v>95</v>
      </c>
      <c r="M662" t="s">
        <v>96</v>
      </c>
      <c r="N662" t="s">
        <v>89</v>
      </c>
      <c r="O662" t="s">
        <v>27</v>
      </c>
      <c r="P662" s="1">
        <v>44792</v>
      </c>
      <c r="Q662">
        <f t="shared" si="50"/>
        <v>1</v>
      </c>
      <c r="R662">
        <f t="shared" si="51"/>
        <v>0</v>
      </c>
      <c r="S662">
        <f t="shared" si="52"/>
        <v>0</v>
      </c>
      <c r="T662" s="11">
        <f t="shared" si="53"/>
        <v>2020</v>
      </c>
      <c r="U662" s="11">
        <f t="shared" si="54"/>
        <v>77032</v>
      </c>
    </row>
    <row r="663" spans="1:21" x14ac:dyDescent="0.3">
      <c r="A663" t="s">
        <v>1178</v>
      </c>
      <c r="B663">
        <v>2019</v>
      </c>
      <c r="C663" t="s">
        <v>56</v>
      </c>
      <c r="D663" t="s">
        <v>53</v>
      </c>
      <c r="E663">
        <v>19211</v>
      </c>
      <c r="F663" t="s">
        <v>234</v>
      </c>
      <c r="G663">
        <v>52900</v>
      </c>
      <c r="H663" t="s">
        <v>20</v>
      </c>
      <c r="I663" t="s">
        <v>58</v>
      </c>
      <c r="J663" t="s">
        <v>579</v>
      </c>
      <c r="K663" t="s">
        <v>23</v>
      </c>
      <c r="L663" t="s">
        <v>1179</v>
      </c>
      <c r="M663" t="s">
        <v>42</v>
      </c>
      <c r="N663" t="s">
        <v>26</v>
      </c>
      <c r="O663" t="s">
        <v>27</v>
      </c>
      <c r="P663" s="1">
        <v>44792</v>
      </c>
      <c r="Q663">
        <f t="shared" si="50"/>
        <v>0</v>
      </c>
      <c r="R663">
        <f t="shared" si="51"/>
        <v>0</v>
      </c>
      <c r="S663">
        <f t="shared" si="52"/>
        <v>0</v>
      </c>
      <c r="T663" s="11">
        <f t="shared" si="53"/>
        <v>2019</v>
      </c>
      <c r="U663" s="11">
        <f t="shared" si="54"/>
        <v>19211</v>
      </c>
    </row>
    <row r="664" spans="1:21" x14ac:dyDescent="0.3">
      <c r="A664" t="s">
        <v>1180</v>
      </c>
      <c r="B664">
        <v>2021</v>
      </c>
      <c r="C664" t="s">
        <v>17</v>
      </c>
      <c r="D664" t="s">
        <v>32</v>
      </c>
      <c r="E664">
        <v>15737</v>
      </c>
      <c r="F664" t="s">
        <v>189</v>
      </c>
      <c r="G664">
        <v>72100</v>
      </c>
      <c r="H664" t="s">
        <v>20</v>
      </c>
      <c r="I664" t="s">
        <v>39</v>
      </c>
      <c r="J664" t="s">
        <v>258</v>
      </c>
      <c r="K664" t="s">
        <v>23</v>
      </c>
      <c r="L664" t="s">
        <v>117</v>
      </c>
      <c r="M664" t="s">
        <v>118</v>
      </c>
      <c r="N664" t="s">
        <v>119</v>
      </c>
      <c r="O664" t="s">
        <v>27</v>
      </c>
      <c r="P664" s="1">
        <v>44792</v>
      </c>
      <c r="Q664">
        <f t="shared" si="50"/>
        <v>0</v>
      </c>
      <c r="R664">
        <f t="shared" si="51"/>
        <v>0</v>
      </c>
      <c r="S664">
        <f t="shared" si="52"/>
        <v>1</v>
      </c>
      <c r="T664" s="11">
        <f t="shared" si="53"/>
        <v>2021</v>
      </c>
      <c r="U664" s="11">
        <f t="shared" si="54"/>
        <v>15737</v>
      </c>
    </row>
    <row r="665" spans="1:21" x14ac:dyDescent="0.3">
      <c r="A665" t="s">
        <v>1181</v>
      </c>
      <c r="B665">
        <v>2019</v>
      </c>
      <c r="C665" t="s">
        <v>56</v>
      </c>
      <c r="D665" t="s">
        <v>53</v>
      </c>
      <c r="E665">
        <v>35481</v>
      </c>
      <c r="F665" t="s">
        <v>71</v>
      </c>
      <c r="G665">
        <v>56600</v>
      </c>
      <c r="H665" t="s">
        <v>20</v>
      </c>
      <c r="I665" t="s">
        <v>21</v>
      </c>
      <c r="J665" t="s">
        <v>376</v>
      </c>
      <c r="K665" t="s">
        <v>23</v>
      </c>
      <c r="L665" t="s">
        <v>205</v>
      </c>
      <c r="M665" t="s">
        <v>42</v>
      </c>
      <c r="N665" t="s">
        <v>26</v>
      </c>
      <c r="O665" t="s">
        <v>27</v>
      </c>
      <c r="P665" s="1">
        <v>44792</v>
      </c>
      <c r="Q665">
        <f t="shared" si="50"/>
        <v>0</v>
      </c>
      <c r="R665">
        <f t="shared" si="51"/>
        <v>0</v>
      </c>
      <c r="S665">
        <f t="shared" si="52"/>
        <v>0</v>
      </c>
      <c r="T665" s="11">
        <f t="shared" si="53"/>
        <v>2019</v>
      </c>
      <c r="U665" s="11">
        <f t="shared" si="54"/>
        <v>35481</v>
      </c>
    </row>
    <row r="666" spans="1:21" x14ac:dyDescent="0.3">
      <c r="A666" t="s">
        <v>1182</v>
      </c>
      <c r="B666">
        <v>2021</v>
      </c>
      <c r="C666" t="s">
        <v>17</v>
      </c>
      <c r="D666" t="s">
        <v>32</v>
      </c>
      <c r="E666">
        <v>7993</v>
      </c>
      <c r="F666" t="s">
        <v>19</v>
      </c>
      <c r="G666">
        <v>71700</v>
      </c>
      <c r="H666" t="s">
        <v>20</v>
      </c>
      <c r="I666" t="s">
        <v>21</v>
      </c>
      <c r="J666" t="s">
        <v>429</v>
      </c>
      <c r="K666" t="s">
        <v>23</v>
      </c>
      <c r="L666" t="s">
        <v>278</v>
      </c>
      <c r="M666" t="s">
        <v>148</v>
      </c>
      <c r="N666" t="s">
        <v>149</v>
      </c>
      <c r="O666" t="s">
        <v>27</v>
      </c>
      <c r="P666" s="1">
        <v>44792</v>
      </c>
      <c r="Q666">
        <f t="shared" si="50"/>
        <v>0</v>
      </c>
      <c r="R666">
        <f t="shared" si="51"/>
        <v>0</v>
      </c>
      <c r="S666">
        <f t="shared" si="52"/>
        <v>1</v>
      </c>
      <c r="T666" s="11">
        <f t="shared" si="53"/>
        <v>2021</v>
      </c>
      <c r="U666" s="11">
        <f t="shared" si="54"/>
        <v>7993</v>
      </c>
    </row>
    <row r="667" spans="1:21" x14ac:dyDescent="0.3">
      <c r="A667" t="s">
        <v>1183</v>
      </c>
      <c r="B667">
        <v>2021</v>
      </c>
      <c r="C667" t="s">
        <v>17</v>
      </c>
      <c r="D667" t="s">
        <v>32</v>
      </c>
      <c r="E667">
        <v>9789</v>
      </c>
      <c r="F667" t="s">
        <v>19</v>
      </c>
      <c r="G667">
        <v>72300</v>
      </c>
      <c r="H667" t="s">
        <v>20</v>
      </c>
      <c r="I667" t="s">
        <v>78</v>
      </c>
      <c r="J667" t="s">
        <v>200</v>
      </c>
      <c r="K667" t="s">
        <v>23</v>
      </c>
      <c r="L667" t="s">
        <v>158</v>
      </c>
      <c r="M667" t="s">
        <v>42</v>
      </c>
      <c r="N667" t="s">
        <v>26</v>
      </c>
      <c r="O667" t="s">
        <v>27</v>
      </c>
      <c r="P667" s="1">
        <v>44792</v>
      </c>
      <c r="Q667">
        <f t="shared" si="50"/>
        <v>0</v>
      </c>
      <c r="R667">
        <f t="shared" si="51"/>
        <v>0</v>
      </c>
      <c r="S667">
        <f t="shared" si="52"/>
        <v>1</v>
      </c>
      <c r="T667" s="11">
        <f t="shared" si="53"/>
        <v>2021</v>
      </c>
      <c r="U667" s="11">
        <f t="shared" si="54"/>
        <v>9789</v>
      </c>
    </row>
    <row r="668" spans="1:21" x14ac:dyDescent="0.3">
      <c r="A668" t="s">
        <v>1184</v>
      </c>
      <c r="B668">
        <v>2021</v>
      </c>
      <c r="C668" t="s">
        <v>17</v>
      </c>
      <c r="D668" t="s">
        <v>30</v>
      </c>
      <c r="E668">
        <v>29757</v>
      </c>
      <c r="F668" t="s">
        <v>207</v>
      </c>
      <c r="G668">
        <v>64900</v>
      </c>
      <c r="H668" t="s">
        <v>77</v>
      </c>
      <c r="I668" t="s">
        <v>78</v>
      </c>
      <c r="J668" t="s">
        <v>1079</v>
      </c>
      <c r="K668" t="s">
        <v>23</v>
      </c>
      <c r="L668" t="s">
        <v>278</v>
      </c>
      <c r="M668" t="s">
        <v>148</v>
      </c>
      <c r="N668" t="s">
        <v>149</v>
      </c>
      <c r="O668" t="s">
        <v>27</v>
      </c>
      <c r="P668" s="1">
        <v>44792</v>
      </c>
      <c r="Q668">
        <f t="shared" si="50"/>
        <v>0</v>
      </c>
      <c r="R668">
        <f t="shared" si="51"/>
        <v>0</v>
      </c>
      <c r="S668">
        <f t="shared" si="52"/>
        <v>1</v>
      </c>
      <c r="T668" s="11">
        <f t="shared" si="53"/>
        <v>2021</v>
      </c>
      <c r="U668" s="11">
        <f t="shared" si="54"/>
        <v>29757</v>
      </c>
    </row>
    <row r="669" spans="1:21" x14ac:dyDescent="0.3">
      <c r="A669" t="s">
        <v>1185</v>
      </c>
      <c r="B669">
        <v>2021</v>
      </c>
      <c r="C669" t="s">
        <v>17</v>
      </c>
      <c r="D669" t="s">
        <v>30</v>
      </c>
      <c r="E669">
        <v>11796</v>
      </c>
      <c r="F669" t="s">
        <v>189</v>
      </c>
      <c r="G669">
        <v>72900</v>
      </c>
      <c r="H669" t="s">
        <v>20</v>
      </c>
      <c r="I669" t="s">
        <v>39</v>
      </c>
      <c r="J669" t="s">
        <v>190</v>
      </c>
      <c r="K669" t="s">
        <v>23</v>
      </c>
      <c r="L669" t="s">
        <v>205</v>
      </c>
      <c r="M669" t="s">
        <v>42</v>
      </c>
      <c r="N669" t="s">
        <v>26</v>
      </c>
      <c r="O669" t="s">
        <v>27</v>
      </c>
      <c r="P669" s="1">
        <v>44792</v>
      </c>
      <c r="Q669">
        <f t="shared" si="50"/>
        <v>0</v>
      </c>
      <c r="R669">
        <f t="shared" si="51"/>
        <v>0</v>
      </c>
      <c r="S669">
        <f t="shared" si="52"/>
        <v>1</v>
      </c>
      <c r="T669" s="11">
        <f t="shared" si="53"/>
        <v>2021</v>
      </c>
      <c r="U669" s="11">
        <f t="shared" si="54"/>
        <v>11796</v>
      </c>
    </row>
    <row r="670" spans="1:21" x14ac:dyDescent="0.3">
      <c r="A670" t="s">
        <v>1186</v>
      </c>
      <c r="B670">
        <v>2018</v>
      </c>
      <c r="C670" t="s">
        <v>37</v>
      </c>
      <c r="D670" t="s">
        <v>53</v>
      </c>
      <c r="E670">
        <v>53125</v>
      </c>
      <c r="F670" t="s">
        <v>104</v>
      </c>
      <c r="G670">
        <v>66900</v>
      </c>
      <c r="H670" t="s">
        <v>32</v>
      </c>
      <c r="I670" t="s">
        <v>78</v>
      </c>
      <c r="J670" t="s">
        <v>1187</v>
      </c>
      <c r="K670" t="s">
        <v>23</v>
      </c>
      <c r="L670" t="s">
        <v>278</v>
      </c>
      <c r="M670" t="s">
        <v>148</v>
      </c>
      <c r="N670" t="s">
        <v>149</v>
      </c>
      <c r="O670" t="s">
        <v>27</v>
      </c>
      <c r="P670" s="1">
        <v>44792</v>
      </c>
      <c r="Q670">
        <f t="shared" si="50"/>
        <v>1</v>
      </c>
      <c r="R670">
        <f t="shared" si="51"/>
        <v>0</v>
      </c>
      <c r="S670">
        <f t="shared" si="52"/>
        <v>0</v>
      </c>
      <c r="T670" s="11">
        <f t="shared" si="53"/>
        <v>2018</v>
      </c>
      <c r="U670" s="11">
        <f t="shared" si="54"/>
        <v>53125</v>
      </c>
    </row>
    <row r="671" spans="1:21" x14ac:dyDescent="0.3">
      <c r="A671" t="s">
        <v>1188</v>
      </c>
      <c r="B671">
        <v>2021</v>
      </c>
      <c r="C671" t="s">
        <v>37</v>
      </c>
      <c r="D671" t="s">
        <v>32</v>
      </c>
      <c r="E671">
        <v>2439</v>
      </c>
      <c r="F671" t="s">
        <v>131</v>
      </c>
      <c r="G671">
        <v>122100</v>
      </c>
      <c r="H671" t="s">
        <v>45</v>
      </c>
      <c r="I671" t="s">
        <v>39</v>
      </c>
      <c r="J671" t="s">
        <v>1189</v>
      </c>
      <c r="K671" t="s">
        <v>23</v>
      </c>
      <c r="L671" t="s">
        <v>137</v>
      </c>
      <c r="M671" t="s">
        <v>138</v>
      </c>
      <c r="N671" t="s">
        <v>139</v>
      </c>
      <c r="O671" t="s">
        <v>27</v>
      </c>
      <c r="P671" s="1">
        <v>44792</v>
      </c>
      <c r="Q671">
        <f t="shared" si="50"/>
        <v>1</v>
      </c>
      <c r="R671">
        <f t="shared" si="51"/>
        <v>0</v>
      </c>
      <c r="S671">
        <f t="shared" si="52"/>
        <v>0</v>
      </c>
      <c r="T671" s="11">
        <f t="shared" si="53"/>
        <v>2021</v>
      </c>
      <c r="U671" s="11">
        <f t="shared" si="54"/>
        <v>2439</v>
      </c>
    </row>
    <row r="672" spans="1:21" x14ac:dyDescent="0.3">
      <c r="A672" t="s">
        <v>1190</v>
      </c>
      <c r="B672">
        <v>2019</v>
      </c>
      <c r="C672" t="s">
        <v>56</v>
      </c>
      <c r="D672" t="s">
        <v>53</v>
      </c>
      <c r="E672">
        <v>24723</v>
      </c>
      <c r="F672" t="s">
        <v>71</v>
      </c>
      <c r="G672">
        <v>59300</v>
      </c>
      <c r="H672" t="s">
        <v>20</v>
      </c>
      <c r="I672" t="s">
        <v>58</v>
      </c>
      <c r="J672" t="s">
        <v>579</v>
      </c>
      <c r="K672" t="s">
        <v>23</v>
      </c>
      <c r="N672" t="s">
        <v>127</v>
      </c>
      <c r="O672" t="s">
        <v>27</v>
      </c>
      <c r="P672" s="1">
        <v>44792</v>
      </c>
      <c r="Q672">
        <f t="shared" si="50"/>
        <v>0</v>
      </c>
      <c r="R672">
        <f t="shared" si="51"/>
        <v>0</v>
      </c>
      <c r="S672">
        <f t="shared" si="52"/>
        <v>0</v>
      </c>
      <c r="T672" s="11">
        <f t="shared" si="53"/>
        <v>2019</v>
      </c>
      <c r="U672" s="11">
        <f t="shared" si="54"/>
        <v>24723</v>
      </c>
    </row>
    <row r="673" spans="1:21" x14ac:dyDescent="0.3">
      <c r="A673" t="s">
        <v>1191</v>
      </c>
      <c r="B673">
        <v>2018</v>
      </c>
      <c r="C673" t="s">
        <v>56</v>
      </c>
      <c r="D673" t="s">
        <v>76</v>
      </c>
      <c r="E673">
        <v>82425</v>
      </c>
      <c r="F673" t="s">
        <v>234</v>
      </c>
      <c r="G673">
        <v>42300</v>
      </c>
      <c r="H673" t="s">
        <v>20</v>
      </c>
      <c r="I673" t="s">
        <v>78</v>
      </c>
      <c r="J673" t="s">
        <v>358</v>
      </c>
      <c r="K673" t="s">
        <v>23</v>
      </c>
      <c r="L673" t="s">
        <v>609</v>
      </c>
      <c r="M673" t="s">
        <v>138</v>
      </c>
      <c r="N673" t="s">
        <v>139</v>
      </c>
      <c r="O673" t="s">
        <v>27</v>
      </c>
      <c r="P673" s="1">
        <v>44792</v>
      </c>
      <c r="Q673">
        <f t="shared" si="50"/>
        <v>0</v>
      </c>
      <c r="R673">
        <f t="shared" si="51"/>
        <v>0</v>
      </c>
      <c r="S673">
        <f t="shared" si="52"/>
        <v>0</v>
      </c>
      <c r="T673" s="11">
        <f t="shared" si="53"/>
        <v>2018</v>
      </c>
      <c r="U673" s="11">
        <f t="shared" si="54"/>
        <v>82425</v>
      </c>
    </row>
    <row r="674" spans="1:21" x14ac:dyDescent="0.3">
      <c r="A674" t="s">
        <v>1192</v>
      </c>
      <c r="B674">
        <v>2018</v>
      </c>
      <c r="C674" t="s">
        <v>56</v>
      </c>
      <c r="D674" t="s">
        <v>93</v>
      </c>
      <c r="E674">
        <v>45471</v>
      </c>
      <c r="F674" t="s">
        <v>57</v>
      </c>
      <c r="G674">
        <v>50700</v>
      </c>
      <c r="H674" t="s">
        <v>20</v>
      </c>
      <c r="I674" t="s">
        <v>58</v>
      </c>
      <c r="J674" t="s">
        <v>842</v>
      </c>
      <c r="K674" t="s">
        <v>23</v>
      </c>
      <c r="N674" t="s">
        <v>127</v>
      </c>
      <c r="O674" t="s">
        <v>27</v>
      </c>
      <c r="P674" s="1">
        <v>44792</v>
      </c>
      <c r="Q674">
        <f t="shared" si="50"/>
        <v>0</v>
      </c>
      <c r="R674">
        <f t="shared" si="51"/>
        <v>0</v>
      </c>
      <c r="S674">
        <f t="shared" si="52"/>
        <v>0</v>
      </c>
      <c r="T674" s="11">
        <f t="shared" si="53"/>
        <v>2018</v>
      </c>
      <c r="U674" s="11">
        <f t="shared" si="54"/>
        <v>45471</v>
      </c>
    </row>
    <row r="675" spans="1:21" x14ac:dyDescent="0.3">
      <c r="A675" t="s">
        <v>1193</v>
      </c>
      <c r="B675">
        <v>2021</v>
      </c>
      <c r="C675" t="s">
        <v>17</v>
      </c>
      <c r="D675" t="s">
        <v>32</v>
      </c>
      <c r="E675">
        <v>20504</v>
      </c>
      <c r="F675" t="s">
        <v>207</v>
      </c>
      <c r="G675">
        <v>70100</v>
      </c>
      <c r="H675" t="s">
        <v>20</v>
      </c>
      <c r="I675" t="s">
        <v>21</v>
      </c>
      <c r="J675" t="s">
        <v>429</v>
      </c>
      <c r="K675" t="s">
        <v>23</v>
      </c>
      <c r="L675" t="s">
        <v>609</v>
      </c>
      <c r="N675" t="s">
        <v>139</v>
      </c>
      <c r="O675" t="s">
        <v>27</v>
      </c>
      <c r="P675" s="1">
        <v>44792</v>
      </c>
      <c r="Q675">
        <f t="shared" si="50"/>
        <v>0</v>
      </c>
      <c r="R675">
        <f t="shared" si="51"/>
        <v>0</v>
      </c>
      <c r="S675">
        <f t="shared" si="52"/>
        <v>1</v>
      </c>
      <c r="T675" s="11">
        <f t="shared" si="53"/>
        <v>2021</v>
      </c>
      <c r="U675" s="11">
        <f t="shared" si="54"/>
        <v>20504</v>
      </c>
    </row>
    <row r="676" spans="1:21" x14ac:dyDescent="0.3">
      <c r="A676" t="s">
        <v>1194</v>
      </c>
      <c r="B676">
        <v>2019</v>
      </c>
      <c r="C676" t="s">
        <v>56</v>
      </c>
      <c r="D676" t="s">
        <v>30</v>
      </c>
      <c r="E676">
        <v>30899</v>
      </c>
      <c r="F676" t="s">
        <v>71</v>
      </c>
      <c r="G676">
        <v>57100</v>
      </c>
      <c r="H676" t="s">
        <v>20</v>
      </c>
      <c r="I676" t="s">
        <v>21</v>
      </c>
      <c r="J676" t="s">
        <v>384</v>
      </c>
      <c r="K676" t="s">
        <v>23</v>
      </c>
      <c r="L676" t="s">
        <v>292</v>
      </c>
      <c r="M676" t="s">
        <v>172</v>
      </c>
      <c r="N676" t="s">
        <v>173</v>
      </c>
      <c r="O676" t="s">
        <v>27</v>
      </c>
      <c r="P676" s="1">
        <v>44792</v>
      </c>
      <c r="Q676">
        <f t="shared" si="50"/>
        <v>0</v>
      </c>
      <c r="R676">
        <f t="shared" si="51"/>
        <v>0</v>
      </c>
      <c r="S676">
        <f t="shared" si="52"/>
        <v>0</v>
      </c>
      <c r="T676" s="11">
        <f t="shared" si="53"/>
        <v>2019</v>
      </c>
      <c r="U676" s="11">
        <f t="shared" si="54"/>
        <v>30899</v>
      </c>
    </row>
    <row r="677" spans="1:21" x14ac:dyDescent="0.3">
      <c r="A677" t="s">
        <v>1195</v>
      </c>
      <c r="B677">
        <v>2021</v>
      </c>
      <c r="C677" t="s">
        <v>17</v>
      </c>
      <c r="D677" t="s">
        <v>18</v>
      </c>
      <c r="E677">
        <v>36504</v>
      </c>
      <c r="F677" t="s">
        <v>19</v>
      </c>
      <c r="G677">
        <v>77400</v>
      </c>
      <c r="H677" t="s">
        <v>77</v>
      </c>
      <c r="I677" t="s">
        <v>21</v>
      </c>
      <c r="J677" t="s">
        <v>251</v>
      </c>
      <c r="K677" t="s">
        <v>23</v>
      </c>
      <c r="L677" t="s">
        <v>137</v>
      </c>
      <c r="M677" t="s">
        <v>138</v>
      </c>
      <c r="N677" t="s">
        <v>139</v>
      </c>
      <c r="O677" t="s">
        <v>27</v>
      </c>
      <c r="P677" s="1">
        <v>44792</v>
      </c>
      <c r="Q677">
        <f t="shared" si="50"/>
        <v>0</v>
      </c>
      <c r="R677">
        <f t="shared" si="51"/>
        <v>0</v>
      </c>
      <c r="S677">
        <f t="shared" si="52"/>
        <v>1</v>
      </c>
      <c r="T677" s="11">
        <f t="shared" si="53"/>
        <v>2021</v>
      </c>
      <c r="U677" s="11">
        <f t="shared" si="54"/>
        <v>36504</v>
      </c>
    </row>
    <row r="678" spans="1:21" x14ac:dyDescent="0.3">
      <c r="A678" t="s">
        <v>1196</v>
      </c>
      <c r="B678">
        <v>2020</v>
      </c>
      <c r="C678" t="s">
        <v>56</v>
      </c>
      <c r="D678" t="s">
        <v>32</v>
      </c>
      <c r="E678">
        <v>30008</v>
      </c>
      <c r="F678" t="s">
        <v>71</v>
      </c>
      <c r="G678">
        <v>58700</v>
      </c>
      <c r="H678" t="s">
        <v>20</v>
      </c>
      <c r="I678" t="s">
        <v>21</v>
      </c>
      <c r="J678" t="s">
        <v>449</v>
      </c>
      <c r="K678" t="s">
        <v>23</v>
      </c>
      <c r="L678" t="s">
        <v>205</v>
      </c>
      <c r="M678" t="s">
        <v>42</v>
      </c>
      <c r="N678" t="s">
        <v>26</v>
      </c>
      <c r="O678" t="s">
        <v>27</v>
      </c>
      <c r="P678" s="1">
        <v>44792</v>
      </c>
      <c r="Q678">
        <f t="shared" si="50"/>
        <v>0</v>
      </c>
      <c r="R678">
        <f t="shared" si="51"/>
        <v>0</v>
      </c>
      <c r="S678">
        <f t="shared" si="52"/>
        <v>0</v>
      </c>
      <c r="T678" s="11">
        <f t="shared" si="53"/>
        <v>2020</v>
      </c>
      <c r="U678" s="11">
        <f t="shared" si="54"/>
        <v>30008</v>
      </c>
    </row>
    <row r="679" spans="1:21" x14ac:dyDescent="0.3">
      <c r="A679" t="s">
        <v>1197</v>
      </c>
      <c r="B679">
        <v>2020</v>
      </c>
      <c r="C679" t="s">
        <v>56</v>
      </c>
      <c r="D679" t="s">
        <v>76</v>
      </c>
      <c r="E679">
        <v>5009</v>
      </c>
      <c r="F679" t="s">
        <v>57</v>
      </c>
      <c r="G679">
        <v>60800</v>
      </c>
      <c r="H679" t="s">
        <v>77</v>
      </c>
      <c r="I679" t="s">
        <v>58</v>
      </c>
      <c r="J679" t="s">
        <v>1198</v>
      </c>
      <c r="K679" t="s">
        <v>23</v>
      </c>
      <c r="N679" t="s">
        <v>127</v>
      </c>
      <c r="O679" t="s">
        <v>27</v>
      </c>
      <c r="P679" s="1">
        <v>44792</v>
      </c>
      <c r="Q679">
        <f t="shared" si="50"/>
        <v>0</v>
      </c>
      <c r="R679">
        <f t="shared" si="51"/>
        <v>0</v>
      </c>
      <c r="S679">
        <f t="shared" si="52"/>
        <v>0</v>
      </c>
      <c r="T679" s="11">
        <f t="shared" si="53"/>
        <v>2020</v>
      </c>
      <c r="U679" s="11">
        <f t="shared" si="54"/>
        <v>5009</v>
      </c>
    </row>
    <row r="680" spans="1:21" x14ac:dyDescent="0.3">
      <c r="A680" t="s">
        <v>1199</v>
      </c>
      <c r="B680">
        <v>2021</v>
      </c>
      <c r="C680" t="s">
        <v>56</v>
      </c>
      <c r="D680" t="s">
        <v>93</v>
      </c>
      <c r="E680">
        <v>2608</v>
      </c>
      <c r="F680" t="s">
        <v>366</v>
      </c>
      <c r="G680">
        <v>58300</v>
      </c>
      <c r="H680" t="s">
        <v>20</v>
      </c>
      <c r="I680" t="s">
        <v>78</v>
      </c>
      <c r="J680" t="s">
        <v>536</v>
      </c>
      <c r="K680" t="s">
        <v>23</v>
      </c>
      <c r="L680" t="s">
        <v>163</v>
      </c>
      <c r="M680" t="s">
        <v>164</v>
      </c>
      <c r="N680" t="s">
        <v>26</v>
      </c>
      <c r="O680" t="s">
        <v>27</v>
      </c>
      <c r="P680" s="1">
        <v>44792</v>
      </c>
      <c r="Q680">
        <f t="shared" si="50"/>
        <v>0</v>
      </c>
      <c r="R680">
        <f t="shared" si="51"/>
        <v>0</v>
      </c>
      <c r="S680">
        <f t="shared" si="52"/>
        <v>0</v>
      </c>
      <c r="T680" s="11">
        <f t="shared" si="53"/>
        <v>2021</v>
      </c>
      <c r="U680" s="11">
        <f t="shared" si="54"/>
        <v>2608</v>
      </c>
    </row>
    <row r="681" spans="1:21" x14ac:dyDescent="0.3">
      <c r="A681" t="s">
        <v>1200</v>
      </c>
      <c r="B681">
        <v>2020</v>
      </c>
      <c r="C681" t="s">
        <v>56</v>
      </c>
      <c r="D681" t="s">
        <v>32</v>
      </c>
      <c r="E681">
        <v>23768</v>
      </c>
      <c r="F681" t="s">
        <v>71</v>
      </c>
      <c r="G681">
        <v>59700</v>
      </c>
      <c r="H681" t="s">
        <v>20</v>
      </c>
      <c r="I681" t="s">
        <v>21</v>
      </c>
      <c r="J681" t="s">
        <v>449</v>
      </c>
      <c r="K681" t="s">
        <v>23</v>
      </c>
      <c r="L681" t="s">
        <v>278</v>
      </c>
      <c r="M681" t="s">
        <v>148</v>
      </c>
      <c r="N681" t="s">
        <v>149</v>
      </c>
      <c r="O681" t="s">
        <v>27</v>
      </c>
      <c r="P681" s="1">
        <v>44792</v>
      </c>
      <c r="Q681">
        <f t="shared" si="50"/>
        <v>0</v>
      </c>
      <c r="R681">
        <f t="shared" si="51"/>
        <v>0</v>
      </c>
      <c r="S681">
        <f t="shared" si="52"/>
        <v>0</v>
      </c>
      <c r="T681" s="11">
        <f t="shared" si="53"/>
        <v>2020</v>
      </c>
      <c r="U681" s="11">
        <f t="shared" si="54"/>
        <v>23768</v>
      </c>
    </row>
    <row r="682" spans="1:21" x14ac:dyDescent="0.3">
      <c r="A682" t="s">
        <v>1201</v>
      </c>
      <c r="B682">
        <v>2019</v>
      </c>
      <c r="C682" t="s">
        <v>56</v>
      </c>
      <c r="D682" t="s">
        <v>32</v>
      </c>
      <c r="E682">
        <v>31932</v>
      </c>
      <c r="F682" t="s">
        <v>71</v>
      </c>
      <c r="G682">
        <v>55900</v>
      </c>
      <c r="H682" t="s">
        <v>20</v>
      </c>
      <c r="I682" t="s">
        <v>21</v>
      </c>
      <c r="J682" t="s">
        <v>72</v>
      </c>
      <c r="K682" t="s">
        <v>23</v>
      </c>
      <c r="L682" t="s">
        <v>112</v>
      </c>
      <c r="M682" t="s">
        <v>113</v>
      </c>
      <c r="N682" t="s">
        <v>114</v>
      </c>
      <c r="O682" t="s">
        <v>27</v>
      </c>
      <c r="P682" s="1">
        <v>44792</v>
      </c>
      <c r="Q682">
        <f t="shared" si="50"/>
        <v>0</v>
      </c>
      <c r="R682">
        <f t="shared" si="51"/>
        <v>0</v>
      </c>
      <c r="S682">
        <f t="shared" si="52"/>
        <v>0</v>
      </c>
      <c r="T682" s="11">
        <f t="shared" si="53"/>
        <v>2019</v>
      </c>
      <c r="U682" s="11">
        <f t="shared" si="54"/>
        <v>31932</v>
      </c>
    </row>
    <row r="683" spans="1:21" x14ac:dyDescent="0.3">
      <c r="A683" t="s">
        <v>1202</v>
      </c>
      <c r="B683">
        <v>2021</v>
      </c>
      <c r="C683" t="s">
        <v>17</v>
      </c>
      <c r="D683" t="s">
        <v>32</v>
      </c>
      <c r="E683">
        <v>23856</v>
      </c>
      <c r="F683" t="s">
        <v>189</v>
      </c>
      <c r="G683">
        <v>74600</v>
      </c>
      <c r="H683" t="s">
        <v>20</v>
      </c>
      <c r="I683" t="s">
        <v>39</v>
      </c>
      <c r="J683" t="s">
        <v>258</v>
      </c>
      <c r="K683" t="s">
        <v>23</v>
      </c>
      <c r="L683" t="s">
        <v>122</v>
      </c>
      <c r="M683" t="s">
        <v>113</v>
      </c>
      <c r="N683" t="s">
        <v>114</v>
      </c>
      <c r="O683" t="s">
        <v>27</v>
      </c>
      <c r="P683" s="1">
        <v>44792</v>
      </c>
      <c r="Q683">
        <f t="shared" si="50"/>
        <v>0</v>
      </c>
      <c r="R683">
        <f t="shared" si="51"/>
        <v>0</v>
      </c>
      <c r="S683">
        <f t="shared" si="52"/>
        <v>1</v>
      </c>
      <c r="T683" s="11">
        <f t="shared" si="53"/>
        <v>2021</v>
      </c>
      <c r="U683" s="11">
        <f t="shared" si="54"/>
        <v>23856</v>
      </c>
    </row>
    <row r="684" spans="1:21" x14ac:dyDescent="0.3">
      <c r="A684" t="s">
        <v>1203</v>
      </c>
      <c r="B684">
        <v>2018</v>
      </c>
      <c r="C684" t="s">
        <v>37</v>
      </c>
      <c r="D684" t="s">
        <v>51</v>
      </c>
      <c r="E684">
        <v>69905</v>
      </c>
      <c r="F684" t="s">
        <v>52</v>
      </c>
      <c r="G684">
        <v>68200</v>
      </c>
      <c r="H684" t="s">
        <v>32</v>
      </c>
      <c r="I684" t="s">
        <v>78</v>
      </c>
      <c r="J684" t="s">
        <v>1204</v>
      </c>
      <c r="K684" t="s">
        <v>23</v>
      </c>
      <c r="L684" t="s">
        <v>117</v>
      </c>
      <c r="M684" t="s">
        <v>118</v>
      </c>
      <c r="N684" t="s">
        <v>119</v>
      </c>
      <c r="O684" t="s">
        <v>27</v>
      </c>
      <c r="P684" s="1">
        <v>44792</v>
      </c>
      <c r="Q684">
        <f t="shared" si="50"/>
        <v>1</v>
      </c>
      <c r="R684">
        <f t="shared" si="51"/>
        <v>0</v>
      </c>
      <c r="S684">
        <f t="shared" si="52"/>
        <v>0</v>
      </c>
      <c r="T684" s="11">
        <f t="shared" si="53"/>
        <v>2018</v>
      </c>
      <c r="U684" s="11">
        <f t="shared" si="54"/>
        <v>69905</v>
      </c>
    </row>
    <row r="685" spans="1:21" x14ac:dyDescent="0.3">
      <c r="A685" t="s">
        <v>1205</v>
      </c>
      <c r="B685">
        <v>2019</v>
      </c>
      <c r="C685" t="s">
        <v>56</v>
      </c>
      <c r="D685" t="s">
        <v>32</v>
      </c>
      <c r="E685">
        <v>12551</v>
      </c>
      <c r="F685" t="s">
        <v>57</v>
      </c>
      <c r="G685">
        <v>55300</v>
      </c>
      <c r="H685" t="s">
        <v>77</v>
      </c>
      <c r="I685" t="s">
        <v>58</v>
      </c>
      <c r="J685" t="s">
        <v>411</v>
      </c>
      <c r="K685" t="s">
        <v>23</v>
      </c>
      <c r="L685" t="s">
        <v>425</v>
      </c>
      <c r="M685" t="s">
        <v>426</v>
      </c>
      <c r="N685" t="s">
        <v>427</v>
      </c>
      <c r="O685" t="s">
        <v>27</v>
      </c>
      <c r="P685" s="1">
        <v>44792</v>
      </c>
      <c r="Q685">
        <f t="shared" si="50"/>
        <v>0</v>
      </c>
      <c r="R685">
        <f t="shared" si="51"/>
        <v>0</v>
      </c>
      <c r="S685">
        <f t="shared" si="52"/>
        <v>0</v>
      </c>
      <c r="T685" s="11">
        <f t="shared" si="53"/>
        <v>2019</v>
      </c>
      <c r="U685" s="11">
        <f t="shared" si="54"/>
        <v>12551</v>
      </c>
    </row>
    <row r="686" spans="1:21" x14ac:dyDescent="0.3">
      <c r="A686" t="s">
        <v>1206</v>
      </c>
      <c r="B686">
        <v>2018</v>
      </c>
      <c r="C686" t="s">
        <v>29</v>
      </c>
      <c r="D686" t="s">
        <v>53</v>
      </c>
      <c r="E686">
        <v>35405</v>
      </c>
      <c r="F686" t="s">
        <v>104</v>
      </c>
      <c r="G686">
        <v>77500</v>
      </c>
      <c r="H686" t="s">
        <v>105</v>
      </c>
      <c r="I686" t="s">
        <v>21</v>
      </c>
      <c r="J686" t="s">
        <v>1207</v>
      </c>
      <c r="K686" t="s">
        <v>23</v>
      </c>
      <c r="L686" t="s">
        <v>371</v>
      </c>
      <c r="M686" t="s">
        <v>48</v>
      </c>
      <c r="N686" t="s">
        <v>49</v>
      </c>
      <c r="O686" t="s">
        <v>27</v>
      </c>
      <c r="P686" s="1">
        <v>44791</v>
      </c>
      <c r="Q686">
        <f t="shared" si="50"/>
        <v>0</v>
      </c>
      <c r="R686">
        <f t="shared" si="51"/>
        <v>1</v>
      </c>
      <c r="S686">
        <f t="shared" si="52"/>
        <v>0</v>
      </c>
      <c r="T686" s="11">
        <f t="shared" si="53"/>
        <v>2018</v>
      </c>
      <c r="U686" s="11">
        <f t="shared" si="54"/>
        <v>35405</v>
      </c>
    </row>
    <row r="687" spans="1:21" x14ac:dyDescent="0.3">
      <c r="A687" t="s">
        <v>1208</v>
      </c>
      <c r="B687">
        <v>2020</v>
      </c>
      <c r="C687" t="s">
        <v>29</v>
      </c>
      <c r="D687" t="s">
        <v>32</v>
      </c>
      <c r="E687">
        <v>22513</v>
      </c>
      <c r="F687" t="s">
        <v>31</v>
      </c>
      <c r="G687">
        <v>110600</v>
      </c>
      <c r="H687" t="s">
        <v>32</v>
      </c>
      <c r="I687" t="s">
        <v>21</v>
      </c>
      <c r="J687" t="s">
        <v>1209</v>
      </c>
      <c r="K687" t="s">
        <v>23</v>
      </c>
      <c r="L687" t="s">
        <v>447</v>
      </c>
      <c r="N687" t="s">
        <v>203</v>
      </c>
      <c r="O687" t="s">
        <v>27</v>
      </c>
      <c r="P687" s="1">
        <v>44791</v>
      </c>
      <c r="Q687">
        <f t="shared" si="50"/>
        <v>0</v>
      </c>
      <c r="R687">
        <f t="shared" si="51"/>
        <v>1</v>
      </c>
      <c r="S687">
        <f t="shared" si="52"/>
        <v>0</v>
      </c>
      <c r="T687" s="11">
        <f t="shared" si="53"/>
        <v>2020</v>
      </c>
      <c r="U687" s="11">
        <f t="shared" si="54"/>
        <v>22513</v>
      </c>
    </row>
    <row r="688" spans="1:21" x14ac:dyDescent="0.3">
      <c r="A688" t="s">
        <v>1210</v>
      </c>
      <c r="B688">
        <v>2019</v>
      </c>
      <c r="C688" t="s">
        <v>29</v>
      </c>
      <c r="D688" t="s">
        <v>51</v>
      </c>
      <c r="E688">
        <v>20065</v>
      </c>
      <c r="F688" t="s">
        <v>177</v>
      </c>
      <c r="G688">
        <v>91000</v>
      </c>
      <c r="H688" t="s">
        <v>53</v>
      </c>
      <c r="I688" t="s">
        <v>21</v>
      </c>
      <c r="J688" t="s">
        <v>1211</v>
      </c>
      <c r="K688" t="s">
        <v>23</v>
      </c>
      <c r="L688" t="s">
        <v>84</v>
      </c>
      <c r="M688" t="s">
        <v>48</v>
      </c>
      <c r="N688" t="s">
        <v>69</v>
      </c>
      <c r="O688" t="s">
        <v>27</v>
      </c>
      <c r="P688" s="1">
        <v>44791</v>
      </c>
      <c r="Q688">
        <f t="shared" si="50"/>
        <v>0</v>
      </c>
      <c r="R688">
        <f t="shared" si="51"/>
        <v>1</v>
      </c>
      <c r="S688">
        <f t="shared" si="52"/>
        <v>0</v>
      </c>
      <c r="T688" s="11">
        <f t="shared" si="53"/>
        <v>2019</v>
      </c>
      <c r="U688" s="11">
        <f t="shared" si="54"/>
        <v>20065</v>
      </c>
    </row>
    <row r="689" spans="1:21" x14ac:dyDescent="0.3">
      <c r="A689" t="s">
        <v>1212</v>
      </c>
      <c r="B689">
        <v>2018</v>
      </c>
      <c r="C689" t="s">
        <v>37</v>
      </c>
      <c r="D689" t="s">
        <v>30</v>
      </c>
      <c r="E689">
        <v>50064</v>
      </c>
      <c r="F689" t="s">
        <v>52</v>
      </c>
      <c r="G689">
        <v>69200</v>
      </c>
      <c r="H689" t="s">
        <v>53</v>
      </c>
      <c r="I689" t="s">
        <v>39</v>
      </c>
      <c r="J689" t="s">
        <v>1213</v>
      </c>
      <c r="K689" t="s">
        <v>23</v>
      </c>
      <c r="L689" t="s">
        <v>183</v>
      </c>
      <c r="M689" t="s">
        <v>25</v>
      </c>
      <c r="N689" t="s">
        <v>26</v>
      </c>
      <c r="O689" t="s">
        <v>27</v>
      </c>
      <c r="P689" s="1">
        <v>44791</v>
      </c>
      <c r="Q689">
        <f t="shared" si="50"/>
        <v>1</v>
      </c>
      <c r="R689">
        <f t="shared" si="51"/>
        <v>0</v>
      </c>
      <c r="S689">
        <f t="shared" si="52"/>
        <v>0</v>
      </c>
      <c r="T689" s="11">
        <f t="shared" si="53"/>
        <v>2018</v>
      </c>
      <c r="U689" s="11">
        <f t="shared" si="54"/>
        <v>50064</v>
      </c>
    </row>
    <row r="690" spans="1:21" x14ac:dyDescent="0.3">
      <c r="A690" t="s">
        <v>1214</v>
      </c>
      <c r="B690">
        <v>2021</v>
      </c>
      <c r="C690" t="s">
        <v>17</v>
      </c>
      <c r="D690" t="s">
        <v>30</v>
      </c>
      <c r="E690">
        <v>31045</v>
      </c>
      <c r="F690" t="s">
        <v>19</v>
      </c>
      <c r="G690">
        <v>75300</v>
      </c>
      <c r="H690" t="s">
        <v>77</v>
      </c>
      <c r="I690" t="s">
        <v>78</v>
      </c>
      <c r="J690" t="s">
        <v>1215</v>
      </c>
      <c r="K690" t="s">
        <v>23</v>
      </c>
      <c r="L690" t="s">
        <v>345</v>
      </c>
      <c r="M690" t="s">
        <v>48</v>
      </c>
      <c r="N690" t="s">
        <v>69</v>
      </c>
      <c r="O690" t="s">
        <v>27</v>
      </c>
      <c r="P690" s="1">
        <v>44791</v>
      </c>
      <c r="Q690">
        <f t="shared" si="50"/>
        <v>0</v>
      </c>
      <c r="R690">
        <f t="shared" si="51"/>
        <v>0</v>
      </c>
      <c r="S690">
        <f t="shared" si="52"/>
        <v>1</v>
      </c>
      <c r="T690" s="11">
        <f t="shared" si="53"/>
        <v>2021</v>
      </c>
      <c r="U690" s="11">
        <f t="shared" si="54"/>
        <v>31045</v>
      </c>
    </row>
    <row r="691" spans="1:21" x14ac:dyDescent="0.3">
      <c r="A691" t="s">
        <v>1216</v>
      </c>
      <c r="B691">
        <v>2019</v>
      </c>
      <c r="C691" t="s">
        <v>37</v>
      </c>
      <c r="D691" t="s">
        <v>32</v>
      </c>
      <c r="E691">
        <v>30623</v>
      </c>
      <c r="F691" t="s">
        <v>38</v>
      </c>
      <c r="G691">
        <v>86900</v>
      </c>
      <c r="H691" t="s">
        <v>45</v>
      </c>
      <c r="I691" t="s">
        <v>39</v>
      </c>
      <c r="J691" t="s">
        <v>1217</v>
      </c>
      <c r="K691" t="s">
        <v>23</v>
      </c>
      <c r="L691" t="s">
        <v>230</v>
      </c>
      <c r="M691" t="s">
        <v>25</v>
      </c>
      <c r="N691" t="s">
        <v>26</v>
      </c>
      <c r="O691" t="s">
        <v>27</v>
      </c>
      <c r="P691" s="1">
        <v>44791</v>
      </c>
      <c r="Q691">
        <f t="shared" si="50"/>
        <v>1</v>
      </c>
      <c r="R691">
        <f t="shared" si="51"/>
        <v>0</v>
      </c>
      <c r="S691">
        <f t="shared" si="52"/>
        <v>0</v>
      </c>
      <c r="T691" s="11">
        <f t="shared" si="53"/>
        <v>2019</v>
      </c>
      <c r="U691" s="11">
        <f t="shared" si="54"/>
        <v>30623</v>
      </c>
    </row>
    <row r="692" spans="1:21" x14ac:dyDescent="0.3">
      <c r="A692" t="s">
        <v>1218</v>
      </c>
      <c r="B692">
        <v>2021</v>
      </c>
      <c r="C692" t="s">
        <v>17</v>
      </c>
      <c r="D692" t="s">
        <v>30</v>
      </c>
      <c r="E692">
        <v>17985</v>
      </c>
      <c r="F692" t="s">
        <v>207</v>
      </c>
      <c r="G692">
        <v>78200</v>
      </c>
      <c r="H692" t="s">
        <v>20</v>
      </c>
      <c r="I692" t="s">
        <v>78</v>
      </c>
      <c r="J692" t="s">
        <v>242</v>
      </c>
      <c r="K692" t="s">
        <v>23</v>
      </c>
      <c r="L692" t="s">
        <v>342</v>
      </c>
      <c r="M692" t="s">
        <v>244</v>
      </c>
      <c r="N692" t="s">
        <v>245</v>
      </c>
      <c r="O692" t="s">
        <v>27</v>
      </c>
      <c r="P692" s="1">
        <v>44791</v>
      </c>
      <c r="Q692">
        <f t="shared" si="50"/>
        <v>0</v>
      </c>
      <c r="R692">
        <f t="shared" si="51"/>
        <v>0</v>
      </c>
      <c r="S692">
        <f t="shared" si="52"/>
        <v>1</v>
      </c>
      <c r="T692" s="11">
        <f t="shared" si="53"/>
        <v>2021</v>
      </c>
      <c r="U692" s="11">
        <f t="shared" si="54"/>
        <v>17985</v>
      </c>
    </row>
    <row r="693" spans="1:21" x14ac:dyDescent="0.3">
      <c r="A693" t="s">
        <v>1219</v>
      </c>
      <c r="B693">
        <v>2019</v>
      </c>
      <c r="C693" t="s">
        <v>56</v>
      </c>
      <c r="D693" t="s">
        <v>53</v>
      </c>
      <c r="E693">
        <v>58128</v>
      </c>
      <c r="F693" t="s">
        <v>65</v>
      </c>
      <c r="G693">
        <v>44900</v>
      </c>
      <c r="H693" t="s">
        <v>20</v>
      </c>
      <c r="I693" t="s">
        <v>58</v>
      </c>
      <c r="J693" t="s">
        <v>66</v>
      </c>
      <c r="K693" t="s">
        <v>23</v>
      </c>
      <c r="L693" t="s">
        <v>193</v>
      </c>
      <c r="M693" t="s">
        <v>194</v>
      </c>
      <c r="N693" t="s">
        <v>26</v>
      </c>
      <c r="O693" t="s">
        <v>27</v>
      </c>
      <c r="P693" s="1">
        <v>44791</v>
      </c>
      <c r="Q693">
        <f t="shared" si="50"/>
        <v>0</v>
      </c>
      <c r="R693">
        <f t="shared" si="51"/>
        <v>0</v>
      </c>
      <c r="S693">
        <f t="shared" si="52"/>
        <v>0</v>
      </c>
      <c r="T693" s="11">
        <f t="shared" si="53"/>
        <v>2019</v>
      </c>
      <c r="U693" s="11">
        <f t="shared" si="54"/>
        <v>58128</v>
      </c>
    </row>
    <row r="694" spans="1:21" x14ac:dyDescent="0.3">
      <c r="A694" t="s">
        <v>1220</v>
      </c>
      <c r="B694">
        <v>2018</v>
      </c>
      <c r="C694" t="s">
        <v>56</v>
      </c>
      <c r="D694" t="s">
        <v>53</v>
      </c>
      <c r="E694">
        <v>53318</v>
      </c>
      <c r="F694" t="s">
        <v>57</v>
      </c>
      <c r="G694">
        <v>50300</v>
      </c>
      <c r="H694" t="s">
        <v>20</v>
      </c>
      <c r="I694" t="s">
        <v>78</v>
      </c>
      <c r="J694" t="s">
        <v>564</v>
      </c>
      <c r="K694" t="s">
        <v>23</v>
      </c>
      <c r="L694" t="s">
        <v>193</v>
      </c>
      <c r="M694" t="s">
        <v>194</v>
      </c>
      <c r="N694" t="s">
        <v>26</v>
      </c>
      <c r="O694" t="s">
        <v>27</v>
      </c>
      <c r="P694" s="1">
        <v>44791</v>
      </c>
      <c r="Q694">
        <f t="shared" si="50"/>
        <v>0</v>
      </c>
      <c r="R694">
        <f t="shared" si="51"/>
        <v>0</v>
      </c>
      <c r="S694">
        <f t="shared" si="52"/>
        <v>0</v>
      </c>
      <c r="T694" s="11">
        <f t="shared" si="53"/>
        <v>2018</v>
      </c>
      <c r="U694" s="11">
        <f t="shared" si="54"/>
        <v>53318</v>
      </c>
    </row>
    <row r="695" spans="1:21" x14ac:dyDescent="0.3">
      <c r="A695" t="s">
        <v>1221</v>
      </c>
      <c r="B695">
        <v>2019</v>
      </c>
      <c r="C695" t="s">
        <v>56</v>
      </c>
      <c r="D695" t="s">
        <v>32</v>
      </c>
      <c r="E695">
        <v>30573</v>
      </c>
      <c r="F695" t="s">
        <v>65</v>
      </c>
      <c r="G695">
        <v>47500</v>
      </c>
      <c r="H695" t="s">
        <v>20</v>
      </c>
      <c r="I695" t="s">
        <v>58</v>
      </c>
      <c r="J695" t="s">
        <v>192</v>
      </c>
      <c r="K695" t="s">
        <v>23</v>
      </c>
      <c r="L695" t="s">
        <v>163</v>
      </c>
      <c r="M695" t="s">
        <v>164</v>
      </c>
      <c r="N695" t="s">
        <v>26</v>
      </c>
      <c r="O695" t="s">
        <v>27</v>
      </c>
      <c r="P695" s="1">
        <v>44791</v>
      </c>
      <c r="Q695">
        <f t="shared" si="50"/>
        <v>0</v>
      </c>
      <c r="R695">
        <f t="shared" si="51"/>
        <v>0</v>
      </c>
      <c r="S695">
        <f t="shared" si="52"/>
        <v>0</v>
      </c>
      <c r="T695" s="11">
        <f t="shared" si="53"/>
        <v>2019</v>
      </c>
      <c r="U695" s="11">
        <f t="shared" si="54"/>
        <v>30573</v>
      </c>
    </row>
    <row r="696" spans="1:21" x14ac:dyDescent="0.3">
      <c r="A696" t="s">
        <v>1222</v>
      </c>
      <c r="B696">
        <v>2019</v>
      </c>
      <c r="C696" t="s">
        <v>56</v>
      </c>
      <c r="D696" t="s">
        <v>93</v>
      </c>
      <c r="E696">
        <v>18942</v>
      </c>
      <c r="F696" t="s">
        <v>71</v>
      </c>
      <c r="G696">
        <v>55000</v>
      </c>
      <c r="H696" t="s">
        <v>20</v>
      </c>
      <c r="I696" t="s">
        <v>21</v>
      </c>
      <c r="J696" t="s">
        <v>332</v>
      </c>
      <c r="K696" t="s">
        <v>23</v>
      </c>
      <c r="L696" t="s">
        <v>24</v>
      </c>
      <c r="M696" t="s">
        <v>25</v>
      </c>
      <c r="N696" t="s">
        <v>26</v>
      </c>
      <c r="O696" t="s">
        <v>27</v>
      </c>
      <c r="P696" s="1">
        <v>44791</v>
      </c>
      <c r="Q696">
        <f t="shared" si="50"/>
        <v>0</v>
      </c>
      <c r="R696">
        <f t="shared" si="51"/>
        <v>0</v>
      </c>
      <c r="S696">
        <f t="shared" si="52"/>
        <v>0</v>
      </c>
      <c r="T696" s="11">
        <f t="shared" si="53"/>
        <v>2019</v>
      </c>
      <c r="U696" s="11">
        <f t="shared" si="54"/>
        <v>18942</v>
      </c>
    </row>
    <row r="697" spans="1:21" x14ac:dyDescent="0.3">
      <c r="A697" t="s">
        <v>1223</v>
      </c>
      <c r="B697">
        <v>2019</v>
      </c>
      <c r="C697" t="s">
        <v>56</v>
      </c>
      <c r="D697" t="s">
        <v>32</v>
      </c>
      <c r="E697">
        <v>12326</v>
      </c>
      <c r="F697" t="s">
        <v>65</v>
      </c>
      <c r="G697">
        <v>51600</v>
      </c>
      <c r="H697" t="s">
        <v>20</v>
      </c>
      <c r="I697" t="s">
        <v>78</v>
      </c>
      <c r="J697" t="s">
        <v>317</v>
      </c>
      <c r="K697" t="s">
        <v>23</v>
      </c>
      <c r="L697" t="s">
        <v>163</v>
      </c>
      <c r="M697" t="s">
        <v>164</v>
      </c>
      <c r="N697" t="s">
        <v>26</v>
      </c>
      <c r="O697" t="s">
        <v>27</v>
      </c>
      <c r="P697" s="1">
        <v>44791</v>
      </c>
      <c r="Q697">
        <f t="shared" si="50"/>
        <v>0</v>
      </c>
      <c r="R697">
        <f t="shared" si="51"/>
        <v>0</v>
      </c>
      <c r="S697">
        <f t="shared" si="52"/>
        <v>0</v>
      </c>
      <c r="T697" s="11">
        <f t="shared" si="53"/>
        <v>2019</v>
      </c>
      <c r="U697" s="11">
        <f t="shared" si="54"/>
        <v>12326</v>
      </c>
    </row>
    <row r="698" spans="1:21" x14ac:dyDescent="0.3">
      <c r="A698" t="s">
        <v>1224</v>
      </c>
      <c r="B698">
        <v>2019</v>
      </c>
      <c r="C698" t="s">
        <v>56</v>
      </c>
      <c r="D698" t="s">
        <v>30</v>
      </c>
      <c r="E698">
        <v>37364</v>
      </c>
      <c r="F698" t="s">
        <v>71</v>
      </c>
      <c r="G698">
        <v>55600</v>
      </c>
      <c r="H698" t="s">
        <v>20</v>
      </c>
      <c r="I698" t="s">
        <v>21</v>
      </c>
      <c r="J698" t="s">
        <v>384</v>
      </c>
      <c r="K698" t="s">
        <v>23</v>
      </c>
      <c r="L698" t="s">
        <v>183</v>
      </c>
      <c r="M698" t="s">
        <v>25</v>
      </c>
      <c r="N698" t="s">
        <v>26</v>
      </c>
      <c r="O698" t="s">
        <v>27</v>
      </c>
      <c r="P698" s="1">
        <v>44791</v>
      </c>
      <c r="Q698">
        <f t="shared" si="50"/>
        <v>0</v>
      </c>
      <c r="R698">
        <f t="shared" si="51"/>
        <v>0</v>
      </c>
      <c r="S698">
        <f t="shared" si="52"/>
        <v>0</v>
      </c>
      <c r="T698" s="11">
        <f t="shared" si="53"/>
        <v>2019</v>
      </c>
      <c r="U698" s="11">
        <f t="shared" si="54"/>
        <v>37364</v>
      </c>
    </row>
    <row r="699" spans="1:21" x14ac:dyDescent="0.3">
      <c r="A699" t="s">
        <v>1225</v>
      </c>
      <c r="B699">
        <v>2019</v>
      </c>
      <c r="C699" t="s">
        <v>56</v>
      </c>
      <c r="D699" t="s">
        <v>32</v>
      </c>
      <c r="E699">
        <v>32614</v>
      </c>
      <c r="F699" t="s">
        <v>57</v>
      </c>
      <c r="G699">
        <v>53000</v>
      </c>
      <c r="H699" t="s">
        <v>20</v>
      </c>
      <c r="I699" t="s">
        <v>58</v>
      </c>
      <c r="J699" t="s">
        <v>168</v>
      </c>
      <c r="K699" t="s">
        <v>23</v>
      </c>
      <c r="L699" t="s">
        <v>205</v>
      </c>
      <c r="M699" t="s">
        <v>42</v>
      </c>
      <c r="N699" t="s">
        <v>26</v>
      </c>
      <c r="O699" t="s">
        <v>27</v>
      </c>
      <c r="P699" s="1">
        <v>44791</v>
      </c>
      <c r="Q699">
        <f t="shared" si="50"/>
        <v>0</v>
      </c>
      <c r="R699">
        <f t="shared" si="51"/>
        <v>0</v>
      </c>
      <c r="S699">
        <f t="shared" si="52"/>
        <v>0</v>
      </c>
      <c r="T699" s="11">
        <f t="shared" si="53"/>
        <v>2019</v>
      </c>
      <c r="U699" s="11">
        <f t="shared" si="54"/>
        <v>32614</v>
      </c>
    </row>
    <row r="700" spans="1:21" x14ac:dyDescent="0.3">
      <c r="A700" t="s">
        <v>1226</v>
      </c>
      <c r="B700">
        <v>2021</v>
      </c>
      <c r="C700" t="s">
        <v>37</v>
      </c>
      <c r="D700" t="s">
        <v>51</v>
      </c>
      <c r="E700">
        <v>9777</v>
      </c>
      <c r="F700" t="s">
        <v>131</v>
      </c>
      <c r="G700">
        <v>116700</v>
      </c>
      <c r="H700" t="s">
        <v>45</v>
      </c>
      <c r="I700" t="s">
        <v>39</v>
      </c>
      <c r="J700" t="s">
        <v>1227</v>
      </c>
      <c r="K700" t="s">
        <v>23</v>
      </c>
      <c r="L700" t="s">
        <v>205</v>
      </c>
      <c r="M700" t="s">
        <v>42</v>
      </c>
      <c r="N700" t="s">
        <v>26</v>
      </c>
      <c r="O700" t="s">
        <v>27</v>
      </c>
      <c r="P700" s="1">
        <v>44791</v>
      </c>
      <c r="Q700">
        <f t="shared" si="50"/>
        <v>1</v>
      </c>
      <c r="R700">
        <f t="shared" si="51"/>
        <v>0</v>
      </c>
      <c r="S700">
        <f t="shared" si="52"/>
        <v>0</v>
      </c>
      <c r="T700" s="11">
        <f t="shared" si="53"/>
        <v>2021</v>
      </c>
      <c r="U700" s="11">
        <f t="shared" si="54"/>
        <v>9777</v>
      </c>
    </row>
    <row r="701" spans="1:21" x14ac:dyDescent="0.3">
      <c r="A701" t="s">
        <v>1228</v>
      </c>
      <c r="B701">
        <v>2019</v>
      </c>
      <c r="C701" t="s">
        <v>56</v>
      </c>
      <c r="D701" t="s">
        <v>93</v>
      </c>
      <c r="E701">
        <v>13440</v>
      </c>
      <c r="F701" t="s">
        <v>57</v>
      </c>
      <c r="G701">
        <v>54600</v>
      </c>
      <c r="H701" t="s">
        <v>20</v>
      </c>
      <c r="I701" t="s">
        <v>78</v>
      </c>
      <c r="J701" t="s">
        <v>218</v>
      </c>
      <c r="K701" t="s">
        <v>23</v>
      </c>
      <c r="L701" t="s">
        <v>163</v>
      </c>
      <c r="M701" t="s">
        <v>164</v>
      </c>
      <c r="N701" t="s">
        <v>26</v>
      </c>
      <c r="O701" t="s">
        <v>27</v>
      </c>
      <c r="P701" s="1">
        <v>44791</v>
      </c>
      <c r="Q701">
        <f t="shared" si="50"/>
        <v>0</v>
      </c>
      <c r="R701">
        <f t="shared" si="51"/>
        <v>0</v>
      </c>
      <c r="S701">
        <f t="shared" si="52"/>
        <v>0</v>
      </c>
      <c r="T701" s="11">
        <f t="shared" si="53"/>
        <v>2019</v>
      </c>
      <c r="U701" s="11">
        <f t="shared" si="54"/>
        <v>13440</v>
      </c>
    </row>
    <row r="702" spans="1:21" x14ac:dyDescent="0.3">
      <c r="A702" t="s">
        <v>1229</v>
      </c>
      <c r="B702">
        <v>2019</v>
      </c>
      <c r="C702" t="s">
        <v>56</v>
      </c>
      <c r="D702" t="s">
        <v>93</v>
      </c>
      <c r="E702">
        <v>20812</v>
      </c>
      <c r="F702" t="s">
        <v>65</v>
      </c>
      <c r="G702">
        <v>49300</v>
      </c>
      <c r="H702" t="s">
        <v>20</v>
      </c>
      <c r="I702" t="s">
        <v>78</v>
      </c>
      <c r="J702" t="s">
        <v>536</v>
      </c>
      <c r="K702" t="s">
        <v>23</v>
      </c>
      <c r="L702" t="s">
        <v>197</v>
      </c>
      <c r="M702" t="s">
        <v>198</v>
      </c>
      <c r="N702" t="s">
        <v>26</v>
      </c>
      <c r="O702" t="s">
        <v>27</v>
      </c>
      <c r="P702" s="1">
        <v>44791</v>
      </c>
      <c r="Q702">
        <f t="shared" si="50"/>
        <v>0</v>
      </c>
      <c r="R702">
        <f t="shared" si="51"/>
        <v>0</v>
      </c>
      <c r="S702">
        <f t="shared" si="52"/>
        <v>0</v>
      </c>
      <c r="T702" s="11">
        <f t="shared" si="53"/>
        <v>2019</v>
      </c>
      <c r="U702" s="11">
        <f t="shared" si="54"/>
        <v>20812</v>
      </c>
    </row>
    <row r="703" spans="1:21" x14ac:dyDescent="0.3">
      <c r="A703" t="s">
        <v>1230</v>
      </c>
      <c r="B703">
        <v>2019</v>
      </c>
      <c r="C703" t="s">
        <v>56</v>
      </c>
      <c r="D703" t="s">
        <v>30</v>
      </c>
      <c r="E703">
        <v>12816</v>
      </c>
      <c r="F703" t="s">
        <v>71</v>
      </c>
      <c r="G703">
        <v>59400</v>
      </c>
      <c r="H703" t="s">
        <v>20</v>
      </c>
      <c r="I703" t="s">
        <v>21</v>
      </c>
      <c r="J703" t="s">
        <v>384</v>
      </c>
      <c r="K703" t="s">
        <v>23</v>
      </c>
      <c r="L703" t="s">
        <v>205</v>
      </c>
      <c r="M703" t="s">
        <v>42</v>
      </c>
      <c r="N703" t="s">
        <v>26</v>
      </c>
      <c r="O703" t="s">
        <v>27</v>
      </c>
      <c r="P703" s="1">
        <v>44791</v>
      </c>
      <c r="Q703">
        <f t="shared" si="50"/>
        <v>0</v>
      </c>
      <c r="R703">
        <f t="shared" si="51"/>
        <v>0</v>
      </c>
      <c r="S703">
        <f t="shared" si="52"/>
        <v>0</v>
      </c>
      <c r="T703" s="11">
        <f t="shared" si="53"/>
        <v>2019</v>
      </c>
      <c r="U703" s="11">
        <f t="shared" si="54"/>
        <v>12816</v>
      </c>
    </row>
    <row r="704" spans="1:21" x14ac:dyDescent="0.3">
      <c r="A704" t="s">
        <v>1231</v>
      </c>
      <c r="B704">
        <v>2020</v>
      </c>
      <c r="C704" t="s">
        <v>56</v>
      </c>
      <c r="D704" t="s">
        <v>53</v>
      </c>
      <c r="E704">
        <v>36029</v>
      </c>
      <c r="F704" t="s">
        <v>65</v>
      </c>
      <c r="G704">
        <v>51400</v>
      </c>
      <c r="H704" t="s">
        <v>20</v>
      </c>
      <c r="I704" t="s">
        <v>58</v>
      </c>
      <c r="J704" t="s">
        <v>66</v>
      </c>
      <c r="K704" t="s">
        <v>23</v>
      </c>
      <c r="L704" t="s">
        <v>456</v>
      </c>
      <c r="M704" t="s">
        <v>164</v>
      </c>
      <c r="N704" t="s">
        <v>26</v>
      </c>
      <c r="O704" t="s">
        <v>27</v>
      </c>
      <c r="P704" s="1">
        <v>44791</v>
      </c>
      <c r="Q704">
        <f t="shared" si="50"/>
        <v>0</v>
      </c>
      <c r="R704">
        <f t="shared" si="51"/>
        <v>0</v>
      </c>
      <c r="S704">
        <f t="shared" si="52"/>
        <v>0</v>
      </c>
      <c r="T704" s="11">
        <f t="shared" si="53"/>
        <v>2020</v>
      </c>
      <c r="U704" s="11">
        <f t="shared" si="54"/>
        <v>36029</v>
      </c>
    </row>
    <row r="705" spans="1:21" x14ac:dyDescent="0.3">
      <c r="A705" t="s">
        <v>1232</v>
      </c>
      <c r="B705">
        <v>2019</v>
      </c>
      <c r="C705" t="s">
        <v>56</v>
      </c>
      <c r="D705" t="s">
        <v>30</v>
      </c>
      <c r="E705">
        <v>10827</v>
      </c>
      <c r="F705" t="s">
        <v>71</v>
      </c>
      <c r="G705">
        <v>60800</v>
      </c>
      <c r="H705" t="s">
        <v>20</v>
      </c>
      <c r="I705" t="s">
        <v>21</v>
      </c>
      <c r="J705" t="s">
        <v>384</v>
      </c>
      <c r="K705" t="s">
        <v>23</v>
      </c>
      <c r="L705" t="s">
        <v>163</v>
      </c>
      <c r="M705" t="s">
        <v>164</v>
      </c>
      <c r="N705" t="s">
        <v>26</v>
      </c>
      <c r="O705" t="s">
        <v>27</v>
      </c>
      <c r="P705" s="1">
        <v>44791</v>
      </c>
      <c r="Q705">
        <f t="shared" si="50"/>
        <v>0</v>
      </c>
      <c r="R705">
        <f t="shared" si="51"/>
        <v>0</v>
      </c>
      <c r="S705">
        <f t="shared" si="52"/>
        <v>0</v>
      </c>
      <c r="T705" s="11">
        <f t="shared" si="53"/>
        <v>2019</v>
      </c>
      <c r="U705" s="11">
        <f t="shared" si="54"/>
        <v>10827</v>
      </c>
    </row>
    <row r="706" spans="1:21" x14ac:dyDescent="0.3">
      <c r="A706" t="s">
        <v>1233</v>
      </c>
      <c r="B706">
        <v>2019</v>
      </c>
      <c r="C706" t="s">
        <v>56</v>
      </c>
      <c r="D706" t="s">
        <v>32</v>
      </c>
      <c r="E706">
        <v>1334</v>
      </c>
      <c r="F706" t="s">
        <v>65</v>
      </c>
      <c r="G706">
        <v>52900</v>
      </c>
      <c r="H706" t="s">
        <v>20</v>
      </c>
      <c r="I706" t="s">
        <v>58</v>
      </c>
      <c r="J706" t="s">
        <v>192</v>
      </c>
      <c r="K706" t="s">
        <v>23</v>
      </c>
      <c r="L706" t="s">
        <v>163</v>
      </c>
      <c r="M706" t="s">
        <v>164</v>
      </c>
      <c r="N706" t="s">
        <v>26</v>
      </c>
      <c r="O706" t="s">
        <v>27</v>
      </c>
      <c r="P706" s="1">
        <v>44791</v>
      </c>
      <c r="Q706">
        <f t="shared" ref="Q706:Q769" si="55">--(C706="ms")</f>
        <v>0</v>
      </c>
      <c r="R706">
        <f t="shared" ref="R706:R769" si="56">--(C706="mx")</f>
        <v>0</v>
      </c>
      <c r="S706">
        <f t="shared" ref="S706:S769" si="57">--(C706="my")</f>
        <v>0</v>
      </c>
      <c r="T706" s="11">
        <f t="shared" ref="T706:T769" si="58">B706</f>
        <v>2019</v>
      </c>
      <c r="U706" s="11">
        <f t="shared" ref="U706:U769" si="59">E706</f>
        <v>1334</v>
      </c>
    </row>
    <row r="707" spans="1:21" x14ac:dyDescent="0.3">
      <c r="A707" t="s">
        <v>1234</v>
      </c>
      <c r="B707">
        <v>2018</v>
      </c>
      <c r="C707" t="s">
        <v>56</v>
      </c>
      <c r="D707" t="s">
        <v>93</v>
      </c>
      <c r="E707">
        <v>22528</v>
      </c>
      <c r="F707" t="s">
        <v>57</v>
      </c>
      <c r="G707">
        <v>49300</v>
      </c>
      <c r="H707" t="s">
        <v>20</v>
      </c>
      <c r="I707" t="s">
        <v>58</v>
      </c>
      <c r="J707" t="s">
        <v>842</v>
      </c>
      <c r="K707" t="s">
        <v>23</v>
      </c>
      <c r="N707" t="s">
        <v>127</v>
      </c>
      <c r="O707" t="s">
        <v>27</v>
      </c>
      <c r="P707" s="1">
        <v>44791</v>
      </c>
      <c r="Q707">
        <f t="shared" si="55"/>
        <v>0</v>
      </c>
      <c r="R707">
        <f t="shared" si="56"/>
        <v>0</v>
      </c>
      <c r="S707">
        <f t="shared" si="57"/>
        <v>0</v>
      </c>
      <c r="T707" s="11">
        <f t="shared" si="58"/>
        <v>2018</v>
      </c>
      <c r="U707" s="11">
        <f t="shared" si="59"/>
        <v>22528</v>
      </c>
    </row>
    <row r="708" spans="1:21" x14ac:dyDescent="0.3">
      <c r="A708" t="s">
        <v>1235</v>
      </c>
      <c r="B708">
        <v>2020</v>
      </c>
      <c r="C708" t="s">
        <v>29</v>
      </c>
      <c r="D708" t="s">
        <v>32</v>
      </c>
      <c r="E708">
        <v>18975</v>
      </c>
      <c r="F708" t="s">
        <v>31</v>
      </c>
      <c r="G708">
        <v>107000</v>
      </c>
      <c r="H708" t="s">
        <v>32</v>
      </c>
      <c r="I708" t="s">
        <v>21</v>
      </c>
      <c r="J708" t="s">
        <v>1236</v>
      </c>
      <c r="K708" t="s">
        <v>23</v>
      </c>
      <c r="L708" t="s">
        <v>163</v>
      </c>
      <c r="M708" t="s">
        <v>164</v>
      </c>
      <c r="N708" t="s">
        <v>26</v>
      </c>
      <c r="O708" t="s">
        <v>27</v>
      </c>
      <c r="P708" s="1">
        <v>44791</v>
      </c>
      <c r="Q708">
        <f t="shared" si="55"/>
        <v>0</v>
      </c>
      <c r="R708">
        <f t="shared" si="56"/>
        <v>1</v>
      </c>
      <c r="S708">
        <f t="shared" si="57"/>
        <v>0</v>
      </c>
      <c r="T708" s="11">
        <f t="shared" si="58"/>
        <v>2020</v>
      </c>
      <c r="U708" s="11">
        <f t="shared" si="59"/>
        <v>18975</v>
      </c>
    </row>
    <row r="709" spans="1:21" x14ac:dyDescent="0.3">
      <c r="A709" t="s">
        <v>1237</v>
      </c>
      <c r="B709">
        <v>2021</v>
      </c>
      <c r="C709" t="s">
        <v>17</v>
      </c>
      <c r="D709" t="s">
        <v>32</v>
      </c>
      <c r="E709">
        <v>29518</v>
      </c>
      <c r="F709" t="s">
        <v>207</v>
      </c>
      <c r="G709">
        <v>69900</v>
      </c>
      <c r="H709" t="s">
        <v>20</v>
      </c>
      <c r="I709" t="s">
        <v>21</v>
      </c>
      <c r="J709" t="s">
        <v>429</v>
      </c>
      <c r="K709" t="s">
        <v>23</v>
      </c>
      <c r="N709" t="s">
        <v>127</v>
      </c>
      <c r="O709" t="s">
        <v>27</v>
      </c>
      <c r="P709" s="1">
        <v>44791</v>
      </c>
      <c r="Q709">
        <f t="shared" si="55"/>
        <v>0</v>
      </c>
      <c r="R709">
        <f t="shared" si="56"/>
        <v>0</v>
      </c>
      <c r="S709">
        <f t="shared" si="57"/>
        <v>1</v>
      </c>
      <c r="T709" s="11">
        <f t="shared" si="58"/>
        <v>2021</v>
      </c>
      <c r="U709" s="11">
        <f t="shared" si="59"/>
        <v>29518</v>
      </c>
    </row>
    <row r="710" spans="1:21" x14ac:dyDescent="0.3">
      <c r="A710" t="s">
        <v>1238</v>
      </c>
      <c r="B710">
        <v>2021</v>
      </c>
      <c r="C710" t="s">
        <v>17</v>
      </c>
      <c r="D710" t="s">
        <v>18</v>
      </c>
      <c r="E710">
        <v>12190</v>
      </c>
      <c r="F710" t="s">
        <v>19</v>
      </c>
      <c r="G710">
        <v>74900</v>
      </c>
      <c r="H710" t="s">
        <v>20</v>
      </c>
      <c r="I710" t="s">
        <v>21</v>
      </c>
      <c r="J710" t="s">
        <v>326</v>
      </c>
      <c r="K710" t="s">
        <v>23</v>
      </c>
      <c r="L710" t="s">
        <v>205</v>
      </c>
      <c r="M710" t="s">
        <v>42</v>
      </c>
      <c r="N710" t="s">
        <v>26</v>
      </c>
      <c r="O710" t="s">
        <v>27</v>
      </c>
      <c r="P710" s="1">
        <v>44791</v>
      </c>
      <c r="Q710">
        <f t="shared" si="55"/>
        <v>0</v>
      </c>
      <c r="R710">
        <f t="shared" si="56"/>
        <v>0</v>
      </c>
      <c r="S710">
        <f t="shared" si="57"/>
        <v>1</v>
      </c>
      <c r="T710" s="11">
        <f t="shared" si="58"/>
        <v>2021</v>
      </c>
      <c r="U710" s="11">
        <f t="shared" si="59"/>
        <v>12190</v>
      </c>
    </row>
    <row r="711" spans="1:21" x14ac:dyDescent="0.3">
      <c r="A711" t="s">
        <v>1239</v>
      </c>
      <c r="B711">
        <v>2020</v>
      </c>
      <c r="C711" t="s">
        <v>17</v>
      </c>
      <c r="D711" t="s">
        <v>18</v>
      </c>
      <c r="E711">
        <v>21178</v>
      </c>
      <c r="F711" t="s">
        <v>207</v>
      </c>
      <c r="G711">
        <v>70600</v>
      </c>
      <c r="H711" t="s">
        <v>77</v>
      </c>
      <c r="I711" t="s">
        <v>21</v>
      </c>
      <c r="J711" t="s">
        <v>1240</v>
      </c>
      <c r="K711" t="s">
        <v>23</v>
      </c>
      <c r="L711" t="s">
        <v>543</v>
      </c>
      <c r="M711" t="s">
        <v>544</v>
      </c>
      <c r="N711" t="s">
        <v>545</v>
      </c>
      <c r="O711" t="s">
        <v>27</v>
      </c>
      <c r="P711" s="1">
        <v>44791</v>
      </c>
      <c r="Q711">
        <f t="shared" si="55"/>
        <v>0</v>
      </c>
      <c r="R711">
        <f t="shared" si="56"/>
        <v>0</v>
      </c>
      <c r="S711">
        <f t="shared" si="57"/>
        <v>1</v>
      </c>
      <c r="T711" s="11">
        <f t="shared" si="58"/>
        <v>2020</v>
      </c>
      <c r="U711" s="11">
        <f t="shared" si="59"/>
        <v>21178</v>
      </c>
    </row>
    <row r="712" spans="1:21" x14ac:dyDescent="0.3">
      <c r="A712" t="s">
        <v>1241</v>
      </c>
      <c r="B712">
        <v>2021</v>
      </c>
      <c r="C712" t="s">
        <v>37</v>
      </c>
      <c r="D712" t="s">
        <v>76</v>
      </c>
      <c r="E712">
        <v>21875</v>
      </c>
      <c r="F712" t="s">
        <v>131</v>
      </c>
      <c r="G712">
        <v>115100</v>
      </c>
      <c r="H712" t="s">
        <v>53</v>
      </c>
      <c r="I712" t="s">
        <v>39</v>
      </c>
      <c r="J712" t="s">
        <v>1082</v>
      </c>
      <c r="K712" t="s">
        <v>23</v>
      </c>
      <c r="N712" t="s">
        <v>127</v>
      </c>
      <c r="O712" t="s">
        <v>27</v>
      </c>
      <c r="P712" s="1">
        <v>44791</v>
      </c>
      <c r="Q712">
        <f t="shared" si="55"/>
        <v>1</v>
      </c>
      <c r="R712">
        <f t="shared" si="56"/>
        <v>0</v>
      </c>
      <c r="S712">
        <f t="shared" si="57"/>
        <v>0</v>
      </c>
      <c r="T712" s="11">
        <f t="shared" si="58"/>
        <v>2021</v>
      </c>
      <c r="U712" s="11">
        <f t="shared" si="59"/>
        <v>21875</v>
      </c>
    </row>
    <row r="713" spans="1:21" x14ac:dyDescent="0.3">
      <c r="A713" t="s">
        <v>1242</v>
      </c>
      <c r="B713">
        <v>2021</v>
      </c>
      <c r="C713" t="s">
        <v>37</v>
      </c>
      <c r="D713" t="s">
        <v>51</v>
      </c>
      <c r="E713">
        <v>11286</v>
      </c>
      <c r="F713" t="s">
        <v>131</v>
      </c>
      <c r="G713">
        <v>108300</v>
      </c>
      <c r="H713" t="s">
        <v>45</v>
      </c>
      <c r="I713" t="s">
        <v>39</v>
      </c>
      <c r="J713" t="s">
        <v>473</v>
      </c>
      <c r="K713" t="s">
        <v>23</v>
      </c>
      <c r="L713" t="s">
        <v>122</v>
      </c>
      <c r="M713" t="s">
        <v>113</v>
      </c>
      <c r="N713" t="s">
        <v>114</v>
      </c>
      <c r="O713" t="s">
        <v>27</v>
      </c>
      <c r="P713" s="1">
        <v>44791</v>
      </c>
      <c r="Q713">
        <f t="shared" si="55"/>
        <v>1</v>
      </c>
      <c r="R713">
        <f t="shared" si="56"/>
        <v>0</v>
      </c>
      <c r="S713">
        <f t="shared" si="57"/>
        <v>0</v>
      </c>
      <c r="T713" s="11">
        <f t="shared" si="58"/>
        <v>2021</v>
      </c>
      <c r="U713" s="11">
        <f t="shared" si="59"/>
        <v>11286</v>
      </c>
    </row>
    <row r="714" spans="1:21" x14ac:dyDescent="0.3">
      <c r="A714" t="s">
        <v>1243</v>
      </c>
      <c r="B714">
        <v>2017</v>
      </c>
      <c r="C714" t="s">
        <v>29</v>
      </c>
      <c r="D714" t="s">
        <v>32</v>
      </c>
      <c r="E714">
        <v>48470</v>
      </c>
      <c r="F714" t="s">
        <v>52</v>
      </c>
      <c r="G714">
        <v>79800</v>
      </c>
      <c r="H714" t="s">
        <v>45</v>
      </c>
      <c r="I714" t="s">
        <v>21</v>
      </c>
      <c r="J714" t="s">
        <v>1244</v>
      </c>
      <c r="K714" t="s">
        <v>23</v>
      </c>
      <c r="L714" t="s">
        <v>147</v>
      </c>
      <c r="M714" t="s">
        <v>148</v>
      </c>
      <c r="N714" t="s">
        <v>149</v>
      </c>
      <c r="O714" t="s">
        <v>27</v>
      </c>
      <c r="P714" s="1">
        <v>44791</v>
      </c>
      <c r="Q714">
        <f t="shared" si="55"/>
        <v>0</v>
      </c>
      <c r="R714">
        <f t="shared" si="56"/>
        <v>1</v>
      </c>
      <c r="S714">
        <f t="shared" si="57"/>
        <v>0</v>
      </c>
      <c r="T714" s="11">
        <f t="shared" si="58"/>
        <v>2017</v>
      </c>
      <c r="U714" s="11">
        <f t="shared" si="59"/>
        <v>48470</v>
      </c>
    </row>
    <row r="715" spans="1:21" x14ac:dyDescent="0.3">
      <c r="A715" t="s">
        <v>1245</v>
      </c>
      <c r="B715">
        <v>2021</v>
      </c>
      <c r="C715" t="s">
        <v>17</v>
      </c>
      <c r="D715" t="s">
        <v>30</v>
      </c>
      <c r="E715">
        <v>10852</v>
      </c>
      <c r="F715" t="s">
        <v>207</v>
      </c>
      <c r="G715">
        <v>71900</v>
      </c>
      <c r="H715" t="s">
        <v>77</v>
      </c>
      <c r="I715" t="s">
        <v>21</v>
      </c>
      <c r="J715" t="s">
        <v>687</v>
      </c>
      <c r="K715" t="s">
        <v>23</v>
      </c>
      <c r="L715" t="s">
        <v>1246</v>
      </c>
      <c r="M715" t="s">
        <v>1247</v>
      </c>
      <c r="N715" t="s">
        <v>49</v>
      </c>
      <c r="O715" t="s">
        <v>27</v>
      </c>
      <c r="P715" s="1">
        <v>44791</v>
      </c>
      <c r="Q715">
        <f t="shared" si="55"/>
        <v>0</v>
      </c>
      <c r="R715">
        <f t="shared" si="56"/>
        <v>0</v>
      </c>
      <c r="S715">
        <f t="shared" si="57"/>
        <v>1</v>
      </c>
      <c r="T715" s="11">
        <f t="shared" si="58"/>
        <v>2021</v>
      </c>
      <c r="U715" s="11">
        <f t="shared" si="59"/>
        <v>10852</v>
      </c>
    </row>
    <row r="716" spans="1:21" x14ac:dyDescent="0.3">
      <c r="A716" t="s">
        <v>1248</v>
      </c>
      <c r="B716">
        <v>2016</v>
      </c>
      <c r="C716" t="s">
        <v>29</v>
      </c>
      <c r="D716" t="s">
        <v>53</v>
      </c>
      <c r="E716">
        <v>40418</v>
      </c>
      <c r="F716" t="s">
        <v>270</v>
      </c>
      <c r="G716">
        <v>81400</v>
      </c>
      <c r="H716" t="s">
        <v>53</v>
      </c>
      <c r="I716" t="s">
        <v>110</v>
      </c>
      <c r="J716" t="s">
        <v>1249</v>
      </c>
      <c r="K716" t="s">
        <v>23</v>
      </c>
      <c r="L716" t="s">
        <v>543</v>
      </c>
      <c r="M716" t="s">
        <v>544</v>
      </c>
      <c r="N716" t="s">
        <v>545</v>
      </c>
      <c r="O716" t="s">
        <v>27</v>
      </c>
      <c r="P716" s="1">
        <v>44791</v>
      </c>
      <c r="Q716">
        <f t="shared" si="55"/>
        <v>0</v>
      </c>
      <c r="R716">
        <f t="shared" si="56"/>
        <v>1</v>
      </c>
      <c r="S716">
        <f t="shared" si="57"/>
        <v>0</v>
      </c>
      <c r="T716" s="11">
        <f t="shared" si="58"/>
        <v>2016</v>
      </c>
      <c r="U716" s="11">
        <f t="shared" si="59"/>
        <v>40418</v>
      </c>
    </row>
    <row r="717" spans="1:21" x14ac:dyDescent="0.3">
      <c r="A717" t="s">
        <v>1250</v>
      </c>
      <c r="B717">
        <v>2018</v>
      </c>
      <c r="C717" t="s">
        <v>37</v>
      </c>
      <c r="D717" t="s">
        <v>32</v>
      </c>
      <c r="E717">
        <v>62894</v>
      </c>
      <c r="F717" t="s">
        <v>104</v>
      </c>
      <c r="G717">
        <v>72100</v>
      </c>
      <c r="H717" t="s">
        <v>32</v>
      </c>
      <c r="I717" t="s">
        <v>78</v>
      </c>
      <c r="J717" t="s">
        <v>1251</v>
      </c>
      <c r="K717" t="s">
        <v>23</v>
      </c>
      <c r="L717" t="s">
        <v>371</v>
      </c>
      <c r="M717" t="s">
        <v>48</v>
      </c>
      <c r="N717" t="s">
        <v>49</v>
      </c>
      <c r="O717" t="s">
        <v>27</v>
      </c>
      <c r="P717" s="1">
        <v>44791</v>
      </c>
      <c r="Q717">
        <f t="shared" si="55"/>
        <v>1</v>
      </c>
      <c r="R717">
        <f t="shared" si="56"/>
        <v>0</v>
      </c>
      <c r="S717">
        <f t="shared" si="57"/>
        <v>0</v>
      </c>
      <c r="T717" s="11">
        <f t="shared" si="58"/>
        <v>2018</v>
      </c>
      <c r="U717" s="11">
        <f t="shared" si="59"/>
        <v>62894</v>
      </c>
    </row>
    <row r="718" spans="1:21" x14ac:dyDescent="0.3">
      <c r="A718" t="s">
        <v>1252</v>
      </c>
      <c r="B718">
        <v>2021</v>
      </c>
      <c r="C718" t="s">
        <v>17</v>
      </c>
      <c r="D718" t="s">
        <v>32</v>
      </c>
      <c r="E718">
        <v>15021</v>
      </c>
      <c r="F718" t="s">
        <v>189</v>
      </c>
      <c r="G718">
        <v>71600</v>
      </c>
      <c r="H718" t="s">
        <v>20</v>
      </c>
      <c r="I718" t="s">
        <v>39</v>
      </c>
      <c r="J718" t="s">
        <v>1253</v>
      </c>
      <c r="K718" t="s">
        <v>23</v>
      </c>
      <c r="L718" t="s">
        <v>494</v>
      </c>
      <c r="M718" t="s">
        <v>113</v>
      </c>
      <c r="N718" t="s">
        <v>114</v>
      </c>
      <c r="O718" t="s">
        <v>27</v>
      </c>
      <c r="P718" s="1">
        <v>44791</v>
      </c>
      <c r="Q718">
        <f t="shared" si="55"/>
        <v>0</v>
      </c>
      <c r="R718">
        <f t="shared" si="56"/>
        <v>0</v>
      </c>
      <c r="S718">
        <f t="shared" si="57"/>
        <v>1</v>
      </c>
      <c r="T718" s="11">
        <f t="shared" si="58"/>
        <v>2021</v>
      </c>
      <c r="U718" s="11">
        <f t="shared" si="59"/>
        <v>15021</v>
      </c>
    </row>
    <row r="719" spans="1:21" x14ac:dyDescent="0.3">
      <c r="A719" t="s">
        <v>1254</v>
      </c>
      <c r="B719">
        <v>2018</v>
      </c>
      <c r="C719" t="s">
        <v>37</v>
      </c>
      <c r="D719" t="s">
        <v>76</v>
      </c>
      <c r="E719">
        <v>30701</v>
      </c>
      <c r="F719" t="s">
        <v>270</v>
      </c>
      <c r="G719">
        <v>81300</v>
      </c>
      <c r="H719" t="s">
        <v>53</v>
      </c>
      <c r="I719" t="s">
        <v>39</v>
      </c>
      <c r="J719" t="s">
        <v>1255</v>
      </c>
      <c r="K719" t="s">
        <v>23</v>
      </c>
      <c r="L719" t="s">
        <v>47</v>
      </c>
      <c r="M719" t="s">
        <v>48</v>
      </c>
      <c r="N719" t="s">
        <v>49</v>
      </c>
      <c r="O719" t="s">
        <v>27</v>
      </c>
      <c r="P719" s="1">
        <v>44791</v>
      </c>
      <c r="Q719">
        <f t="shared" si="55"/>
        <v>1</v>
      </c>
      <c r="R719">
        <f t="shared" si="56"/>
        <v>0</v>
      </c>
      <c r="S719">
        <f t="shared" si="57"/>
        <v>0</v>
      </c>
      <c r="T719" s="11">
        <f t="shared" si="58"/>
        <v>2018</v>
      </c>
      <c r="U719" s="11">
        <f t="shared" si="59"/>
        <v>30701</v>
      </c>
    </row>
    <row r="720" spans="1:21" x14ac:dyDescent="0.3">
      <c r="A720" t="s">
        <v>1256</v>
      </c>
      <c r="B720">
        <v>2017</v>
      </c>
      <c r="C720" t="s">
        <v>37</v>
      </c>
      <c r="D720" t="s">
        <v>30</v>
      </c>
      <c r="E720">
        <v>16413</v>
      </c>
      <c r="F720" t="s">
        <v>270</v>
      </c>
      <c r="G720">
        <v>78800</v>
      </c>
      <c r="H720" t="s">
        <v>53</v>
      </c>
      <c r="I720" t="s">
        <v>39</v>
      </c>
      <c r="J720" t="s">
        <v>1257</v>
      </c>
      <c r="K720" t="s">
        <v>23</v>
      </c>
      <c r="L720" t="s">
        <v>122</v>
      </c>
      <c r="M720" t="s">
        <v>113</v>
      </c>
      <c r="N720" t="s">
        <v>114</v>
      </c>
      <c r="O720" t="s">
        <v>27</v>
      </c>
      <c r="P720" s="1">
        <v>44791</v>
      </c>
      <c r="Q720">
        <f t="shared" si="55"/>
        <v>1</v>
      </c>
      <c r="R720">
        <f t="shared" si="56"/>
        <v>0</v>
      </c>
      <c r="S720">
        <f t="shared" si="57"/>
        <v>0</v>
      </c>
      <c r="T720" s="11">
        <f t="shared" si="58"/>
        <v>2017</v>
      </c>
      <c r="U720" s="11">
        <f t="shared" si="59"/>
        <v>16413</v>
      </c>
    </row>
    <row r="721" spans="1:21" x14ac:dyDescent="0.3">
      <c r="A721" t="s">
        <v>1258</v>
      </c>
      <c r="B721">
        <v>2021</v>
      </c>
      <c r="C721" t="s">
        <v>56</v>
      </c>
      <c r="D721" t="s">
        <v>32</v>
      </c>
      <c r="E721">
        <v>20284</v>
      </c>
      <c r="F721" t="s">
        <v>57</v>
      </c>
      <c r="G721">
        <v>65200</v>
      </c>
      <c r="H721" t="s">
        <v>20</v>
      </c>
      <c r="I721" t="s">
        <v>58</v>
      </c>
      <c r="J721" t="s">
        <v>168</v>
      </c>
      <c r="K721" t="s">
        <v>23</v>
      </c>
      <c r="L721" t="s">
        <v>371</v>
      </c>
      <c r="M721" t="s">
        <v>48</v>
      </c>
      <c r="N721" t="s">
        <v>49</v>
      </c>
      <c r="O721" t="s">
        <v>27</v>
      </c>
      <c r="P721" s="1">
        <v>44791</v>
      </c>
      <c r="Q721">
        <f t="shared" si="55"/>
        <v>0</v>
      </c>
      <c r="R721">
        <f t="shared" si="56"/>
        <v>0</v>
      </c>
      <c r="S721">
        <f t="shared" si="57"/>
        <v>0</v>
      </c>
      <c r="T721" s="11">
        <f t="shared" si="58"/>
        <v>2021</v>
      </c>
      <c r="U721" s="11">
        <f t="shared" si="59"/>
        <v>20284</v>
      </c>
    </row>
    <row r="722" spans="1:21" x14ac:dyDescent="0.3">
      <c r="A722" t="s">
        <v>1259</v>
      </c>
      <c r="B722">
        <v>2018</v>
      </c>
      <c r="C722" t="s">
        <v>29</v>
      </c>
      <c r="D722" t="s">
        <v>53</v>
      </c>
      <c r="E722">
        <v>42760</v>
      </c>
      <c r="F722" t="s">
        <v>52</v>
      </c>
      <c r="G722">
        <v>87500</v>
      </c>
      <c r="H722" t="s">
        <v>53</v>
      </c>
      <c r="I722" t="s">
        <v>21</v>
      </c>
      <c r="J722" t="s">
        <v>1260</v>
      </c>
      <c r="K722" t="s">
        <v>23</v>
      </c>
      <c r="L722" t="s">
        <v>122</v>
      </c>
      <c r="M722" t="s">
        <v>113</v>
      </c>
      <c r="N722" t="s">
        <v>114</v>
      </c>
      <c r="O722" t="s">
        <v>27</v>
      </c>
      <c r="P722" s="1">
        <v>44791</v>
      </c>
      <c r="Q722">
        <f t="shared" si="55"/>
        <v>0</v>
      </c>
      <c r="R722">
        <f t="shared" si="56"/>
        <v>1</v>
      </c>
      <c r="S722">
        <f t="shared" si="57"/>
        <v>0</v>
      </c>
      <c r="T722" s="11">
        <f t="shared" si="58"/>
        <v>2018</v>
      </c>
      <c r="U722" s="11">
        <f t="shared" si="59"/>
        <v>42760</v>
      </c>
    </row>
    <row r="723" spans="1:21" x14ac:dyDescent="0.3">
      <c r="A723" t="s">
        <v>1261</v>
      </c>
      <c r="B723">
        <v>2017</v>
      </c>
      <c r="C723" t="s">
        <v>29</v>
      </c>
      <c r="D723" t="s">
        <v>76</v>
      </c>
      <c r="E723">
        <v>64715</v>
      </c>
      <c r="F723" t="s">
        <v>52</v>
      </c>
      <c r="G723">
        <v>77700</v>
      </c>
      <c r="H723" t="s">
        <v>105</v>
      </c>
      <c r="I723" t="s">
        <v>21</v>
      </c>
      <c r="J723" t="s">
        <v>1262</v>
      </c>
      <c r="K723" t="s">
        <v>23</v>
      </c>
      <c r="L723" t="s">
        <v>763</v>
      </c>
      <c r="M723" t="s">
        <v>426</v>
      </c>
      <c r="N723" t="s">
        <v>35</v>
      </c>
      <c r="O723" t="s">
        <v>27</v>
      </c>
      <c r="P723" s="1">
        <v>44791</v>
      </c>
      <c r="Q723">
        <f t="shared" si="55"/>
        <v>0</v>
      </c>
      <c r="R723">
        <f t="shared" si="56"/>
        <v>1</v>
      </c>
      <c r="S723">
        <f t="shared" si="57"/>
        <v>0</v>
      </c>
      <c r="T723" s="11">
        <f t="shared" si="58"/>
        <v>2017</v>
      </c>
      <c r="U723" s="11">
        <f t="shared" si="59"/>
        <v>64715</v>
      </c>
    </row>
    <row r="724" spans="1:21" x14ac:dyDescent="0.3">
      <c r="A724" t="s">
        <v>1263</v>
      </c>
      <c r="B724">
        <v>2019</v>
      </c>
      <c r="C724" t="s">
        <v>56</v>
      </c>
      <c r="D724" t="s">
        <v>53</v>
      </c>
      <c r="E724">
        <v>28956</v>
      </c>
      <c r="F724" t="s">
        <v>65</v>
      </c>
      <c r="G724">
        <v>49500</v>
      </c>
      <c r="H724" t="s">
        <v>20</v>
      </c>
      <c r="I724" t="s">
        <v>58</v>
      </c>
      <c r="J724" t="s">
        <v>66</v>
      </c>
      <c r="K724" t="s">
        <v>23</v>
      </c>
      <c r="L724" t="s">
        <v>95</v>
      </c>
      <c r="M724" t="s">
        <v>96</v>
      </c>
      <c r="N724" t="s">
        <v>89</v>
      </c>
      <c r="O724" t="s">
        <v>27</v>
      </c>
      <c r="P724" s="1">
        <v>44791</v>
      </c>
      <c r="Q724">
        <f t="shared" si="55"/>
        <v>0</v>
      </c>
      <c r="R724">
        <f t="shared" si="56"/>
        <v>0</v>
      </c>
      <c r="S724">
        <f t="shared" si="57"/>
        <v>0</v>
      </c>
      <c r="T724" s="11">
        <f t="shared" si="58"/>
        <v>2019</v>
      </c>
      <c r="U724" s="11">
        <f t="shared" si="59"/>
        <v>28956</v>
      </c>
    </row>
    <row r="725" spans="1:21" x14ac:dyDescent="0.3">
      <c r="A725" t="s">
        <v>1264</v>
      </c>
      <c r="B725">
        <v>2020</v>
      </c>
      <c r="C725" t="s">
        <v>29</v>
      </c>
      <c r="D725" t="s">
        <v>32</v>
      </c>
      <c r="E725">
        <v>13410</v>
      </c>
      <c r="F725" t="s">
        <v>31</v>
      </c>
      <c r="G725">
        <v>104200</v>
      </c>
      <c r="H725" t="s">
        <v>53</v>
      </c>
      <c r="I725" t="s">
        <v>21</v>
      </c>
      <c r="J725" t="s">
        <v>645</v>
      </c>
      <c r="K725" t="s">
        <v>23</v>
      </c>
      <c r="L725" t="s">
        <v>474</v>
      </c>
      <c r="M725" t="s">
        <v>255</v>
      </c>
      <c r="N725" t="s">
        <v>256</v>
      </c>
      <c r="O725" t="s">
        <v>27</v>
      </c>
      <c r="P725" s="1">
        <v>44791</v>
      </c>
      <c r="Q725">
        <f t="shared" si="55"/>
        <v>0</v>
      </c>
      <c r="R725">
        <f t="shared" si="56"/>
        <v>1</v>
      </c>
      <c r="S725">
        <f t="shared" si="57"/>
        <v>0</v>
      </c>
      <c r="T725" s="11">
        <f t="shared" si="58"/>
        <v>2020</v>
      </c>
      <c r="U725" s="11">
        <f t="shared" si="59"/>
        <v>13410</v>
      </c>
    </row>
    <row r="726" spans="1:21" x14ac:dyDescent="0.3">
      <c r="A726" t="s">
        <v>1265</v>
      </c>
      <c r="B726">
        <v>2019</v>
      </c>
      <c r="C726" t="s">
        <v>56</v>
      </c>
      <c r="D726" t="s">
        <v>53</v>
      </c>
      <c r="E726">
        <v>41672</v>
      </c>
      <c r="F726" t="s">
        <v>65</v>
      </c>
      <c r="G726">
        <v>46700</v>
      </c>
      <c r="H726" t="s">
        <v>20</v>
      </c>
      <c r="I726" t="s">
        <v>78</v>
      </c>
      <c r="J726" t="s">
        <v>534</v>
      </c>
      <c r="K726" t="s">
        <v>23</v>
      </c>
      <c r="L726" t="s">
        <v>47</v>
      </c>
      <c r="M726" t="s">
        <v>48</v>
      </c>
      <c r="N726" t="s">
        <v>49</v>
      </c>
      <c r="O726" t="s">
        <v>27</v>
      </c>
      <c r="P726" s="1">
        <v>44791</v>
      </c>
      <c r="Q726">
        <f t="shared" si="55"/>
        <v>0</v>
      </c>
      <c r="R726">
        <f t="shared" si="56"/>
        <v>0</v>
      </c>
      <c r="S726">
        <f t="shared" si="57"/>
        <v>0</v>
      </c>
      <c r="T726" s="11">
        <f t="shared" si="58"/>
        <v>2019</v>
      </c>
      <c r="U726" s="11">
        <f t="shared" si="59"/>
        <v>41672</v>
      </c>
    </row>
    <row r="727" spans="1:21" x14ac:dyDescent="0.3">
      <c r="A727" t="s">
        <v>1266</v>
      </c>
      <c r="B727">
        <v>2021</v>
      </c>
      <c r="C727" t="s">
        <v>29</v>
      </c>
      <c r="D727" t="s">
        <v>53</v>
      </c>
      <c r="E727">
        <v>22298</v>
      </c>
      <c r="F727" t="s">
        <v>177</v>
      </c>
      <c r="G727">
        <v>118100</v>
      </c>
      <c r="H727" t="s">
        <v>32</v>
      </c>
      <c r="I727" t="s">
        <v>21</v>
      </c>
      <c r="J727" t="s">
        <v>1267</v>
      </c>
      <c r="K727" t="s">
        <v>23</v>
      </c>
      <c r="L727" t="s">
        <v>474</v>
      </c>
      <c r="M727" t="s">
        <v>255</v>
      </c>
      <c r="N727" t="s">
        <v>256</v>
      </c>
      <c r="O727" t="s">
        <v>27</v>
      </c>
      <c r="P727" s="1">
        <v>44791</v>
      </c>
      <c r="Q727">
        <f t="shared" si="55"/>
        <v>0</v>
      </c>
      <c r="R727">
        <f t="shared" si="56"/>
        <v>1</v>
      </c>
      <c r="S727">
        <f t="shared" si="57"/>
        <v>0</v>
      </c>
      <c r="T727" s="11">
        <f t="shared" si="58"/>
        <v>2021</v>
      </c>
      <c r="U727" s="11">
        <f t="shared" si="59"/>
        <v>22298</v>
      </c>
    </row>
    <row r="728" spans="1:21" x14ac:dyDescent="0.3">
      <c r="A728" t="s">
        <v>1268</v>
      </c>
      <c r="B728">
        <v>2018</v>
      </c>
      <c r="C728" t="s">
        <v>56</v>
      </c>
      <c r="D728" t="s">
        <v>30</v>
      </c>
      <c r="E728">
        <v>46260</v>
      </c>
      <c r="F728" t="s">
        <v>234</v>
      </c>
      <c r="G728">
        <v>47000</v>
      </c>
      <c r="H728" t="s">
        <v>20</v>
      </c>
      <c r="I728" t="s">
        <v>58</v>
      </c>
      <c r="J728" t="s">
        <v>1269</v>
      </c>
      <c r="K728" t="s">
        <v>23</v>
      </c>
      <c r="L728" t="s">
        <v>47</v>
      </c>
      <c r="M728" t="s">
        <v>48</v>
      </c>
      <c r="N728" t="s">
        <v>49</v>
      </c>
      <c r="O728" t="s">
        <v>27</v>
      </c>
      <c r="P728" s="1">
        <v>44791</v>
      </c>
      <c r="Q728">
        <f t="shared" si="55"/>
        <v>0</v>
      </c>
      <c r="R728">
        <f t="shared" si="56"/>
        <v>0</v>
      </c>
      <c r="S728">
        <f t="shared" si="57"/>
        <v>0</v>
      </c>
      <c r="T728" s="11">
        <f t="shared" si="58"/>
        <v>2018</v>
      </c>
      <c r="U728" s="11">
        <f t="shared" si="59"/>
        <v>46260</v>
      </c>
    </row>
    <row r="729" spans="1:21" x14ac:dyDescent="0.3">
      <c r="A729" t="s">
        <v>1270</v>
      </c>
      <c r="B729">
        <v>2018</v>
      </c>
      <c r="C729" t="s">
        <v>37</v>
      </c>
      <c r="D729" t="s">
        <v>30</v>
      </c>
      <c r="E729">
        <v>31625</v>
      </c>
      <c r="F729" t="s">
        <v>52</v>
      </c>
      <c r="G729">
        <v>73100</v>
      </c>
      <c r="H729" t="s">
        <v>45</v>
      </c>
      <c r="I729" t="s">
        <v>78</v>
      </c>
      <c r="J729" t="s">
        <v>396</v>
      </c>
      <c r="K729" t="s">
        <v>23</v>
      </c>
      <c r="L729" t="s">
        <v>367</v>
      </c>
      <c r="M729" t="s">
        <v>244</v>
      </c>
      <c r="N729" t="s">
        <v>245</v>
      </c>
      <c r="O729" t="s">
        <v>27</v>
      </c>
      <c r="P729" s="1">
        <v>44791</v>
      </c>
      <c r="Q729">
        <f t="shared" si="55"/>
        <v>1</v>
      </c>
      <c r="R729">
        <f t="shared" si="56"/>
        <v>0</v>
      </c>
      <c r="S729">
        <f t="shared" si="57"/>
        <v>0</v>
      </c>
      <c r="T729" s="11">
        <f t="shared" si="58"/>
        <v>2018</v>
      </c>
      <c r="U729" s="11">
        <f t="shared" si="59"/>
        <v>31625</v>
      </c>
    </row>
    <row r="730" spans="1:21" x14ac:dyDescent="0.3">
      <c r="A730" t="s">
        <v>1271</v>
      </c>
      <c r="B730">
        <v>2020</v>
      </c>
      <c r="C730" t="s">
        <v>56</v>
      </c>
      <c r="D730" t="s">
        <v>32</v>
      </c>
      <c r="E730">
        <v>16677</v>
      </c>
      <c r="F730" t="s">
        <v>65</v>
      </c>
      <c r="G730">
        <v>50800</v>
      </c>
      <c r="H730" t="s">
        <v>20</v>
      </c>
      <c r="I730" t="s">
        <v>78</v>
      </c>
      <c r="J730" t="s">
        <v>317</v>
      </c>
      <c r="K730" t="s">
        <v>23</v>
      </c>
      <c r="L730" t="s">
        <v>34</v>
      </c>
      <c r="N730" t="s">
        <v>35</v>
      </c>
      <c r="O730" t="s">
        <v>27</v>
      </c>
      <c r="P730" s="1">
        <v>44791</v>
      </c>
      <c r="Q730">
        <f t="shared" si="55"/>
        <v>0</v>
      </c>
      <c r="R730">
        <f t="shared" si="56"/>
        <v>0</v>
      </c>
      <c r="S730">
        <f t="shared" si="57"/>
        <v>0</v>
      </c>
      <c r="T730" s="11">
        <f t="shared" si="58"/>
        <v>2020</v>
      </c>
      <c r="U730" s="11">
        <f t="shared" si="59"/>
        <v>16677</v>
      </c>
    </row>
    <row r="731" spans="1:21" x14ac:dyDescent="0.3">
      <c r="A731" t="s">
        <v>1272</v>
      </c>
      <c r="B731">
        <v>2019</v>
      </c>
      <c r="C731" t="s">
        <v>56</v>
      </c>
      <c r="D731" t="s">
        <v>30</v>
      </c>
      <c r="E731">
        <v>38142</v>
      </c>
      <c r="F731" t="s">
        <v>65</v>
      </c>
      <c r="G731">
        <v>47800</v>
      </c>
      <c r="H731" t="s">
        <v>20</v>
      </c>
      <c r="I731" t="s">
        <v>78</v>
      </c>
      <c r="J731" t="s">
        <v>840</v>
      </c>
      <c r="K731" t="s">
        <v>23</v>
      </c>
      <c r="L731" t="s">
        <v>1273</v>
      </c>
      <c r="M731" t="s">
        <v>1274</v>
      </c>
      <c r="N731" t="s">
        <v>245</v>
      </c>
      <c r="O731" t="s">
        <v>27</v>
      </c>
      <c r="P731" s="1">
        <v>44791</v>
      </c>
      <c r="Q731">
        <f t="shared" si="55"/>
        <v>0</v>
      </c>
      <c r="R731">
        <f t="shared" si="56"/>
        <v>0</v>
      </c>
      <c r="S731">
        <f t="shared" si="57"/>
        <v>0</v>
      </c>
      <c r="T731" s="11">
        <f t="shared" si="58"/>
        <v>2019</v>
      </c>
      <c r="U731" s="11">
        <f t="shared" si="59"/>
        <v>38142</v>
      </c>
    </row>
    <row r="732" spans="1:21" x14ac:dyDescent="0.3">
      <c r="A732" t="s">
        <v>1275</v>
      </c>
      <c r="B732">
        <v>2022</v>
      </c>
      <c r="C732" t="s">
        <v>56</v>
      </c>
      <c r="D732" t="s">
        <v>30</v>
      </c>
      <c r="E732">
        <v>4439</v>
      </c>
      <c r="F732" t="s">
        <v>508</v>
      </c>
      <c r="G732">
        <v>73100</v>
      </c>
      <c r="H732" t="s">
        <v>77</v>
      </c>
      <c r="I732" t="s">
        <v>58</v>
      </c>
      <c r="J732" t="s">
        <v>284</v>
      </c>
      <c r="K732" t="s">
        <v>23</v>
      </c>
      <c r="L732" t="s">
        <v>84</v>
      </c>
      <c r="M732" t="s">
        <v>48</v>
      </c>
      <c r="N732" t="s">
        <v>69</v>
      </c>
      <c r="O732" t="s">
        <v>27</v>
      </c>
      <c r="P732" s="1">
        <v>44791</v>
      </c>
      <c r="Q732">
        <f t="shared" si="55"/>
        <v>0</v>
      </c>
      <c r="R732">
        <f t="shared" si="56"/>
        <v>0</v>
      </c>
      <c r="S732">
        <f t="shared" si="57"/>
        <v>0</v>
      </c>
      <c r="T732" s="11">
        <f t="shared" si="58"/>
        <v>2022</v>
      </c>
      <c r="U732" s="11">
        <f t="shared" si="59"/>
        <v>4439</v>
      </c>
    </row>
    <row r="733" spans="1:21" x14ac:dyDescent="0.3">
      <c r="A733" t="s">
        <v>1276</v>
      </c>
      <c r="B733">
        <v>2020</v>
      </c>
      <c r="C733" t="s">
        <v>17</v>
      </c>
      <c r="D733" t="s">
        <v>32</v>
      </c>
      <c r="E733">
        <v>34130</v>
      </c>
      <c r="F733" t="s">
        <v>207</v>
      </c>
      <c r="G733">
        <v>68800</v>
      </c>
      <c r="H733" t="s">
        <v>77</v>
      </c>
      <c r="I733" t="s">
        <v>21</v>
      </c>
      <c r="J733" t="s">
        <v>476</v>
      </c>
      <c r="K733" t="s">
        <v>23</v>
      </c>
      <c r="L733" t="s">
        <v>1277</v>
      </c>
      <c r="M733" t="s">
        <v>364</v>
      </c>
      <c r="N733" t="s">
        <v>245</v>
      </c>
      <c r="O733" t="s">
        <v>27</v>
      </c>
      <c r="P733" s="1">
        <v>44791</v>
      </c>
      <c r="Q733">
        <f t="shared" si="55"/>
        <v>0</v>
      </c>
      <c r="R733">
        <f t="shared" si="56"/>
        <v>0</v>
      </c>
      <c r="S733">
        <f t="shared" si="57"/>
        <v>1</v>
      </c>
      <c r="T733" s="11">
        <f t="shared" si="58"/>
        <v>2020</v>
      </c>
      <c r="U733" s="11">
        <f t="shared" si="59"/>
        <v>34130</v>
      </c>
    </row>
    <row r="734" spans="1:21" x14ac:dyDescent="0.3">
      <c r="A734" t="s">
        <v>1278</v>
      </c>
      <c r="B734">
        <v>2021</v>
      </c>
      <c r="C734" t="s">
        <v>17</v>
      </c>
      <c r="D734" t="s">
        <v>18</v>
      </c>
      <c r="E734">
        <v>22379</v>
      </c>
      <c r="F734" t="s">
        <v>207</v>
      </c>
      <c r="G734">
        <v>69200</v>
      </c>
      <c r="H734" t="s">
        <v>20</v>
      </c>
      <c r="I734" t="s">
        <v>21</v>
      </c>
      <c r="J734" t="s">
        <v>326</v>
      </c>
      <c r="K734" t="s">
        <v>23</v>
      </c>
      <c r="L734" t="s">
        <v>416</v>
      </c>
      <c r="M734" t="s">
        <v>417</v>
      </c>
      <c r="N734" t="s">
        <v>245</v>
      </c>
      <c r="O734" t="s">
        <v>27</v>
      </c>
      <c r="P734" s="1">
        <v>44791</v>
      </c>
      <c r="Q734">
        <f t="shared" si="55"/>
        <v>0</v>
      </c>
      <c r="R734">
        <f t="shared" si="56"/>
        <v>0</v>
      </c>
      <c r="S734">
        <f t="shared" si="57"/>
        <v>1</v>
      </c>
      <c r="T734" s="11">
        <f t="shared" si="58"/>
        <v>2021</v>
      </c>
      <c r="U734" s="11">
        <f t="shared" si="59"/>
        <v>22379</v>
      </c>
    </row>
    <row r="735" spans="1:21" x14ac:dyDescent="0.3">
      <c r="A735" t="s">
        <v>1279</v>
      </c>
      <c r="B735">
        <v>2021</v>
      </c>
      <c r="C735" t="s">
        <v>17</v>
      </c>
      <c r="D735" t="s">
        <v>32</v>
      </c>
      <c r="E735">
        <v>5049</v>
      </c>
      <c r="F735" t="s">
        <v>19</v>
      </c>
      <c r="G735">
        <v>74400</v>
      </c>
      <c r="H735" t="s">
        <v>77</v>
      </c>
      <c r="I735" t="s">
        <v>21</v>
      </c>
      <c r="J735" t="s">
        <v>802</v>
      </c>
      <c r="K735" t="s">
        <v>23</v>
      </c>
      <c r="L735" t="s">
        <v>342</v>
      </c>
      <c r="M735" t="s">
        <v>244</v>
      </c>
      <c r="N735" t="s">
        <v>245</v>
      </c>
      <c r="O735" t="s">
        <v>27</v>
      </c>
      <c r="P735" s="1">
        <v>44791</v>
      </c>
      <c r="Q735">
        <f t="shared" si="55"/>
        <v>0</v>
      </c>
      <c r="R735">
        <f t="shared" si="56"/>
        <v>0</v>
      </c>
      <c r="S735">
        <f t="shared" si="57"/>
        <v>1</v>
      </c>
      <c r="T735" s="11">
        <f t="shared" si="58"/>
        <v>2021</v>
      </c>
      <c r="U735" s="11">
        <f t="shared" si="59"/>
        <v>5049</v>
      </c>
    </row>
    <row r="736" spans="1:21" x14ac:dyDescent="0.3">
      <c r="A736" t="s">
        <v>1280</v>
      </c>
      <c r="B736">
        <v>2021</v>
      </c>
      <c r="C736" t="s">
        <v>17</v>
      </c>
      <c r="D736" t="s">
        <v>32</v>
      </c>
      <c r="E736">
        <v>21177</v>
      </c>
      <c r="F736" t="s">
        <v>19</v>
      </c>
      <c r="G736">
        <v>80500</v>
      </c>
      <c r="H736" t="s">
        <v>20</v>
      </c>
      <c r="I736" t="s">
        <v>21</v>
      </c>
      <c r="J736" t="s">
        <v>1281</v>
      </c>
      <c r="K736" t="s">
        <v>23</v>
      </c>
      <c r="L736" t="s">
        <v>342</v>
      </c>
      <c r="M736" t="s">
        <v>244</v>
      </c>
      <c r="N736" t="s">
        <v>245</v>
      </c>
      <c r="O736" t="s">
        <v>27</v>
      </c>
      <c r="P736" s="1">
        <v>44791</v>
      </c>
      <c r="Q736">
        <f t="shared" si="55"/>
        <v>0</v>
      </c>
      <c r="R736">
        <f t="shared" si="56"/>
        <v>0</v>
      </c>
      <c r="S736">
        <f t="shared" si="57"/>
        <v>1</v>
      </c>
      <c r="T736" s="11">
        <f t="shared" si="58"/>
        <v>2021</v>
      </c>
      <c r="U736" s="11">
        <f t="shared" si="59"/>
        <v>21177</v>
      </c>
    </row>
    <row r="737" spans="1:21" x14ac:dyDescent="0.3">
      <c r="A737" t="s">
        <v>1282</v>
      </c>
      <c r="B737">
        <v>2021</v>
      </c>
      <c r="C737" t="s">
        <v>17</v>
      </c>
      <c r="D737" t="s">
        <v>32</v>
      </c>
      <c r="E737">
        <v>20008</v>
      </c>
      <c r="F737" t="s">
        <v>207</v>
      </c>
      <c r="G737">
        <v>70900</v>
      </c>
      <c r="H737" t="s">
        <v>20</v>
      </c>
      <c r="I737" t="s">
        <v>78</v>
      </c>
      <c r="J737" t="s">
        <v>200</v>
      </c>
      <c r="K737" t="s">
        <v>23</v>
      </c>
      <c r="L737" t="s">
        <v>756</v>
      </c>
      <c r="M737" t="s">
        <v>261</v>
      </c>
      <c r="N737" t="s">
        <v>262</v>
      </c>
      <c r="O737" t="s">
        <v>27</v>
      </c>
      <c r="P737" s="1">
        <v>44790</v>
      </c>
      <c r="Q737">
        <f t="shared" si="55"/>
        <v>0</v>
      </c>
      <c r="R737">
        <f t="shared" si="56"/>
        <v>0</v>
      </c>
      <c r="S737">
        <f t="shared" si="57"/>
        <v>1</v>
      </c>
      <c r="T737" s="11">
        <f t="shared" si="58"/>
        <v>2021</v>
      </c>
      <c r="U737" s="11">
        <f t="shared" si="59"/>
        <v>20008</v>
      </c>
    </row>
    <row r="738" spans="1:21" x14ac:dyDescent="0.3">
      <c r="A738" t="s">
        <v>1283</v>
      </c>
      <c r="B738">
        <v>2021</v>
      </c>
      <c r="C738" t="s">
        <v>56</v>
      </c>
      <c r="D738" t="s">
        <v>30</v>
      </c>
      <c r="E738">
        <v>16356</v>
      </c>
      <c r="F738" t="s">
        <v>143</v>
      </c>
      <c r="G738">
        <v>69000</v>
      </c>
      <c r="H738" t="s">
        <v>77</v>
      </c>
      <c r="J738" t="s">
        <v>1284</v>
      </c>
      <c r="K738" t="s">
        <v>23</v>
      </c>
      <c r="L738" t="s">
        <v>345</v>
      </c>
      <c r="M738" t="s">
        <v>48</v>
      </c>
      <c r="N738" t="s">
        <v>69</v>
      </c>
      <c r="O738" t="s">
        <v>27</v>
      </c>
      <c r="P738" s="1">
        <v>44790</v>
      </c>
      <c r="Q738">
        <f t="shared" si="55"/>
        <v>0</v>
      </c>
      <c r="R738">
        <f t="shared" si="56"/>
        <v>0</v>
      </c>
      <c r="S738">
        <f t="shared" si="57"/>
        <v>0</v>
      </c>
      <c r="T738" s="11">
        <f t="shared" si="58"/>
        <v>2021</v>
      </c>
      <c r="U738" s="11">
        <f t="shared" si="59"/>
        <v>16356</v>
      </c>
    </row>
    <row r="739" spans="1:21" x14ac:dyDescent="0.3">
      <c r="A739" t="s">
        <v>1285</v>
      </c>
      <c r="B739">
        <v>2019</v>
      </c>
      <c r="C739" t="s">
        <v>56</v>
      </c>
      <c r="D739" t="s">
        <v>93</v>
      </c>
      <c r="E739">
        <v>24766</v>
      </c>
      <c r="F739" t="s">
        <v>57</v>
      </c>
      <c r="G739">
        <v>57100</v>
      </c>
      <c r="H739" t="s">
        <v>77</v>
      </c>
      <c r="I739" t="s">
        <v>78</v>
      </c>
      <c r="J739" t="s">
        <v>280</v>
      </c>
      <c r="K739" t="s">
        <v>23</v>
      </c>
      <c r="L739" t="s">
        <v>474</v>
      </c>
      <c r="M739" t="s">
        <v>255</v>
      </c>
      <c r="N739" t="s">
        <v>256</v>
      </c>
      <c r="O739" t="s">
        <v>27</v>
      </c>
      <c r="P739" s="1">
        <v>44790</v>
      </c>
      <c r="Q739">
        <f t="shared" si="55"/>
        <v>0</v>
      </c>
      <c r="R739">
        <f t="shared" si="56"/>
        <v>0</v>
      </c>
      <c r="S739">
        <f t="shared" si="57"/>
        <v>0</v>
      </c>
      <c r="T739" s="11">
        <f t="shared" si="58"/>
        <v>2019</v>
      </c>
      <c r="U739" s="11">
        <f t="shared" si="59"/>
        <v>24766</v>
      </c>
    </row>
    <row r="740" spans="1:21" x14ac:dyDescent="0.3">
      <c r="A740" t="s">
        <v>1286</v>
      </c>
      <c r="B740">
        <v>2020</v>
      </c>
      <c r="C740" t="s">
        <v>56</v>
      </c>
      <c r="D740" t="s">
        <v>32</v>
      </c>
      <c r="E740">
        <v>5295</v>
      </c>
      <c r="F740" t="s">
        <v>65</v>
      </c>
      <c r="G740">
        <v>52200</v>
      </c>
      <c r="H740" t="s">
        <v>77</v>
      </c>
      <c r="I740" t="s">
        <v>58</v>
      </c>
      <c r="J740" t="s">
        <v>266</v>
      </c>
      <c r="K740" t="s">
        <v>23</v>
      </c>
      <c r="L740" t="s">
        <v>47</v>
      </c>
      <c r="M740" t="s">
        <v>48</v>
      </c>
      <c r="N740" t="s">
        <v>49</v>
      </c>
      <c r="O740" t="s">
        <v>27</v>
      </c>
      <c r="P740" s="1">
        <v>44790</v>
      </c>
      <c r="Q740">
        <f t="shared" si="55"/>
        <v>0</v>
      </c>
      <c r="R740">
        <f t="shared" si="56"/>
        <v>0</v>
      </c>
      <c r="S740">
        <f t="shared" si="57"/>
        <v>0</v>
      </c>
      <c r="T740" s="11">
        <f t="shared" si="58"/>
        <v>2020</v>
      </c>
      <c r="U740" s="11">
        <f t="shared" si="59"/>
        <v>5295</v>
      </c>
    </row>
    <row r="741" spans="1:21" x14ac:dyDescent="0.3">
      <c r="A741" t="s">
        <v>1287</v>
      </c>
      <c r="B741">
        <v>2021</v>
      </c>
      <c r="C741" t="s">
        <v>37</v>
      </c>
      <c r="D741" t="s">
        <v>32</v>
      </c>
      <c r="E741">
        <v>16441</v>
      </c>
      <c r="F741" t="s">
        <v>131</v>
      </c>
      <c r="G741">
        <v>122800</v>
      </c>
      <c r="H741" t="s">
        <v>53</v>
      </c>
      <c r="I741" t="s">
        <v>39</v>
      </c>
      <c r="J741" t="s">
        <v>1288</v>
      </c>
      <c r="K741" t="s">
        <v>23</v>
      </c>
      <c r="L741" t="s">
        <v>67</v>
      </c>
      <c r="M741" t="s">
        <v>68</v>
      </c>
      <c r="N741" t="s">
        <v>69</v>
      </c>
      <c r="O741" t="s">
        <v>27</v>
      </c>
      <c r="P741" s="1">
        <v>44790</v>
      </c>
      <c r="Q741">
        <f t="shared" si="55"/>
        <v>1</v>
      </c>
      <c r="R741">
        <f t="shared" si="56"/>
        <v>0</v>
      </c>
      <c r="S741">
        <f t="shared" si="57"/>
        <v>0</v>
      </c>
      <c r="T741" s="11">
        <f t="shared" si="58"/>
        <v>2021</v>
      </c>
      <c r="U741" s="11">
        <f t="shared" si="59"/>
        <v>16441</v>
      </c>
    </row>
    <row r="742" spans="1:21" x14ac:dyDescent="0.3">
      <c r="A742" t="s">
        <v>1289</v>
      </c>
      <c r="B742">
        <v>2020</v>
      </c>
      <c r="C742" t="s">
        <v>29</v>
      </c>
      <c r="D742" t="s">
        <v>53</v>
      </c>
      <c r="E742">
        <v>31750</v>
      </c>
      <c r="F742" t="s">
        <v>31</v>
      </c>
      <c r="G742">
        <v>100900</v>
      </c>
      <c r="H742" t="s">
        <v>32</v>
      </c>
      <c r="I742" t="s">
        <v>21</v>
      </c>
      <c r="J742" t="s">
        <v>62</v>
      </c>
      <c r="K742" t="s">
        <v>23</v>
      </c>
      <c r="L742" t="s">
        <v>1119</v>
      </c>
      <c r="M742" t="s">
        <v>1120</v>
      </c>
      <c r="N742" t="s">
        <v>119</v>
      </c>
      <c r="O742" t="s">
        <v>27</v>
      </c>
      <c r="P742" s="1">
        <v>44790</v>
      </c>
      <c r="Q742">
        <f t="shared" si="55"/>
        <v>0</v>
      </c>
      <c r="R742">
        <f t="shared" si="56"/>
        <v>1</v>
      </c>
      <c r="S742">
        <f t="shared" si="57"/>
        <v>0</v>
      </c>
      <c r="T742" s="11">
        <f t="shared" si="58"/>
        <v>2020</v>
      </c>
      <c r="U742" s="11">
        <f t="shared" si="59"/>
        <v>31750</v>
      </c>
    </row>
    <row r="743" spans="1:21" x14ac:dyDescent="0.3">
      <c r="A743" t="s">
        <v>1290</v>
      </c>
      <c r="B743">
        <v>2020</v>
      </c>
      <c r="C743" t="s">
        <v>17</v>
      </c>
      <c r="D743" t="s">
        <v>32</v>
      </c>
      <c r="E743">
        <v>30481</v>
      </c>
      <c r="F743" t="s">
        <v>207</v>
      </c>
      <c r="G743">
        <v>66500</v>
      </c>
      <c r="H743" t="s">
        <v>20</v>
      </c>
      <c r="I743" t="s">
        <v>21</v>
      </c>
      <c r="J743" t="s">
        <v>429</v>
      </c>
      <c r="K743" t="s">
        <v>23</v>
      </c>
      <c r="L743" t="s">
        <v>768</v>
      </c>
      <c r="M743" t="s">
        <v>68</v>
      </c>
      <c r="N743" t="s">
        <v>69</v>
      </c>
      <c r="O743" t="s">
        <v>27</v>
      </c>
      <c r="P743" s="1">
        <v>44790</v>
      </c>
      <c r="Q743">
        <f t="shared" si="55"/>
        <v>0</v>
      </c>
      <c r="R743">
        <f t="shared" si="56"/>
        <v>0</v>
      </c>
      <c r="S743">
        <f t="shared" si="57"/>
        <v>1</v>
      </c>
      <c r="T743" s="11">
        <f t="shared" si="58"/>
        <v>2020</v>
      </c>
      <c r="U743" s="11">
        <f t="shared" si="59"/>
        <v>30481</v>
      </c>
    </row>
    <row r="744" spans="1:21" x14ac:dyDescent="0.3">
      <c r="A744" t="s">
        <v>1291</v>
      </c>
      <c r="B744">
        <v>2019</v>
      </c>
      <c r="C744" t="s">
        <v>56</v>
      </c>
      <c r="D744" t="s">
        <v>53</v>
      </c>
      <c r="E744">
        <v>14184</v>
      </c>
      <c r="F744" t="s">
        <v>57</v>
      </c>
      <c r="G744">
        <v>57600</v>
      </c>
      <c r="H744" t="s">
        <v>20</v>
      </c>
      <c r="I744" t="s">
        <v>58</v>
      </c>
      <c r="J744" t="s">
        <v>59</v>
      </c>
      <c r="K744" t="s">
        <v>23</v>
      </c>
      <c r="L744" t="s">
        <v>768</v>
      </c>
      <c r="M744" t="s">
        <v>68</v>
      </c>
      <c r="N744" t="s">
        <v>69</v>
      </c>
      <c r="O744" t="s">
        <v>27</v>
      </c>
      <c r="P744" s="1">
        <v>44790</v>
      </c>
      <c r="Q744">
        <f t="shared" si="55"/>
        <v>0</v>
      </c>
      <c r="R744">
        <f t="shared" si="56"/>
        <v>0</v>
      </c>
      <c r="S744">
        <f t="shared" si="57"/>
        <v>0</v>
      </c>
      <c r="T744" s="11">
        <f t="shared" si="58"/>
        <v>2019</v>
      </c>
      <c r="U744" s="11">
        <f t="shared" si="59"/>
        <v>14184</v>
      </c>
    </row>
    <row r="745" spans="1:21" x14ac:dyDescent="0.3">
      <c r="A745" t="s">
        <v>1292</v>
      </c>
      <c r="B745">
        <v>2020</v>
      </c>
      <c r="C745" t="s">
        <v>56</v>
      </c>
      <c r="D745" t="s">
        <v>30</v>
      </c>
      <c r="E745">
        <v>47167</v>
      </c>
      <c r="F745" t="s">
        <v>57</v>
      </c>
      <c r="G745">
        <v>50100</v>
      </c>
      <c r="H745" t="s">
        <v>20</v>
      </c>
      <c r="I745" t="s">
        <v>78</v>
      </c>
      <c r="J745" t="s">
        <v>124</v>
      </c>
      <c r="K745" t="s">
        <v>23</v>
      </c>
      <c r="L745" t="s">
        <v>345</v>
      </c>
      <c r="M745" t="s">
        <v>48</v>
      </c>
      <c r="N745" t="s">
        <v>69</v>
      </c>
      <c r="O745" t="s">
        <v>27</v>
      </c>
      <c r="P745" s="1">
        <v>44790</v>
      </c>
      <c r="Q745">
        <f t="shared" si="55"/>
        <v>0</v>
      </c>
      <c r="R745">
        <f t="shared" si="56"/>
        <v>0</v>
      </c>
      <c r="S745">
        <f t="shared" si="57"/>
        <v>0</v>
      </c>
      <c r="T745" s="11">
        <f t="shared" si="58"/>
        <v>2020</v>
      </c>
      <c r="U745" s="11">
        <f t="shared" si="59"/>
        <v>47167</v>
      </c>
    </row>
    <row r="746" spans="1:21" x14ac:dyDescent="0.3">
      <c r="A746" t="s">
        <v>1293</v>
      </c>
      <c r="B746">
        <v>2018</v>
      </c>
      <c r="C746" t="s">
        <v>56</v>
      </c>
      <c r="D746" t="s">
        <v>76</v>
      </c>
      <c r="E746">
        <v>51750</v>
      </c>
      <c r="F746" t="s">
        <v>234</v>
      </c>
      <c r="G746">
        <v>48400</v>
      </c>
      <c r="H746" t="s">
        <v>20</v>
      </c>
      <c r="I746" t="s">
        <v>58</v>
      </c>
      <c r="J746" t="s">
        <v>585</v>
      </c>
      <c r="K746" t="s">
        <v>23</v>
      </c>
      <c r="L746" t="s">
        <v>47</v>
      </c>
      <c r="M746" t="s">
        <v>48</v>
      </c>
      <c r="N746" t="s">
        <v>49</v>
      </c>
      <c r="O746" t="s">
        <v>27</v>
      </c>
      <c r="P746" s="1">
        <v>44790</v>
      </c>
      <c r="Q746">
        <f t="shared" si="55"/>
        <v>0</v>
      </c>
      <c r="R746">
        <f t="shared" si="56"/>
        <v>0</v>
      </c>
      <c r="S746">
        <f t="shared" si="57"/>
        <v>0</v>
      </c>
      <c r="T746" s="11">
        <f t="shared" si="58"/>
        <v>2018</v>
      </c>
      <c r="U746" s="11">
        <f t="shared" si="59"/>
        <v>51750</v>
      </c>
    </row>
    <row r="747" spans="1:21" x14ac:dyDescent="0.3">
      <c r="A747" t="s">
        <v>1294</v>
      </c>
      <c r="B747">
        <v>2018</v>
      </c>
      <c r="C747" t="s">
        <v>56</v>
      </c>
      <c r="D747" t="s">
        <v>93</v>
      </c>
      <c r="E747">
        <v>72971</v>
      </c>
      <c r="F747" t="s">
        <v>234</v>
      </c>
      <c r="G747">
        <v>45200</v>
      </c>
      <c r="H747" t="s">
        <v>20</v>
      </c>
      <c r="I747" t="s">
        <v>78</v>
      </c>
      <c r="J747" t="s">
        <v>290</v>
      </c>
      <c r="K747" t="s">
        <v>23</v>
      </c>
      <c r="L747" t="s">
        <v>47</v>
      </c>
      <c r="M747" t="s">
        <v>48</v>
      </c>
      <c r="N747" t="s">
        <v>49</v>
      </c>
      <c r="O747" t="s">
        <v>27</v>
      </c>
      <c r="P747" s="1">
        <v>44790</v>
      </c>
      <c r="Q747">
        <f t="shared" si="55"/>
        <v>0</v>
      </c>
      <c r="R747">
        <f t="shared" si="56"/>
        <v>0</v>
      </c>
      <c r="S747">
        <f t="shared" si="57"/>
        <v>0</v>
      </c>
      <c r="T747" s="11">
        <f t="shared" si="58"/>
        <v>2018</v>
      </c>
      <c r="U747" s="11">
        <f t="shared" si="59"/>
        <v>72971</v>
      </c>
    </row>
    <row r="748" spans="1:21" x14ac:dyDescent="0.3">
      <c r="A748" t="s">
        <v>1295</v>
      </c>
      <c r="B748">
        <v>2021</v>
      </c>
      <c r="C748" t="s">
        <v>37</v>
      </c>
      <c r="D748" t="s">
        <v>76</v>
      </c>
      <c r="E748">
        <v>5959</v>
      </c>
      <c r="F748" t="s">
        <v>131</v>
      </c>
      <c r="G748">
        <v>116600</v>
      </c>
      <c r="H748" t="s">
        <v>53</v>
      </c>
      <c r="I748" t="s">
        <v>39</v>
      </c>
      <c r="J748" t="s">
        <v>1082</v>
      </c>
      <c r="K748" t="s">
        <v>23</v>
      </c>
      <c r="L748" t="s">
        <v>779</v>
      </c>
      <c r="M748" t="s">
        <v>780</v>
      </c>
      <c r="N748" t="s">
        <v>256</v>
      </c>
      <c r="O748" t="s">
        <v>27</v>
      </c>
      <c r="P748" s="1">
        <v>44790</v>
      </c>
      <c r="Q748">
        <f t="shared" si="55"/>
        <v>1</v>
      </c>
      <c r="R748">
        <f t="shared" si="56"/>
        <v>0</v>
      </c>
      <c r="S748">
        <f t="shared" si="57"/>
        <v>0</v>
      </c>
      <c r="T748" s="11">
        <f t="shared" si="58"/>
        <v>2021</v>
      </c>
      <c r="U748" s="11">
        <f t="shared" si="59"/>
        <v>5959</v>
      </c>
    </row>
    <row r="749" spans="1:21" x14ac:dyDescent="0.3">
      <c r="A749" t="s">
        <v>1296</v>
      </c>
      <c r="B749">
        <v>2021</v>
      </c>
      <c r="C749" t="s">
        <v>37</v>
      </c>
      <c r="D749" t="s">
        <v>53</v>
      </c>
      <c r="E749">
        <v>9129</v>
      </c>
      <c r="F749" t="s">
        <v>131</v>
      </c>
      <c r="G749">
        <v>116300</v>
      </c>
      <c r="H749" t="s">
        <v>53</v>
      </c>
      <c r="I749" t="s">
        <v>39</v>
      </c>
      <c r="J749" t="s">
        <v>552</v>
      </c>
      <c r="K749" t="s">
        <v>23</v>
      </c>
      <c r="L749" t="s">
        <v>100</v>
      </c>
      <c r="M749" t="s">
        <v>101</v>
      </c>
      <c r="N749" t="s">
        <v>102</v>
      </c>
      <c r="O749" t="s">
        <v>27</v>
      </c>
      <c r="P749" s="1">
        <v>44790</v>
      </c>
      <c r="Q749">
        <f t="shared" si="55"/>
        <v>1</v>
      </c>
      <c r="R749">
        <f t="shared" si="56"/>
        <v>0</v>
      </c>
      <c r="S749">
        <f t="shared" si="57"/>
        <v>0</v>
      </c>
      <c r="T749" s="11">
        <f t="shared" si="58"/>
        <v>2021</v>
      </c>
      <c r="U749" s="11">
        <f t="shared" si="59"/>
        <v>9129</v>
      </c>
    </row>
    <row r="750" spans="1:21" x14ac:dyDescent="0.3">
      <c r="A750" t="s">
        <v>1297</v>
      </c>
      <c r="B750">
        <v>2018</v>
      </c>
      <c r="C750" t="s">
        <v>29</v>
      </c>
      <c r="D750" t="s">
        <v>51</v>
      </c>
      <c r="E750">
        <v>32827</v>
      </c>
      <c r="F750" t="s">
        <v>270</v>
      </c>
      <c r="G750">
        <v>92000</v>
      </c>
      <c r="H750" t="s">
        <v>53</v>
      </c>
      <c r="I750" t="s">
        <v>110</v>
      </c>
      <c r="J750" t="s">
        <v>1298</v>
      </c>
      <c r="K750" t="s">
        <v>23</v>
      </c>
      <c r="L750" t="s">
        <v>691</v>
      </c>
      <c r="M750" t="s">
        <v>692</v>
      </c>
      <c r="N750" t="s">
        <v>119</v>
      </c>
      <c r="O750" t="s">
        <v>27</v>
      </c>
      <c r="P750" s="1">
        <v>44790</v>
      </c>
      <c r="Q750">
        <f t="shared" si="55"/>
        <v>0</v>
      </c>
      <c r="R750">
        <f t="shared" si="56"/>
        <v>1</v>
      </c>
      <c r="S750">
        <f t="shared" si="57"/>
        <v>0</v>
      </c>
      <c r="T750" s="11">
        <f t="shared" si="58"/>
        <v>2018</v>
      </c>
      <c r="U750" s="11">
        <f t="shared" si="59"/>
        <v>32827</v>
      </c>
    </row>
    <row r="751" spans="1:21" x14ac:dyDescent="0.3">
      <c r="A751" t="s">
        <v>1299</v>
      </c>
      <c r="B751">
        <v>2019</v>
      </c>
      <c r="C751" t="s">
        <v>56</v>
      </c>
      <c r="D751" t="s">
        <v>76</v>
      </c>
      <c r="E751">
        <v>18623</v>
      </c>
      <c r="F751" t="s">
        <v>57</v>
      </c>
      <c r="G751">
        <v>55300</v>
      </c>
      <c r="H751" t="s">
        <v>77</v>
      </c>
      <c r="I751" t="s">
        <v>58</v>
      </c>
      <c r="J751" t="s">
        <v>1198</v>
      </c>
      <c r="K751" t="s">
        <v>23</v>
      </c>
      <c r="L751" t="s">
        <v>122</v>
      </c>
      <c r="M751" t="s">
        <v>113</v>
      </c>
      <c r="N751" t="s">
        <v>114</v>
      </c>
      <c r="O751" t="s">
        <v>27</v>
      </c>
      <c r="P751" s="1">
        <v>44790</v>
      </c>
      <c r="Q751">
        <f t="shared" si="55"/>
        <v>0</v>
      </c>
      <c r="R751">
        <f t="shared" si="56"/>
        <v>0</v>
      </c>
      <c r="S751">
        <f t="shared" si="57"/>
        <v>0</v>
      </c>
      <c r="T751" s="11">
        <f t="shared" si="58"/>
        <v>2019</v>
      </c>
      <c r="U751" s="11">
        <f t="shared" si="59"/>
        <v>18623</v>
      </c>
    </row>
    <row r="752" spans="1:21" x14ac:dyDescent="0.3">
      <c r="A752" t="s">
        <v>1300</v>
      </c>
      <c r="B752">
        <v>2020</v>
      </c>
      <c r="C752" t="s">
        <v>17</v>
      </c>
      <c r="D752" t="s">
        <v>32</v>
      </c>
      <c r="E752">
        <v>27189</v>
      </c>
      <c r="F752" t="s">
        <v>207</v>
      </c>
      <c r="G752">
        <v>65100</v>
      </c>
      <c r="H752" t="s">
        <v>77</v>
      </c>
      <c r="I752" t="s">
        <v>78</v>
      </c>
      <c r="J752" t="s">
        <v>277</v>
      </c>
      <c r="K752" t="s">
        <v>23</v>
      </c>
      <c r="L752" t="s">
        <v>543</v>
      </c>
      <c r="M752" t="s">
        <v>544</v>
      </c>
      <c r="N752" t="s">
        <v>545</v>
      </c>
      <c r="O752" t="s">
        <v>27</v>
      </c>
      <c r="P752" s="1">
        <v>44790</v>
      </c>
      <c r="Q752">
        <f t="shared" si="55"/>
        <v>0</v>
      </c>
      <c r="R752">
        <f t="shared" si="56"/>
        <v>0</v>
      </c>
      <c r="S752">
        <f t="shared" si="57"/>
        <v>1</v>
      </c>
      <c r="T752" s="11">
        <f t="shared" si="58"/>
        <v>2020</v>
      </c>
      <c r="U752" s="11">
        <f t="shared" si="59"/>
        <v>27189</v>
      </c>
    </row>
    <row r="753" spans="1:21" x14ac:dyDescent="0.3">
      <c r="A753" t="s">
        <v>1301</v>
      </c>
      <c r="B753">
        <v>2019</v>
      </c>
      <c r="C753" t="s">
        <v>56</v>
      </c>
      <c r="D753" t="s">
        <v>32</v>
      </c>
      <c r="E753">
        <v>34373</v>
      </c>
      <c r="F753" t="s">
        <v>234</v>
      </c>
      <c r="G753">
        <v>49200</v>
      </c>
      <c r="H753" t="s">
        <v>20</v>
      </c>
      <c r="I753" t="s">
        <v>78</v>
      </c>
      <c r="J753" t="s">
        <v>729</v>
      </c>
      <c r="K753" t="s">
        <v>23</v>
      </c>
      <c r="L753" t="s">
        <v>278</v>
      </c>
      <c r="M753" t="s">
        <v>148</v>
      </c>
      <c r="N753" t="s">
        <v>149</v>
      </c>
      <c r="O753" t="s">
        <v>27</v>
      </c>
      <c r="P753" s="1">
        <v>44790</v>
      </c>
      <c r="Q753">
        <f t="shared" si="55"/>
        <v>0</v>
      </c>
      <c r="R753">
        <f t="shared" si="56"/>
        <v>0</v>
      </c>
      <c r="S753">
        <f t="shared" si="57"/>
        <v>0</v>
      </c>
      <c r="T753" s="11">
        <f t="shared" si="58"/>
        <v>2019</v>
      </c>
      <c r="U753" s="11">
        <f t="shared" si="59"/>
        <v>34373</v>
      </c>
    </row>
    <row r="754" spans="1:21" x14ac:dyDescent="0.3">
      <c r="A754" t="s">
        <v>1302</v>
      </c>
      <c r="B754">
        <v>2021</v>
      </c>
      <c r="C754" t="s">
        <v>56</v>
      </c>
      <c r="D754" t="s">
        <v>32</v>
      </c>
      <c r="E754">
        <v>11235</v>
      </c>
      <c r="F754" t="s">
        <v>57</v>
      </c>
      <c r="G754">
        <v>64800</v>
      </c>
      <c r="H754" t="s">
        <v>20</v>
      </c>
      <c r="I754" t="s">
        <v>78</v>
      </c>
      <c r="J754" t="s">
        <v>275</v>
      </c>
      <c r="K754" t="s">
        <v>23</v>
      </c>
      <c r="N754" t="s">
        <v>127</v>
      </c>
      <c r="O754" t="s">
        <v>27</v>
      </c>
      <c r="P754" s="1">
        <v>44790</v>
      </c>
      <c r="Q754">
        <f t="shared" si="55"/>
        <v>0</v>
      </c>
      <c r="R754">
        <f t="shared" si="56"/>
        <v>0</v>
      </c>
      <c r="S754">
        <f t="shared" si="57"/>
        <v>0</v>
      </c>
      <c r="T754" s="11">
        <f t="shared" si="58"/>
        <v>2021</v>
      </c>
      <c r="U754" s="11">
        <f t="shared" si="59"/>
        <v>11235</v>
      </c>
    </row>
    <row r="755" spans="1:21" x14ac:dyDescent="0.3">
      <c r="A755" t="s">
        <v>1303</v>
      </c>
      <c r="B755">
        <v>2019</v>
      </c>
      <c r="C755" t="s">
        <v>56</v>
      </c>
      <c r="D755" t="s">
        <v>32</v>
      </c>
      <c r="E755">
        <v>32945</v>
      </c>
      <c r="F755" t="s">
        <v>57</v>
      </c>
      <c r="G755">
        <v>54700</v>
      </c>
      <c r="H755" t="s">
        <v>77</v>
      </c>
      <c r="I755" t="s">
        <v>58</v>
      </c>
      <c r="J755" t="s">
        <v>411</v>
      </c>
      <c r="K755" t="s">
        <v>23</v>
      </c>
      <c r="N755" t="s">
        <v>127</v>
      </c>
      <c r="O755" t="s">
        <v>27</v>
      </c>
      <c r="P755" s="1">
        <v>44790</v>
      </c>
      <c r="Q755">
        <f t="shared" si="55"/>
        <v>0</v>
      </c>
      <c r="R755">
        <f t="shared" si="56"/>
        <v>0</v>
      </c>
      <c r="S755">
        <f t="shared" si="57"/>
        <v>0</v>
      </c>
      <c r="T755" s="11">
        <f t="shared" si="58"/>
        <v>2019</v>
      </c>
      <c r="U755" s="11">
        <f t="shared" si="59"/>
        <v>32945</v>
      </c>
    </row>
    <row r="756" spans="1:21" x14ac:dyDescent="0.3">
      <c r="A756" t="s">
        <v>1304</v>
      </c>
      <c r="B756">
        <v>2020</v>
      </c>
      <c r="C756" t="s">
        <v>17</v>
      </c>
      <c r="D756" t="s">
        <v>32</v>
      </c>
      <c r="E756">
        <v>30954</v>
      </c>
      <c r="F756" t="s">
        <v>207</v>
      </c>
      <c r="G756">
        <v>66400</v>
      </c>
      <c r="H756" t="s">
        <v>20</v>
      </c>
      <c r="I756" t="s">
        <v>78</v>
      </c>
      <c r="J756" t="s">
        <v>386</v>
      </c>
      <c r="K756" t="s">
        <v>23</v>
      </c>
      <c r="L756" t="s">
        <v>179</v>
      </c>
      <c r="M756" t="s">
        <v>180</v>
      </c>
      <c r="N756" t="s">
        <v>173</v>
      </c>
      <c r="O756" t="s">
        <v>27</v>
      </c>
      <c r="P756" s="1">
        <v>44790</v>
      </c>
      <c r="Q756">
        <f t="shared" si="55"/>
        <v>0</v>
      </c>
      <c r="R756">
        <f t="shared" si="56"/>
        <v>0</v>
      </c>
      <c r="S756">
        <f t="shared" si="57"/>
        <v>1</v>
      </c>
      <c r="T756" s="11">
        <f t="shared" si="58"/>
        <v>2020</v>
      </c>
      <c r="U756" s="11">
        <f t="shared" si="59"/>
        <v>30954</v>
      </c>
    </row>
    <row r="757" spans="1:21" x14ac:dyDescent="0.3">
      <c r="A757" t="s">
        <v>1305</v>
      </c>
      <c r="B757">
        <v>2020</v>
      </c>
      <c r="C757" t="s">
        <v>56</v>
      </c>
      <c r="D757" t="s">
        <v>93</v>
      </c>
      <c r="E757">
        <v>15348</v>
      </c>
      <c r="F757" t="s">
        <v>71</v>
      </c>
      <c r="G757">
        <v>61700</v>
      </c>
      <c r="H757" t="s">
        <v>20</v>
      </c>
      <c r="I757" t="s">
        <v>21</v>
      </c>
      <c r="J757" t="s">
        <v>668</v>
      </c>
      <c r="K757" t="s">
        <v>23</v>
      </c>
      <c r="L757" t="s">
        <v>175</v>
      </c>
      <c r="M757" t="s">
        <v>42</v>
      </c>
      <c r="N757" t="s">
        <v>26</v>
      </c>
      <c r="O757" t="s">
        <v>27</v>
      </c>
      <c r="P757" s="1">
        <v>44790</v>
      </c>
      <c r="Q757">
        <f t="shared" si="55"/>
        <v>0</v>
      </c>
      <c r="R757">
        <f t="shared" si="56"/>
        <v>0</v>
      </c>
      <c r="S757">
        <f t="shared" si="57"/>
        <v>0</v>
      </c>
      <c r="T757" s="11">
        <f t="shared" si="58"/>
        <v>2020</v>
      </c>
      <c r="U757" s="11">
        <f t="shared" si="59"/>
        <v>15348</v>
      </c>
    </row>
    <row r="758" spans="1:21" x14ac:dyDescent="0.3">
      <c r="A758" t="s">
        <v>1306</v>
      </c>
      <c r="B758">
        <v>2019</v>
      </c>
      <c r="C758" t="s">
        <v>56</v>
      </c>
      <c r="D758" t="s">
        <v>53</v>
      </c>
      <c r="E758">
        <v>27179</v>
      </c>
      <c r="F758" t="s">
        <v>65</v>
      </c>
      <c r="G758">
        <v>48200</v>
      </c>
      <c r="H758" t="s">
        <v>20</v>
      </c>
      <c r="I758" t="s">
        <v>58</v>
      </c>
      <c r="J758" t="s">
        <v>66</v>
      </c>
      <c r="K758" t="s">
        <v>23</v>
      </c>
      <c r="L758" t="s">
        <v>163</v>
      </c>
      <c r="M758" t="s">
        <v>164</v>
      </c>
      <c r="N758" t="s">
        <v>26</v>
      </c>
      <c r="O758" t="s">
        <v>27</v>
      </c>
      <c r="P758" s="1">
        <v>44790</v>
      </c>
      <c r="Q758">
        <f t="shared" si="55"/>
        <v>0</v>
      </c>
      <c r="R758">
        <f t="shared" si="56"/>
        <v>0</v>
      </c>
      <c r="S758">
        <f t="shared" si="57"/>
        <v>0</v>
      </c>
      <c r="T758" s="11">
        <f t="shared" si="58"/>
        <v>2019</v>
      </c>
      <c r="U758" s="11">
        <f t="shared" si="59"/>
        <v>27179</v>
      </c>
    </row>
    <row r="759" spans="1:21" x14ac:dyDescent="0.3">
      <c r="A759" t="s">
        <v>1307</v>
      </c>
      <c r="B759">
        <v>2018</v>
      </c>
      <c r="C759" t="s">
        <v>56</v>
      </c>
      <c r="D759" t="s">
        <v>53</v>
      </c>
      <c r="E759">
        <v>38730</v>
      </c>
      <c r="F759" t="s">
        <v>234</v>
      </c>
      <c r="G759">
        <v>48000</v>
      </c>
      <c r="H759" t="s">
        <v>20</v>
      </c>
      <c r="I759" t="s">
        <v>58</v>
      </c>
      <c r="J759" t="s">
        <v>579</v>
      </c>
      <c r="K759" t="s">
        <v>23</v>
      </c>
      <c r="L759" t="s">
        <v>197</v>
      </c>
      <c r="M759" t="s">
        <v>198</v>
      </c>
      <c r="N759" t="s">
        <v>26</v>
      </c>
      <c r="O759" t="s">
        <v>27</v>
      </c>
      <c r="P759" s="1">
        <v>44790</v>
      </c>
      <c r="Q759">
        <f t="shared" si="55"/>
        <v>0</v>
      </c>
      <c r="R759">
        <f t="shared" si="56"/>
        <v>0</v>
      </c>
      <c r="S759">
        <f t="shared" si="57"/>
        <v>0</v>
      </c>
      <c r="T759" s="11">
        <f t="shared" si="58"/>
        <v>2018</v>
      </c>
      <c r="U759" s="11">
        <f t="shared" si="59"/>
        <v>38730</v>
      </c>
    </row>
    <row r="760" spans="1:21" x14ac:dyDescent="0.3">
      <c r="A760" t="s">
        <v>1308</v>
      </c>
      <c r="B760">
        <v>2019</v>
      </c>
      <c r="C760" t="s">
        <v>56</v>
      </c>
      <c r="D760" t="s">
        <v>32</v>
      </c>
      <c r="E760">
        <v>28216</v>
      </c>
      <c r="F760" t="s">
        <v>65</v>
      </c>
      <c r="G760">
        <v>45600</v>
      </c>
      <c r="H760" t="s">
        <v>20</v>
      </c>
      <c r="I760" t="s">
        <v>58</v>
      </c>
      <c r="J760" t="s">
        <v>192</v>
      </c>
      <c r="K760" t="s">
        <v>23</v>
      </c>
      <c r="L760" t="s">
        <v>41</v>
      </c>
      <c r="M760" t="s">
        <v>42</v>
      </c>
      <c r="N760" t="s">
        <v>26</v>
      </c>
      <c r="O760" t="s">
        <v>27</v>
      </c>
      <c r="P760" s="1">
        <v>44790</v>
      </c>
      <c r="Q760">
        <f t="shared" si="55"/>
        <v>0</v>
      </c>
      <c r="R760">
        <f t="shared" si="56"/>
        <v>0</v>
      </c>
      <c r="S760">
        <f t="shared" si="57"/>
        <v>0</v>
      </c>
      <c r="T760" s="11">
        <f t="shared" si="58"/>
        <v>2019</v>
      </c>
      <c r="U760" s="11">
        <f t="shared" si="59"/>
        <v>28216</v>
      </c>
    </row>
    <row r="761" spans="1:21" x14ac:dyDescent="0.3">
      <c r="A761" t="s">
        <v>1309</v>
      </c>
      <c r="B761">
        <v>2018</v>
      </c>
      <c r="C761" t="s">
        <v>37</v>
      </c>
      <c r="D761" t="s">
        <v>53</v>
      </c>
      <c r="E761">
        <v>49253</v>
      </c>
      <c r="F761" t="s">
        <v>52</v>
      </c>
      <c r="G761">
        <v>79500</v>
      </c>
      <c r="H761" t="s">
        <v>53</v>
      </c>
      <c r="I761" t="s">
        <v>78</v>
      </c>
      <c r="J761" t="s">
        <v>1310</v>
      </c>
      <c r="K761" t="s">
        <v>23</v>
      </c>
      <c r="L761" t="s">
        <v>205</v>
      </c>
      <c r="M761" t="s">
        <v>42</v>
      </c>
      <c r="N761" t="s">
        <v>26</v>
      </c>
      <c r="O761" t="s">
        <v>27</v>
      </c>
      <c r="P761" s="1">
        <v>44790</v>
      </c>
      <c r="Q761">
        <f t="shared" si="55"/>
        <v>1</v>
      </c>
      <c r="R761">
        <f t="shared" si="56"/>
        <v>0</v>
      </c>
      <c r="S761">
        <f t="shared" si="57"/>
        <v>0</v>
      </c>
      <c r="T761" s="11">
        <f t="shared" si="58"/>
        <v>2018</v>
      </c>
      <c r="U761" s="11">
        <f t="shared" si="59"/>
        <v>49253</v>
      </c>
    </row>
    <row r="762" spans="1:21" x14ac:dyDescent="0.3">
      <c r="A762" t="s">
        <v>1311</v>
      </c>
      <c r="B762">
        <v>2018</v>
      </c>
      <c r="C762" t="s">
        <v>56</v>
      </c>
      <c r="D762" t="s">
        <v>18</v>
      </c>
      <c r="E762">
        <v>44214</v>
      </c>
      <c r="F762" t="s">
        <v>234</v>
      </c>
      <c r="G762">
        <v>47500</v>
      </c>
      <c r="H762" t="s">
        <v>20</v>
      </c>
      <c r="I762" t="s">
        <v>78</v>
      </c>
      <c r="J762" t="s">
        <v>872</v>
      </c>
      <c r="K762" t="s">
        <v>23</v>
      </c>
      <c r="L762" t="s">
        <v>24</v>
      </c>
      <c r="M762" t="s">
        <v>25</v>
      </c>
      <c r="N762" t="s">
        <v>26</v>
      </c>
      <c r="O762" t="s">
        <v>27</v>
      </c>
      <c r="P762" s="1">
        <v>44790</v>
      </c>
      <c r="Q762">
        <f t="shared" si="55"/>
        <v>0</v>
      </c>
      <c r="R762">
        <f t="shared" si="56"/>
        <v>0</v>
      </c>
      <c r="S762">
        <f t="shared" si="57"/>
        <v>0</v>
      </c>
      <c r="T762" s="11">
        <f t="shared" si="58"/>
        <v>2018</v>
      </c>
      <c r="U762" s="11">
        <f t="shared" si="59"/>
        <v>44214</v>
      </c>
    </row>
    <row r="763" spans="1:21" x14ac:dyDescent="0.3">
      <c r="A763" t="s">
        <v>1312</v>
      </c>
      <c r="B763">
        <v>2019</v>
      </c>
      <c r="C763" t="s">
        <v>56</v>
      </c>
      <c r="D763" t="s">
        <v>32</v>
      </c>
      <c r="E763">
        <v>39669</v>
      </c>
      <c r="F763" t="s">
        <v>65</v>
      </c>
      <c r="G763">
        <v>45300</v>
      </c>
      <c r="H763" t="s">
        <v>20</v>
      </c>
      <c r="I763" t="s">
        <v>58</v>
      </c>
      <c r="J763" t="s">
        <v>192</v>
      </c>
      <c r="K763" t="s">
        <v>23</v>
      </c>
      <c r="L763" t="s">
        <v>24</v>
      </c>
      <c r="M763" t="s">
        <v>25</v>
      </c>
      <c r="N763" t="s">
        <v>26</v>
      </c>
      <c r="O763" t="s">
        <v>27</v>
      </c>
      <c r="P763" s="1">
        <v>44790</v>
      </c>
      <c r="Q763">
        <f t="shared" si="55"/>
        <v>0</v>
      </c>
      <c r="R763">
        <f t="shared" si="56"/>
        <v>0</v>
      </c>
      <c r="S763">
        <f t="shared" si="57"/>
        <v>0</v>
      </c>
      <c r="T763" s="11">
        <f t="shared" si="58"/>
        <v>2019</v>
      </c>
      <c r="U763" s="11">
        <f t="shared" si="59"/>
        <v>39669</v>
      </c>
    </row>
    <row r="764" spans="1:21" x14ac:dyDescent="0.3">
      <c r="A764" t="s">
        <v>1313</v>
      </c>
      <c r="B764">
        <v>2022</v>
      </c>
      <c r="C764" t="s">
        <v>37</v>
      </c>
      <c r="D764" t="s">
        <v>53</v>
      </c>
      <c r="E764">
        <v>7957</v>
      </c>
      <c r="F764" t="s">
        <v>131</v>
      </c>
      <c r="G764">
        <v>119500</v>
      </c>
      <c r="H764" t="s">
        <v>53</v>
      </c>
      <c r="I764" t="s">
        <v>78</v>
      </c>
      <c r="J764" t="s">
        <v>512</v>
      </c>
      <c r="K764" t="s">
        <v>23</v>
      </c>
      <c r="L764" t="s">
        <v>183</v>
      </c>
      <c r="M764" t="s">
        <v>25</v>
      </c>
      <c r="N764" t="s">
        <v>26</v>
      </c>
      <c r="O764" t="s">
        <v>27</v>
      </c>
      <c r="P764" s="1">
        <v>44790</v>
      </c>
      <c r="Q764">
        <f t="shared" si="55"/>
        <v>1</v>
      </c>
      <c r="R764">
        <f t="shared" si="56"/>
        <v>0</v>
      </c>
      <c r="S764">
        <f t="shared" si="57"/>
        <v>0</v>
      </c>
      <c r="T764" s="11">
        <f t="shared" si="58"/>
        <v>2022</v>
      </c>
      <c r="U764" s="11">
        <f t="shared" si="59"/>
        <v>7957</v>
      </c>
    </row>
    <row r="765" spans="1:21" x14ac:dyDescent="0.3">
      <c r="A765" t="s">
        <v>1314</v>
      </c>
      <c r="B765">
        <v>2019</v>
      </c>
      <c r="C765" t="s">
        <v>56</v>
      </c>
      <c r="D765" t="s">
        <v>30</v>
      </c>
      <c r="E765">
        <v>16212</v>
      </c>
      <c r="F765" t="s">
        <v>65</v>
      </c>
      <c r="G765">
        <v>46300</v>
      </c>
      <c r="H765" t="s">
        <v>20</v>
      </c>
      <c r="I765" t="s">
        <v>58</v>
      </c>
      <c r="J765" t="s">
        <v>774</v>
      </c>
      <c r="K765" t="s">
        <v>23</v>
      </c>
      <c r="L765" t="s">
        <v>224</v>
      </c>
      <c r="M765" t="s">
        <v>202</v>
      </c>
      <c r="N765" t="s">
        <v>203</v>
      </c>
      <c r="O765" t="s">
        <v>27</v>
      </c>
      <c r="P765" s="1">
        <v>44790</v>
      </c>
      <c r="Q765">
        <f t="shared" si="55"/>
        <v>0</v>
      </c>
      <c r="R765">
        <f t="shared" si="56"/>
        <v>0</v>
      </c>
      <c r="S765">
        <f t="shared" si="57"/>
        <v>0</v>
      </c>
      <c r="T765" s="11">
        <f t="shared" si="58"/>
        <v>2019</v>
      </c>
      <c r="U765" s="11">
        <f t="shared" si="59"/>
        <v>16212</v>
      </c>
    </row>
    <row r="766" spans="1:21" x14ac:dyDescent="0.3">
      <c r="A766" t="s">
        <v>1315</v>
      </c>
      <c r="B766">
        <v>2021</v>
      </c>
      <c r="C766" t="s">
        <v>17</v>
      </c>
      <c r="D766" t="s">
        <v>30</v>
      </c>
      <c r="E766">
        <v>31893</v>
      </c>
      <c r="F766" t="s">
        <v>19</v>
      </c>
      <c r="G766">
        <v>79300</v>
      </c>
      <c r="H766" t="s">
        <v>20</v>
      </c>
      <c r="I766" t="s">
        <v>21</v>
      </c>
      <c r="J766" t="s">
        <v>1316</v>
      </c>
      <c r="K766" t="s">
        <v>23</v>
      </c>
      <c r="L766" t="s">
        <v>129</v>
      </c>
      <c r="M766" t="s">
        <v>113</v>
      </c>
      <c r="N766" t="s">
        <v>114</v>
      </c>
      <c r="O766" t="s">
        <v>27</v>
      </c>
      <c r="P766" s="1">
        <v>44790</v>
      </c>
      <c r="Q766">
        <f t="shared" si="55"/>
        <v>0</v>
      </c>
      <c r="R766">
        <f t="shared" si="56"/>
        <v>0</v>
      </c>
      <c r="S766">
        <f t="shared" si="57"/>
        <v>1</v>
      </c>
      <c r="T766" s="11">
        <f t="shared" si="58"/>
        <v>2021</v>
      </c>
      <c r="U766" s="11">
        <f t="shared" si="59"/>
        <v>31893</v>
      </c>
    </row>
    <row r="767" spans="1:21" x14ac:dyDescent="0.3">
      <c r="A767" t="s">
        <v>1317</v>
      </c>
      <c r="B767">
        <v>2021</v>
      </c>
      <c r="C767" t="s">
        <v>56</v>
      </c>
      <c r="D767" t="s">
        <v>32</v>
      </c>
      <c r="E767">
        <v>21093</v>
      </c>
      <c r="F767" t="s">
        <v>366</v>
      </c>
      <c r="G767">
        <v>55400</v>
      </c>
      <c r="H767" t="s">
        <v>77</v>
      </c>
      <c r="I767" t="s">
        <v>58</v>
      </c>
      <c r="J767" t="s">
        <v>266</v>
      </c>
      <c r="K767" t="s">
        <v>23</v>
      </c>
      <c r="L767" t="s">
        <v>494</v>
      </c>
      <c r="M767" t="s">
        <v>113</v>
      </c>
      <c r="N767" t="s">
        <v>114</v>
      </c>
      <c r="O767" t="s">
        <v>27</v>
      </c>
      <c r="P767" s="1">
        <v>44790</v>
      </c>
      <c r="Q767">
        <f t="shared" si="55"/>
        <v>0</v>
      </c>
      <c r="R767">
        <f t="shared" si="56"/>
        <v>0</v>
      </c>
      <c r="S767">
        <f t="shared" si="57"/>
        <v>0</v>
      </c>
      <c r="T767" s="11">
        <f t="shared" si="58"/>
        <v>2021</v>
      </c>
      <c r="U767" s="11">
        <f t="shared" si="59"/>
        <v>21093</v>
      </c>
    </row>
    <row r="768" spans="1:21" x14ac:dyDescent="0.3">
      <c r="A768" t="s">
        <v>1318</v>
      </c>
      <c r="B768">
        <v>2021</v>
      </c>
      <c r="C768" t="s">
        <v>17</v>
      </c>
      <c r="D768" t="s">
        <v>53</v>
      </c>
      <c r="E768">
        <v>18646</v>
      </c>
      <c r="F768" t="s">
        <v>19</v>
      </c>
      <c r="G768">
        <v>73600</v>
      </c>
      <c r="H768" t="s">
        <v>77</v>
      </c>
      <c r="I768" t="s">
        <v>21</v>
      </c>
      <c r="J768" t="s">
        <v>422</v>
      </c>
      <c r="K768" t="s">
        <v>23</v>
      </c>
      <c r="N768" t="s">
        <v>127</v>
      </c>
      <c r="O768" t="s">
        <v>27</v>
      </c>
      <c r="P768" s="1">
        <v>44790</v>
      </c>
      <c r="Q768">
        <f t="shared" si="55"/>
        <v>0</v>
      </c>
      <c r="R768">
        <f t="shared" si="56"/>
        <v>0</v>
      </c>
      <c r="S768">
        <f t="shared" si="57"/>
        <v>1</v>
      </c>
      <c r="T768" s="11">
        <f t="shared" si="58"/>
        <v>2021</v>
      </c>
      <c r="U768" s="11">
        <f t="shared" si="59"/>
        <v>18646</v>
      </c>
    </row>
    <row r="769" spans="1:21" x14ac:dyDescent="0.3">
      <c r="A769" t="s">
        <v>1319</v>
      </c>
      <c r="B769">
        <v>2019</v>
      </c>
      <c r="C769" t="s">
        <v>56</v>
      </c>
      <c r="D769" t="s">
        <v>53</v>
      </c>
      <c r="E769">
        <v>30856</v>
      </c>
      <c r="F769" t="s">
        <v>65</v>
      </c>
      <c r="G769">
        <v>47200</v>
      </c>
      <c r="H769" t="s">
        <v>20</v>
      </c>
      <c r="I769" t="s">
        <v>58</v>
      </c>
      <c r="J769" t="s">
        <v>66</v>
      </c>
      <c r="K769" t="s">
        <v>23</v>
      </c>
      <c r="N769" t="s">
        <v>127</v>
      </c>
      <c r="O769" t="s">
        <v>27</v>
      </c>
      <c r="P769" s="1">
        <v>44790</v>
      </c>
      <c r="Q769">
        <f t="shared" si="55"/>
        <v>0</v>
      </c>
      <c r="R769">
        <f t="shared" si="56"/>
        <v>0</v>
      </c>
      <c r="S769">
        <f t="shared" si="57"/>
        <v>0</v>
      </c>
      <c r="T769" s="11">
        <f t="shared" si="58"/>
        <v>2019</v>
      </c>
      <c r="U769" s="11">
        <f t="shared" si="59"/>
        <v>30856</v>
      </c>
    </row>
    <row r="770" spans="1:21" x14ac:dyDescent="0.3">
      <c r="A770" t="s">
        <v>1320</v>
      </c>
      <c r="B770">
        <v>2020</v>
      </c>
      <c r="C770" t="s">
        <v>17</v>
      </c>
      <c r="D770" t="s">
        <v>32</v>
      </c>
      <c r="E770">
        <v>40451</v>
      </c>
      <c r="F770" t="s">
        <v>156</v>
      </c>
      <c r="G770">
        <v>69300</v>
      </c>
      <c r="H770" t="s">
        <v>20</v>
      </c>
      <c r="I770" t="s">
        <v>39</v>
      </c>
      <c r="J770" t="s">
        <v>1253</v>
      </c>
      <c r="K770" t="s">
        <v>23</v>
      </c>
      <c r="L770" t="s">
        <v>137</v>
      </c>
      <c r="M770" t="s">
        <v>138</v>
      </c>
      <c r="N770" t="s">
        <v>139</v>
      </c>
      <c r="O770" t="s">
        <v>27</v>
      </c>
      <c r="P770" s="1">
        <v>44790</v>
      </c>
      <c r="Q770">
        <f t="shared" ref="Q770:Q833" si="60">--(C770="ms")</f>
        <v>0</v>
      </c>
      <c r="R770">
        <f t="shared" ref="R770:R833" si="61">--(C770="mx")</f>
        <v>0</v>
      </c>
      <c r="S770">
        <f t="shared" ref="S770:S833" si="62">--(C770="my")</f>
        <v>1</v>
      </c>
      <c r="T770" s="11">
        <f t="shared" ref="T770:T833" si="63">B770</f>
        <v>2020</v>
      </c>
      <c r="U770" s="11">
        <f t="shared" ref="U770:U833" si="64">E770</f>
        <v>40451</v>
      </c>
    </row>
    <row r="771" spans="1:21" x14ac:dyDescent="0.3">
      <c r="A771" t="s">
        <v>1321</v>
      </c>
      <c r="B771">
        <v>2021</v>
      </c>
      <c r="C771" t="s">
        <v>17</v>
      </c>
      <c r="D771" t="s">
        <v>53</v>
      </c>
      <c r="E771">
        <v>18430</v>
      </c>
      <c r="F771" t="s">
        <v>189</v>
      </c>
      <c r="G771">
        <v>82600</v>
      </c>
      <c r="H771" t="s">
        <v>20</v>
      </c>
      <c r="I771" t="s">
        <v>39</v>
      </c>
      <c r="J771" t="s">
        <v>538</v>
      </c>
      <c r="K771" t="s">
        <v>23</v>
      </c>
      <c r="L771" t="s">
        <v>330</v>
      </c>
      <c r="M771" t="s">
        <v>42</v>
      </c>
      <c r="N771" t="s">
        <v>26</v>
      </c>
      <c r="O771" t="s">
        <v>27</v>
      </c>
      <c r="P771" s="1">
        <v>44790</v>
      </c>
      <c r="Q771">
        <f t="shared" si="60"/>
        <v>0</v>
      </c>
      <c r="R771">
        <f t="shared" si="61"/>
        <v>0</v>
      </c>
      <c r="S771">
        <f t="shared" si="62"/>
        <v>1</v>
      </c>
      <c r="T771" s="11">
        <f t="shared" si="63"/>
        <v>2021</v>
      </c>
      <c r="U771" s="11">
        <f t="shared" si="64"/>
        <v>18430</v>
      </c>
    </row>
    <row r="772" spans="1:21" x14ac:dyDescent="0.3">
      <c r="A772" t="s">
        <v>1322</v>
      </c>
      <c r="B772">
        <v>2020</v>
      </c>
      <c r="C772" t="s">
        <v>29</v>
      </c>
      <c r="D772" t="s">
        <v>32</v>
      </c>
      <c r="E772">
        <v>28834</v>
      </c>
      <c r="F772" t="s">
        <v>31</v>
      </c>
      <c r="G772">
        <v>102500</v>
      </c>
      <c r="H772" t="s">
        <v>53</v>
      </c>
      <c r="I772" t="s">
        <v>21</v>
      </c>
      <c r="J772" t="s">
        <v>645</v>
      </c>
      <c r="K772" t="s">
        <v>23</v>
      </c>
      <c r="L772" t="s">
        <v>197</v>
      </c>
      <c r="M772" t="s">
        <v>198</v>
      </c>
      <c r="N772" t="s">
        <v>26</v>
      </c>
      <c r="O772" t="s">
        <v>27</v>
      </c>
      <c r="P772" s="1">
        <v>44790</v>
      </c>
      <c r="Q772">
        <f t="shared" si="60"/>
        <v>0</v>
      </c>
      <c r="R772">
        <f t="shared" si="61"/>
        <v>1</v>
      </c>
      <c r="S772">
        <f t="shared" si="62"/>
        <v>0</v>
      </c>
      <c r="T772" s="11">
        <f t="shared" si="63"/>
        <v>2020</v>
      </c>
      <c r="U772" s="11">
        <f t="shared" si="64"/>
        <v>28834</v>
      </c>
    </row>
    <row r="773" spans="1:21" x14ac:dyDescent="0.3">
      <c r="A773" t="s">
        <v>1323</v>
      </c>
      <c r="B773">
        <v>2020</v>
      </c>
      <c r="C773" t="s">
        <v>56</v>
      </c>
      <c r="D773" t="s">
        <v>53</v>
      </c>
      <c r="E773">
        <v>6466</v>
      </c>
      <c r="F773" t="s">
        <v>71</v>
      </c>
      <c r="G773">
        <v>63200</v>
      </c>
      <c r="H773" t="s">
        <v>77</v>
      </c>
      <c r="I773" t="s">
        <v>21</v>
      </c>
      <c r="J773" t="s">
        <v>1324</v>
      </c>
      <c r="K773" t="s">
        <v>23</v>
      </c>
      <c r="L773" t="s">
        <v>163</v>
      </c>
      <c r="M773" t="s">
        <v>164</v>
      </c>
      <c r="N773" t="s">
        <v>26</v>
      </c>
      <c r="O773" t="s">
        <v>27</v>
      </c>
      <c r="P773" s="1">
        <v>44790</v>
      </c>
      <c r="Q773">
        <f t="shared" si="60"/>
        <v>0</v>
      </c>
      <c r="R773">
        <f t="shared" si="61"/>
        <v>0</v>
      </c>
      <c r="S773">
        <f t="shared" si="62"/>
        <v>0</v>
      </c>
      <c r="T773" s="11">
        <f t="shared" si="63"/>
        <v>2020</v>
      </c>
      <c r="U773" s="11">
        <f t="shared" si="64"/>
        <v>6466</v>
      </c>
    </row>
    <row r="774" spans="1:21" x14ac:dyDescent="0.3">
      <c r="A774" t="s">
        <v>1325</v>
      </c>
      <c r="B774">
        <v>2020</v>
      </c>
      <c r="C774" t="s">
        <v>56</v>
      </c>
      <c r="D774" t="s">
        <v>93</v>
      </c>
      <c r="E774">
        <v>31757</v>
      </c>
      <c r="F774" t="s">
        <v>71</v>
      </c>
      <c r="G774">
        <v>58400</v>
      </c>
      <c r="H774" t="s">
        <v>20</v>
      </c>
      <c r="I774" t="s">
        <v>21</v>
      </c>
      <c r="J774" t="s">
        <v>668</v>
      </c>
      <c r="K774" t="s">
        <v>23</v>
      </c>
      <c r="L774" t="s">
        <v>197</v>
      </c>
      <c r="M774" t="s">
        <v>198</v>
      </c>
      <c r="N774" t="s">
        <v>26</v>
      </c>
      <c r="O774" t="s">
        <v>27</v>
      </c>
      <c r="P774" s="1">
        <v>44790</v>
      </c>
      <c r="Q774">
        <f t="shared" si="60"/>
        <v>0</v>
      </c>
      <c r="R774">
        <f t="shared" si="61"/>
        <v>0</v>
      </c>
      <c r="S774">
        <f t="shared" si="62"/>
        <v>0</v>
      </c>
      <c r="T774" s="11">
        <f t="shared" si="63"/>
        <v>2020</v>
      </c>
      <c r="U774" s="11">
        <f t="shared" si="64"/>
        <v>31757</v>
      </c>
    </row>
    <row r="775" spans="1:21" x14ac:dyDescent="0.3">
      <c r="A775" t="s">
        <v>1326</v>
      </c>
      <c r="B775">
        <v>2019</v>
      </c>
      <c r="C775" t="s">
        <v>56</v>
      </c>
      <c r="D775" t="s">
        <v>32</v>
      </c>
      <c r="E775">
        <v>39899</v>
      </c>
      <c r="F775" t="s">
        <v>57</v>
      </c>
      <c r="G775">
        <v>54600</v>
      </c>
      <c r="H775" t="s">
        <v>77</v>
      </c>
      <c r="I775" t="s">
        <v>78</v>
      </c>
      <c r="J775" t="s">
        <v>650</v>
      </c>
      <c r="K775" t="s">
        <v>23</v>
      </c>
      <c r="L775" t="s">
        <v>163</v>
      </c>
      <c r="M775" t="s">
        <v>164</v>
      </c>
      <c r="N775" t="s">
        <v>26</v>
      </c>
      <c r="O775" t="s">
        <v>27</v>
      </c>
      <c r="P775" s="1">
        <v>44790</v>
      </c>
      <c r="Q775">
        <f t="shared" si="60"/>
        <v>0</v>
      </c>
      <c r="R775">
        <f t="shared" si="61"/>
        <v>0</v>
      </c>
      <c r="S775">
        <f t="shared" si="62"/>
        <v>0</v>
      </c>
      <c r="T775" s="11">
        <f t="shared" si="63"/>
        <v>2019</v>
      </c>
      <c r="U775" s="11">
        <f t="shared" si="64"/>
        <v>39899</v>
      </c>
    </row>
    <row r="776" spans="1:21" x14ac:dyDescent="0.3">
      <c r="A776" t="s">
        <v>1327</v>
      </c>
      <c r="B776">
        <v>2018</v>
      </c>
      <c r="C776" t="s">
        <v>56</v>
      </c>
      <c r="D776" t="s">
        <v>53</v>
      </c>
      <c r="E776">
        <v>76048</v>
      </c>
      <c r="F776" t="s">
        <v>234</v>
      </c>
      <c r="G776">
        <v>45900</v>
      </c>
      <c r="H776" t="s">
        <v>20</v>
      </c>
      <c r="I776" t="s">
        <v>78</v>
      </c>
      <c r="J776" t="s">
        <v>403</v>
      </c>
      <c r="K776" t="s">
        <v>23</v>
      </c>
      <c r="L776" t="s">
        <v>513</v>
      </c>
      <c r="M776" t="s">
        <v>42</v>
      </c>
      <c r="N776" t="s">
        <v>26</v>
      </c>
      <c r="O776" t="s">
        <v>27</v>
      </c>
      <c r="P776" s="1">
        <v>44790</v>
      </c>
      <c r="Q776">
        <f t="shared" si="60"/>
        <v>0</v>
      </c>
      <c r="R776">
        <f t="shared" si="61"/>
        <v>0</v>
      </c>
      <c r="S776">
        <f t="shared" si="62"/>
        <v>0</v>
      </c>
      <c r="T776" s="11">
        <f t="shared" si="63"/>
        <v>2018</v>
      </c>
      <c r="U776" s="11">
        <f t="shared" si="64"/>
        <v>76048</v>
      </c>
    </row>
    <row r="777" spans="1:21" x14ac:dyDescent="0.3">
      <c r="A777" t="s">
        <v>1328</v>
      </c>
      <c r="B777">
        <v>2021</v>
      </c>
      <c r="C777" t="s">
        <v>37</v>
      </c>
      <c r="D777" t="s">
        <v>30</v>
      </c>
      <c r="E777">
        <v>12370</v>
      </c>
      <c r="F777" t="s">
        <v>131</v>
      </c>
      <c r="G777">
        <v>113600</v>
      </c>
      <c r="H777" t="s">
        <v>53</v>
      </c>
      <c r="I777" t="s">
        <v>39</v>
      </c>
      <c r="J777" t="s">
        <v>560</v>
      </c>
      <c r="K777" t="s">
        <v>23</v>
      </c>
      <c r="L777" t="s">
        <v>876</v>
      </c>
      <c r="M777" t="s">
        <v>220</v>
      </c>
      <c r="N777" t="s">
        <v>221</v>
      </c>
      <c r="O777" t="s">
        <v>27</v>
      </c>
      <c r="P777" s="1">
        <v>44790</v>
      </c>
      <c r="Q777">
        <f t="shared" si="60"/>
        <v>1</v>
      </c>
      <c r="R777">
        <f t="shared" si="61"/>
        <v>0</v>
      </c>
      <c r="S777">
        <f t="shared" si="62"/>
        <v>0</v>
      </c>
      <c r="T777" s="11">
        <f t="shared" si="63"/>
        <v>2021</v>
      </c>
      <c r="U777" s="11">
        <f t="shared" si="64"/>
        <v>12370</v>
      </c>
    </row>
    <row r="778" spans="1:21" x14ac:dyDescent="0.3">
      <c r="A778" t="s">
        <v>1329</v>
      </c>
      <c r="B778">
        <v>2021</v>
      </c>
      <c r="C778" t="s">
        <v>56</v>
      </c>
      <c r="D778" t="s">
        <v>32</v>
      </c>
      <c r="E778">
        <v>10693</v>
      </c>
      <c r="F778" t="s">
        <v>57</v>
      </c>
      <c r="G778">
        <v>66100</v>
      </c>
      <c r="H778" t="s">
        <v>20</v>
      </c>
      <c r="I778" t="s">
        <v>58</v>
      </c>
      <c r="J778" t="s">
        <v>168</v>
      </c>
      <c r="K778" t="s">
        <v>23</v>
      </c>
      <c r="L778" t="s">
        <v>34</v>
      </c>
      <c r="N778" t="s">
        <v>35</v>
      </c>
      <c r="O778" t="s">
        <v>27</v>
      </c>
      <c r="P778" s="1">
        <v>44790</v>
      </c>
      <c r="Q778">
        <f t="shared" si="60"/>
        <v>0</v>
      </c>
      <c r="R778">
        <f t="shared" si="61"/>
        <v>0</v>
      </c>
      <c r="S778">
        <f t="shared" si="62"/>
        <v>0</v>
      </c>
      <c r="T778" s="11">
        <f t="shared" si="63"/>
        <v>2021</v>
      </c>
      <c r="U778" s="11">
        <f t="shared" si="64"/>
        <v>10693</v>
      </c>
    </row>
    <row r="779" spans="1:21" x14ac:dyDescent="0.3">
      <c r="A779" t="s">
        <v>1330</v>
      </c>
      <c r="B779">
        <v>2019</v>
      </c>
      <c r="C779" t="s">
        <v>56</v>
      </c>
      <c r="D779" t="s">
        <v>53</v>
      </c>
      <c r="E779">
        <v>56456</v>
      </c>
      <c r="F779" t="s">
        <v>71</v>
      </c>
      <c r="G779">
        <v>57100</v>
      </c>
      <c r="H779" t="s">
        <v>20</v>
      </c>
      <c r="I779" t="s">
        <v>21</v>
      </c>
      <c r="J779" t="s">
        <v>376</v>
      </c>
      <c r="K779" t="s">
        <v>23</v>
      </c>
      <c r="L779" t="s">
        <v>34</v>
      </c>
      <c r="N779" t="s">
        <v>35</v>
      </c>
      <c r="O779" t="s">
        <v>27</v>
      </c>
      <c r="P779" s="1">
        <v>44790</v>
      </c>
      <c r="Q779">
        <f t="shared" si="60"/>
        <v>0</v>
      </c>
      <c r="R779">
        <f t="shared" si="61"/>
        <v>0</v>
      </c>
      <c r="S779">
        <f t="shared" si="62"/>
        <v>0</v>
      </c>
      <c r="T779" s="11">
        <f t="shared" si="63"/>
        <v>2019</v>
      </c>
      <c r="U779" s="11">
        <f t="shared" si="64"/>
        <v>56456</v>
      </c>
    </row>
    <row r="780" spans="1:21" x14ac:dyDescent="0.3">
      <c r="A780" t="s">
        <v>1331</v>
      </c>
      <c r="B780">
        <v>2019</v>
      </c>
      <c r="C780" t="s">
        <v>56</v>
      </c>
      <c r="D780" t="s">
        <v>76</v>
      </c>
      <c r="E780">
        <v>23308</v>
      </c>
      <c r="F780" t="s">
        <v>57</v>
      </c>
      <c r="G780">
        <v>54700</v>
      </c>
      <c r="H780" t="s">
        <v>20</v>
      </c>
      <c r="I780" t="s">
        <v>58</v>
      </c>
      <c r="J780" t="s">
        <v>979</v>
      </c>
      <c r="K780" t="s">
        <v>23</v>
      </c>
      <c r="L780" t="s">
        <v>34</v>
      </c>
      <c r="N780" t="s">
        <v>35</v>
      </c>
      <c r="O780" t="s">
        <v>27</v>
      </c>
      <c r="P780" s="1">
        <v>44790</v>
      </c>
      <c r="Q780">
        <f t="shared" si="60"/>
        <v>0</v>
      </c>
      <c r="R780">
        <f t="shared" si="61"/>
        <v>0</v>
      </c>
      <c r="S780">
        <f t="shared" si="62"/>
        <v>0</v>
      </c>
      <c r="T780" s="11">
        <f t="shared" si="63"/>
        <v>2019</v>
      </c>
      <c r="U780" s="11">
        <f t="shared" si="64"/>
        <v>23308</v>
      </c>
    </row>
    <row r="781" spans="1:21" x14ac:dyDescent="0.3">
      <c r="A781" t="s">
        <v>1332</v>
      </c>
      <c r="B781">
        <v>2018</v>
      </c>
      <c r="C781" t="s">
        <v>37</v>
      </c>
      <c r="D781" t="s">
        <v>51</v>
      </c>
      <c r="E781">
        <v>54463</v>
      </c>
      <c r="F781" t="s">
        <v>52</v>
      </c>
      <c r="G781">
        <v>72400</v>
      </c>
      <c r="H781" t="s">
        <v>53</v>
      </c>
      <c r="I781" t="s">
        <v>78</v>
      </c>
      <c r="J781" t="s">
        <v>1333</v>
      </c>
      <c r="K781" t="s">
        <v>23</v>
      </c>
      <c r="L781" t="s">
        <v>175</v>
      </c>
      <c r="M781" t="s">
        <v>42</v>
      </c>
      <c r="N781" t="s">
        <v>26</v>
      </c>
      <c r="O781" t="s">
        <v>27</v>
      </c>
      <c r="P781" s="1">
        <v>44789</v>
      </c>
      <c r="Q781">
        <f t="shared" si="60"/>
        <v>1</v>
      </c>
      <c r="R781">
        <f t="shared" si="61"/>
        <v>0</v>
      </c>
      <c r="S781">
        <f t="shared" si="62"/>
        <v>0</v>
      </c>
      <c r="T781" s="11">
        <f t="shared" si="63"/>
        <v>2018</v>
      </c>
      <c r="U781" s="11">
        <f t="shared" si="64"/>
        <v>54463</v>
      </c>
    </row>
    <row r="782" spans="1:21" x14ac:dyDescent="0.3">
      <c r="A782" t="s">
        <v>1334</v>
      </c>
      <c r="B782">
        <v>2019</v>
      </c>
      <c r="C782" t="s">
        <v>56</v>
      </c>
      <c r="D782" t="s">
        <v>93</v>
      </c>
      <c r="E782">
        <v>23503</v>
      </c>
      <c r="F782" t="s">
        <v>234</v>
      </c>
      <c r="G782">
        <v>53500</v>
      </c>
      <c r="H782" t="s">
        <v>20</v>
      </c>
      <c r="I782" t="s">
        <v>78</v>
      </c>
      <c r="J782" t="s">
        <v>290</v>
      </c>
      <c r="K782" t="s">
        <v>23</v>
      </c>
      <c r="N782" t="s">
        <v>127</v>
      </c>
      <c r="O782" t="s">
        <v>27</v>
      </c>
      <c r="P782" s="1">
        <v>44789</v>
      </c>
      <c r="Q782">
        <f t="shared" si="60"/>
        <v>0</v>
      </c>
      <c r="R782">
        <f t="shared" si="61"/>
        <v>0</v>
      </c>
      <c r="S782">
        <f t="shared" si="62"/>
        <v>0</v>
      </c>
      <c r="T782" s="11">
        <f t="shared" si="63"/>
        <v>2019</v>
      </c>
      <c r="U782" s="11">
        <f t="shared" si="64"/>
        <v>23503</v>
      </c>
    </row>
    <row r="783" spans="1:21" x14ac:dyDescent="0.3">
      <c r="A783" t="s">
        <v>1335</v>
      </c>
      <c r="B783">
        <v>2018</v>
      </c>
      <c r="C783" t="s">
        <v>56</v>
      </c>
      <c r="D783" t="s">
        <v>53</v>
      </c>
      <c r="E783">
        <v>28472</v>
      </c>
      <c r="F783" t="s">
        <v>57</v>
      </c>
      <c r="G783">
        <v>51300</v>
      </c>
      <c r="H783" t="s">
        <v>77</v>
      </c>
      <c r="I783" t="s">
        <v>58</v>
      </c>
      <c r="J783" t="s">
        <v>770</v>
      </c>
      <c r="K783" t="s">
        <v>23</v>
      </c>
      <c r="L783" t="s">
        <v>175</v>
      </c>
      <c r="M783" t="s">
        <v>42</v>
      </c>
      <c r="N783" t="s">
        <v>26</v>
      </c>
      <c r="O783" t="s">
        <v>27</v>
      </c>
      <c r="P783" s="1">
        <v>44789</v>
      </c>
      <c r="Q783">
        <f t="shared" si="60"/>
        <v>0</v>
      </c>
      <c r="R783">
        <f t="shared" si="61"/>
        <v>0</v>
      </c>
      <c r="S783">
        <f t="shared" si="62"/>
        <v>0</v>
      </c>
      <c r="T783" s="11">
        <f t="shared" si="63"/>
        <v>2018</v>
      </c>
      <c r="U783" s="11">
        <f t="shared" si="64"/>
        <v>28472</v>
      </c>
    </row>
    <row r="784" spans="1:21" x14ac:dyDescent="0.3">
      <c r="A784" t="s">
        <v>1336</v>
      </c>
      <c r="B784">
        <v>2020</v>
      </c>
      <c r="C784" t="s">
        <v>56</v>
      </c>
      <c r="D784" t="s">
        <v>32</v>
      </c>
      <c r="E784">
        <v>26179</v>
      </c>
      <c r="F784" t="s">
        <v>71</v>
      </c>
      <c r="G784">
        <v>63900</v>
      </c>
      <c r="H784" t="s">
        <v>20</v>
      </c>
      <c r="I784" t="s">
        <v>21</v>
      </c>
      <c r="J784" t="s">
        <v>449</v>
      </c>
      <c r="K784" t="s">
        <v>23</v>
      </c>
      <c r="N784" t="s">
        <v>127</v>
      </c>
      <c r="O784" t="s">
        <v>27</v>
      </c>
      <c r="P784" s="1">
        <v>44789</v>
      </c>
      <c r="Q784">
        <f t="shared" si="60"/>
        <v>0</v>
      </c>
      <c r="R784">
        <f t="shared" si="61"/>
        <v>0</v>
      </c>
      <c r="S784">
        <f t="shared" si="62"/>
        <v>0</v>
      </c>
      <c r="T784" s="11">
        <f t="shared" si="63"/>
        <v>2020</v>
      </c>
      <c r="U784" s="11">
        <f t="shared" si="64"/>
        <v>26179</v>
      </c>
    </row>
    <row r="785" spans="1:21" x14ac:dyDescent="0.3">
      <c r="A785" t="s">
        <v>1337</v>
      </c>
      <c r="B785">
        <v>2019</v>
      </c>
      <c r="C785" t="s">
        <v>56</v>
      </c>
      <c r="D785" t="s">
        <v>30</v>
      </c>
      <c r="E785">
        <v>21947</v>
      </c>
      <c r="F785" t="s">
        <v>234</v>
      </c>
      <c r="G785">
        <v>54000</v>
      </c>
      <c r="H785" t="s">
        <v>20</v>
      </c>
      <c r="I785" t="s">
        <v>78</v>
      </c>
      <c r="J785" t="s">
        <v>699</v>
      </c>
      <c r="K785" t="s">
        <v>23</v>
      </c>
      <c r="L785" t="s">
        <v>163</v>
      </c>
      <c r="M785" t="s">
        <v>164</v>
      </c>
      <c r="N785" t="s">
        <v>26</v>
      </c>
      <c r="O785" t="s">
        <v>27</v>
      </c>
      <c r="P785" s="1">
        <v>44789</v>
      </c>
      <c r="Q785">
        <f t="shared" si="60"/>
        <v>0</v>
      </c>
      <c r="R785">
        <f t="shared" si="61"/>
        <v>0</v>
      </c>
      <c r="S785">
        <f t="shared" si="62"/>
        <v>0</v>
      </c>
      <c r="T785" s="11">
        <f t="shared" si="63"/>
        <v>2019</v>
      </c>
      <c r="U785" s="11">
        <f t="shared" si="64"/>
        <v>21947</v>
      </c>
    </row>
    <row r="786" spans="1:21" x14ac:dyDescent="0.3">
      <c r="A786" t="s">
        <v>1338</v>
      </c>
      <c r="B786">
        <v>2022</v>
      </c>
      <c r="C786" t="s">
        <v>17</v>
      </c>
      <c r="D786" t="s">
        <v>18</v>
      </c>
      <c r="E786">
        <v>3631</v>
      </c>
      <c r="F786" t="s">
        <v>19</v>
      </c>
      <c r="G786">
        <v>79200</v>
      </c>
      <c r="H786" t="s">
        <v>20</v>
      </c>
      <c r="I786" t="s">
        <v>78</v>
      </c>
      <c r="J786" t="s">
        <v>881</v>
      </c>
      <c r="K786" t="s">
        <v>23</v>
      </c>
      <c r="N786" t="s">
        <v>127</v>
      </c>
      <c r="O786" t="s">
        <v>27</v>
      </c>
      <c r="P786" s="1">
        <v>44789</v>
      </c>
      <c r="Q786">
        <f t="shared" si="60"/>
        <v>0</v>
      </c>
      <c r="R786">
        <f t="shared" si="61"/>
        <v>0</v>
      </c>
      <c r="S786">
        <f t="shared" si="62"/>
        <v>1</v>
      </c>
      <c r="T786" s="11">
        <f t="shared" si="63"/>
        <v>2022</v>
      </c>
      <c r="U786" s="11">
        <f t="shared" si="64"/>
        <v>3631</v>
      </c>
    </row>
    <row r="787" spans="1:21" x14ac:dyDescent="0.3">
      <c r="A787" t="s">
        <v>1339</v>
      </c>
      <c r="B787">
        <v>2020</v>
      </c>
      <c r="C787" t="s">
        <v>56</v>
      </c>
      <c r="D787" t="s">
        <v>32</v>
      </c>
      <c r="E787">
        <v>14475</v>
      </c>
      <c r="F787" t="s">
        <v>71</v>
      </c>
      <c r="G787">
        <v>69200</v>
      </c>
      <c r="H787" t="s">
        <v>77</v>
      </c>
      <c r="I787" t="s">
        <v>21</v>
      </c>
      <c r="J787" t="s">
        <v>1340</v>
      </c>
      <c r="K787" t="s">
        <v>23</v>
      </c>
      <c r="L787" t="s">
        <v>163</v>
      </c>
      <c r="M787" t="s">
        <v>164</v>
      </c>
      <c r="N787" t="s">
        <v>26</v>
      </c>
      <c r="O787" t="s">
        <v>27</v>
      </c>
      <c r="P787" s="1">
        <v>44789</v>
      </c>
      <c r="Q787">
        <f t="shared" si="60"/>
        <v>0</v>
      </c>
      <c r="R787">
        <f t="shared" si="61"/>
        <v>0</v>
      </c>
      <c r="S787">
        <f t="shared" si="62"/>
        <v>0</v>
      </c>
      <c r="T787" s="11">
        <f t="shared" si="63"/>
        <v>2020</v>
      </c>
      <c r="U787" s="11">
        <f t="shared" si="64"/>
        <v>14475</v>
      </c>
    </row>
    <row r="788" spans="1:21" x14ac:dyDescent="0.3">
      <c r="A788" t="s">
        <v>1341</v>
      </c>
      <c r="B788">
        <v>2018</v>
      </c>
      <c r="C788" t="s">
        <v>29</v>
      </c>
      <c r="D788" t="s">
        <v>30</v>
      </c>
      <c r="E788">
        <v>21504</v>
      </c>
      <c r="F788" t="s">
        <v>52</v>
      </c>
      <c r="G788">
        <v>81200</v>
      </c>
      <c r="H788" t="s">
        <v>32</v>
      </c>
      <c r="I788" t="s">
        <v>21</v>
      </c>
      <c r="J788" t="s">
        <v>1342</v>
      </c>
      <c r="K788" t="s">
        <v>23</v>
      </c>
      <c r="L788" t="s">
        <v>278</v>
      </c>
      <c r="M788" t="s">
        <v>148</v>
      </c>
      <c r="N788" t="s">
        <v>149</v>
      </c>
      <c r="O788" t="s">
        <v>27</v>
      </c>
      <c r="P788" s="1">
        <v>44789</v>
      </c>
      <c r="Q788">
        <f t="shared" si="60"/>
        <v>0</v>
      </c>
      <c r="R788">
        <f t="shared" si="61"/>
        <v>1</v>
      </c>
      <c r="S788">
        <f t="shared" si="62"/>
        <v>0</v>
      </c>
      <c r="T788" s="11">
        <f t="shared" si="63"/>
        <v>2018</v>
      </c>
      <c r="U788" s="11">
        <f t="shared" si="64"/>
        <v>21504</v>
      </c>
    </row>
    <row r="789" spans="1:21" x14ac:dyDescent="0.3">
      <c r="A789" t="s">
        <v>1343</v>
      </c>
      <c r="B789">
        <v>2022</v>
      </c>
      <c r="C789" t="s">
        <v>17</v>
      </c>
      <c r="D789" t="s">
        <v>53</v>
      </c>
      <c r="E789">
        <v>2624</v>
      </c>
      <c r="F789" t="s">
        <v>189</v>
      </c>
      <c r="G789">
        <v>82700</v>
      </c>
      <c r="H789" t="s">
        <v>20</v>
      </c>
      <c r="I789" t="s">
        <v>39</v>
      </c>
      <c r="J789" t="s">
        <v>538</v>
      </c>
      <c r="K789" t="s">
        <v>23</v>
      </c>
      <c r="L789" t="s">
        <v>175</v>
      </c>
      <c r="M789" t="s">
        <v>42</v>
      </c>
      <c r="N789" t="s">
        <v>26</v>
      </c>
      <c r="O789" t="s">
        <v>27</v>
      </c>
      <c r="P789" s="1">
        <v>44789</v>
      </c>
      <c r="Q789">
        <f t="shared" si="60"/>
        <v>0</v>
      </c>
      <c r="R789">
        <f t="shared" si="61"/>
        <v>0</v>
      </c>
      <c r="S789">
        <f t="shared" si="62"/>
        <v>1</v>
      </c>
      <c r="T789" s="11">
        <f t="shared" si="63"/>
        <v>2022</v>
      </c>
      <c r="U789" s="11">
        <f t="shared" si="64"/>
        <v>2624</v>
      </c>
    </row>
    <row r="790" spans="1:21" x14ac:dyDescent="0.3">
      <c r="A790" t="s">
        <v>1344</v>
      </c>
      <c r="B790">
        <v>2017</v>
      </c>
      <c r="C790" t="s">
        <v>29</v>
      </c>
      <c r="D790" t="s">
        <v>30</v>
      </c>
      <c r="E790">
        <v>22586</v>
      </c>
      <c r="F790" t="s">
        <v>270</v>
      </c>
      <c r="G790">
        <v>84600</v>
      </c>
      <c r="H790" t="s">
        <v>32</v>
      </c>
      <c r="I790" t="s">
        <v>21</v>
      </c>
      <c r="J790" t="s">
        <v>1345</v>
      </c>
      <c r="K790" t="s">
        <v>23</v>
      </c>
      <c r="L790" t="s">
        <v>806</v>
      </c>
      <c r="N790" t="s">
        <v>149</v>
      </c>
      <c r="O790" t="s">
        <v>27</v>
      </c>
      <c r="P790" s="1">
        <v>44789</v>
      </c>
      <c r="Q790">
        <f t="shared" si="60"/>
        <v>0</v>
      </c>
      <c r="R790">
        <f t="shared" si="61"/>
        <v>1</v>
      </c>
      <c r="S790">
        <f t="shared" si="62"/>
        <v>0</v>
      </c>
      <c r="T790" s="11">
        <f t="shared" si="63"/>
        <v>2017</v>
      </c>
      <c r="U790" s="11">
        <f t="shared" si="64"/>
        <v>22586</v>
      </c>
    </row>
    <row r="791" spans="1:21" x14ac:dyDescent="0.3">
      <c r="A791" t="s">
        <v>1346</v>
      </c>
      <c r="B791">
        <v>2019</v>
      </c>
      <c r="C791" t="s">
        <v>56</v>
      </c>
      <c r="D791" t="s">
        <v>93</v>
      </c>
      <c r="E791">
        <v>11017</v>
      </c>
      <c r="F791" t="s">
        <v>57</v>
      </c>
      <c r="G791">
        <v>55900</v>
      </c>
      <c r="H791" t="s">
        <v>20</v>
      </c>
      <c r="I791" t="s">
        <v>78</v>
      </c>
      <c r="J791" t="s">
        <v>218</v>
      </c>
      <c r="K791" t="s">
        <v>23</v>
      </c>
      <c r="L791" t="s">
        <v>494</v>
      </c>
      <c r="M791" t="s">
        <v>113</v>
      </c>
      <c r="N791" t="s">
        <v>114</v>
      </c>
      <c r="O791" t="s">
        <v>27</v>
      </c>
      <c r="P791" s="1">
        <v>44789</v>
      </c>
      <c r="Q791">
        <f t="shared" si="60"/>
        <v>0</v>
      </c>
      <c r="R791">
        <f t="shared" si="61"/>
        <v>0</v>
      </c>
      <c r="S791">
        <f t="shared" si="62"/>
        <v>0</v>
      </c>
      <c r="T791" s="11">
        <f t="shared" si="63"/>
        <v>2019</v>
      </c>
      <c r="U791" s="11">
        <f t="shared" si="64"/>
        <v>11017</v>
      </c>
    </row>
    <row r="792" spans="1:21" x14ac:dyDescent="0.3">
      <c r="A792" t="s">
        <v>1347</v>
      </c>
      <c r="B792">
        <v>2019</v>
      </c>
      <c r="C792" t="s">
        <v>29</v>
      </c>
      <c r="D792" t="s">
        <v>32</v>
      </c>
      <c r="E792">
        <v>33653</v>
      </c>
      <c r="F792" t="s">
        <v>44</v>
      </c>
      <c r="G792">
        <v>101000</v>
      </c>
      <c r="H792" t="s">
        <v>32</v>
      </c>
      <c r="I792" t="s">
        <v>21</v>
      </c>
      <c r="J792" t="s">
        <v>1236</v>
      </c>
      <c r="K792" t="s">
        <v>23</v>
      </c>
      <c r="L792" t="s">
        <v>490</v>
      </c>
      <c r="M792" t="s">
        <v>491</v>
      </c>
      <c r="N792" t="s">
        <v>406</v>
      </c>
      <c r="O792" t="s">
        <v>27</v>
      </c>
      <c r="P792" s="1">
        <v>44789</v>
      </c>
      <c r="Q792">
        <f t="shared" si="60"/>
        <v>0</v>
      </c>
      <c r="R792">
        <f t="shared" si="61"/>
        <v>1</v>
      </c>
      <c r="S792">
        <f t="shared" si="62"/>
        <v>0</v>
      </c>
      <c r="T792" s="11">
        <f t="shared" si="63"/>
        <v>2019</v>
      </c>
      <c r="U792" s="11">
        <f t="shared" si="64"/>
        <v>33653</v>
      </c>
    </row>
    <row r="793" spans="1:21" x14ac:dyDescent="0.3">
      <c r="A793" t="s">
        <v>1348</v>
      </c>
      <c r="B793">
        <v>2020</v>
      </c>
      <c r="C793" t="s">
        <v>37</v>
      </c>
      <c r="D793" t="s">
        <v>51</v>
      </c>
      <c r="E793">
        <v>24923</v>
      </c>
      <c r="F793" t="s">
        <v>303</v>
      </c>
      <c r="G793">
        <v>93100</v>
      </c>
      <c r="H793" t="s">
        <v>53</v>
      </c>
      <c r="I793" t="s">
        <v>78</v>
      </c>
      <c r="J793" t="s">
        <v>1177</v>
      </c>
      <c r="K793" t="s">
        <v>23</v>
      </c>
      <c r="L793" t="s">
        <v>84</v>
      </c>
      <c r="M793" t="s">
        <v>48</v>
      </c>
      <c r="N793" t="s">
        <v>69</v>
      </c>
      <c r="O793" t="s">
        <v>27</v>
      </c>
      <c r="P793" s="1">
        <v>44789</v>
      </c>
      <c r="Q793">
        <f t="shared" si="60"/>
        <v>1</v>
      </c>
      <c r="R793">
        <f t="shared" si="61"/>
        <v>0</v>
      </c>
      <c r="S793">
        <f t="shared" si="62"/>
        <v>0</v>
      </c>
      <c r="T793" s="11">
        <f t="shared" si="63"/>
        <v>2020</v>
      </c>
      <c r="U793" s="11">
        <f t="shared" si="64"/>
        <v>24923</v>
      </c>
    </row>
    <row r="794" spans="1:21" x14ac:dyDescent="0.3">
      <c r="A794" t="s">
        <v>1349</v>
      </c>
      <c r="B794">
        <v>2018</v>
      </c>
      <c r="C794" t="s">
        <v>29</v>
      </c>
      <c r="D794" t="s">
        <v>76</v>
      </c>
      <c r="E794">
        <v>33931</v>
      </c>
      <c r="F794" t="s">
        <v>104</v>
      </c>
      <c r="G794">
        <v>74900</v>
      </c>
      <c r="H794" t="s">
        <v>105</v>
      </c>
      <c r="I794" t="s">
        <v>21</v>
      </c>
      <c r="J794" t="s">
        <v>1350</v>
      </c>
      <c r="K794" t="s">
        <v>23</v>
      </c>
      <c r="L794" t="s">
        <v>95</v>
      </c>
      <c r="M794" t="s">
        <v>96</v>
      </c>
      <c r="N794" t="s">
        <v>89</v>
      </c>
      <c r="O794" t="s">
        <v>27</v>
      </c>
      <c r="P794" s="1">
        <v>44789</v>
      </c>
      <c r="Q794">
        <f t="shared" si="60"/>
        <v>0</v>
      </c>
      <c r="R794">
        <f t="shared" si="61"/>
        <v>1</v>
      </c>
      <c r="S794">
        <f t="shared" si="62"/>
        <v>0</v>
      </c>
      <c r="T794" s="11">
        <f t="shared" si="63"/>
        <v>2018</v>
      </c>
      <c r="U794" s="11">
        <f t="shared" si="64"/>
        <v>33931</v>
      </c>
    </row>
    <row r="795" spans="1:21" x14ac:dyDescent="0.3">
      <c r="A795" t="s">
        <v>1351</v>
      </c>
      <c r="B795">
        <v>2019</v>
      </c>
      <c r="C795" t="s">
        <v>56</v>
      </c>
      <c r="D795" t="s">
        <v>32</v>
      </c>
      <c r="E795">
        <v>31693</v>
      </c>
      <c r="F795" t="s">
        <v>57</v>
      </c>
      <c r="G795">
        <v>50300</v>
      </c>
      <c r="H795" t="s">
        <v>20</v>
      </c>
      <c r="I795" t="s">
        <v>78</v>
      </c>
      <c r="J795" t="s">
        <v>275</v>
      </c>
      <c r="K795" t="s">
        <v>23</v>
      </c>
      <c r="L795" t="s">
        <v>84</v>
      </c>
      <c r="M795" t="s">
        <v>48</v>
      </c>
      <c r="N795" t="s">
        <v>69</v>
      </c>
      <c r="O795" t="s">
        <v>27</v>
      </c>
      <c r="P795" s="1">
        <v>44789</v>
      </c>
      <c r="Q795">
        <f t="shared" si="60"/>
        <v>0</v>
      </c>
      <c r="R795">
        <f t="shared" si="61"/>
        <v>0</v>
      </c>
      <c r="S795">
        <f t="shared" si="62"/>
        <v>0</v>
      </c>
      <c r="T795" s="11">
        <f t="shared" si="63"/>
        <v>2019</v>
      </c>
      <c r="U795" s="11">
        <f t="shared" si="64"/>
        <v>31693</v>
      </c>
    </row>
    <row r="796" spans="1:21" x14ac:dyDescent="0.3">
      <c r="A796" t="s">
        <v>1352</v>
      </c>
      <c r="B796">
        <v>2018</v>
      </c>
      <c r="C796" t="s">
        <v>29</v>
      </c>
      <c r="D796" t="s">
        <v>32</v>
      </c>
      <c r="E796">
        <v>54005</v>
      </c>
      <c r="F796" t="s">
        <v>104</v>
      </c>
      <c r="G796">
        <v>76600</v>
      </c>
      <c r="H796" t="s">
        <v>32</v>
      </c>
      <c r="I796" t="s">
        <v>21</v>
      </c>
      <c r="J796" t="s">
        <v>1353</v>
      </c>
      <c r="K796" t="s">
        <v>23</v>
      </c>
      <c r="L796" t="s">
        <v>1354</v>
      </c>
      <c r="M796" t="s">
        <v>88</v>
      </c>
      <c r="N796" t="s">
        <v>89</v>
      </c>
      <c r="O796" t="s">
        <v>27</v>
      </c>
      <c r="P796" s="1">
        <v>44789</v>
      </c>
      <c r="Q796">
        <f t="shared" si="60"/>
        <v>0</v>
      </c>
      <c r="R796">
        <f t="shared" si="61"/>
        <v>1</v>
      </c>
      <c r="S796">
        <f t="shared" si="62"/>
        <v>0</v>
      </c>
      <c r="T796" s="11">
        <f t="shared" si="63"/>
        <v>2018</v>
      </c>
      <c r="U796" s="11">
        <f t="shared" si="64"/>
        <v>54005</v>
      </c>
    </row>
    <row r="797" spans="1:21" x14ac:dyDescent="0.3">
      <c r="A797" t="s">
        <v>1355</v>
      </c>
      <c r="B797">
        <v>2021</v>
      </c>
      <c r="C797" t="s">
        <v>17</v>
      </c>
      <c r="D797" t="s">
        <v>76</v>
      </c>
      <c r="E797">
        <v>23867</v>
      </c>
      <c r="F797" t="s">
        <v>189</v>
      </c>
      <c r="G797">
        <v>71300</v>
      </c>
      <c r="H797" t="s">
        <v>20</v>
      </c>
      <c r="I797" t="s">
        <v>39</v>
      </c>
      <c r="J797" t="s">
        <v>1356</v>
      </c>
      <c r="K797" t="s">
        <v>23</v>
      </c>
      <c r="L797" t="s">
        <v>47</v>
      </c>
      <c r="M797" t="s">
        <v>48</v>
      </c>
      <c r="N797" t="s">
        <v>49</v>
      </c>
      <c r="O797" t="s">
        <v>27</v>
      </c>
      <c r="P797" s="1">
        <v>44789</v>
      </c>
      <c r="Q797">
        <f t="shared" si="60"/>
        <v>0</v>
      </c>
      <c r="R797">
        <f t="shared" si="61"/>
        <v>0</v>
      </c>
      <c r="S797">
        <f t="shared" si="62"/>
        <v>1</v>
      </c>
      <c r="T797" s="11">
        <f t="shared" si="63"/>
        <v>2021</v>
      </c>
      <c r="U797" s="11">
        <f t="shared" si="64"/>
        <v>23867</v>
      </c>
    </row>
    <row r="798" spans="1:21" x14ac:dyDescent="0.3">
      <c r="A798" t="s">
        <v>1357</v>
      </c>
      <c r="B798">
        <v>2018</v>
      </c>
      <c r="C798" t="s">
        <v>29</v>
      </c>
      <c r="D798" t="s">
        <v>30</v>
      </c>
      <c r="E798">
        <v>46395</v>
      </c>
      <c r="F798" t="s">
        <v>104</v>
      </c>
      <c r="G798">
        <v>78100</v>
      </c>
      <c r="H798" t="s">
        <v>53</v>
      </c>
      <c r="I798" t="s">
        <v>21</v>
      </c>
      <c r="J798" t="s">
        <v>1358</v>
      </c>
      <c r="K798" t="s">
        <v>23</v>
      </c>
      <c r="L798" t="s">
        <v>447</v>
      </c>
      <c r="N798" t="s">
        <v>203</v>
      </c>
      <c r="O798" t="s">
        <v>27</v>
      </c>
      <c r="P798" s="1">
        <v>44789</v>
      </c>
      <c r="Q798">
        <f t="shared" si="60"/>
        <v>0</v>
      </c>
      <c r="R798">
        <f t="shared" si="61"/>
        <v>1</v>
      </c>
      <c r="S798">
        <f t="shared" si="62"/>
        <v>0</v>
      </c>
      <c r="T798" s="11">
        <f t="shared" si="63"/>
        <v>2018</v>
      </c>
      <c r="U798" s="11">
        <f t="shared" si="64"/>
        <v>46395</v>
      </c>
    </row>
    <row r="799" spans="1:21" x14ac:dyDescent="0.3">
      <c r="A799" t="s">
        <v>1359</v>
      </c>
      <c r="B799">
        <v>2018</v>
      </c>
      <c r="C799" t="s">
        <v>56</v>
      </c>
      <c r="D799" t="s">
        <v>76</v>
      </c>
      <c r="E799">
        <v>23084</v>
      </c>
      <c r="F799" t="s">
        <v>57</v>
      </c>
      <c r="G799">
        <v>51000</v>
      </c>
      <c r="H799" t="s">
        <v>20</v>
      </c>
      <c r="I799" t="s">
        <v>78</v>
      </c>
      <c r="J799" t="s">
        <v>347</v>
      </c>
      <c r="K799" t="s">
        <v>23</v>
      </c>
      <c r="L799" t="s">
        <v>236</v>
      </c>
      <c r="M799" t="s">
        <v>25</v>
      </c>
      <c r="N799" t="s">
        <v>26</v>
      </c>
      <c r="O799" t="s">
        <v>27</v>
      </c>
      <c r="P799" s="1">
        <v>44789</v>
      </c>
      <c r="Q799">
        <f t="shared" si="60"/>
        <v>0</v>
      </c>
      <c r="R799">
        <f t="shared" si="61"/>
        <v>0</v>
      </c>
      <c r="S799">
        <f t="shared" si="62"/>
        <v>0</v>
      </c>
      <c r="T799" s="11">
        <f t="shared" si="63"/>
        <v>2018</v>
      </c>
      <c r="U799" s="11">
        <f t="shared" si="64"/>
        <v>23084</v>
      </c>
    </row>
    <row r="800" spans="1:21" x14ac:dyDescent="0.3">
      <c r="A800" t="s">
        <v>1360</v>
      </c>
      <c r="B800">
        <v>2020</v>
      </c>
      <c r="C800" t="s">
        <v>17</v>
      </c>
      <c r="D800" t="s">
        <v>53</v>
      </c>
      <c r="E800">
        <v>12824</v>
      </c>
      <c r="F800" t="s">
        <v>156</v>
      </c>
      <c r="G800">
        <v>74800</v>
      </c>
      <c r="H800" t="s">
        <v>20</v>
      </c>
      <c r="I800" t="s">
        <v>39</v>
      </c>
      <c r="J800" t="s">
        <v>538</v>
      </c>
      <c r="K800" t="s">
        <v>23</v>
      </c>
      <c r="L800" t="s">
        <v>24</v>
      </c>
      <c r="M800" t="s">
        <v>25</v>
      </c>
      <c r="N800" t="s">
        <v>26</v>
      </c>
      <c r="O800" t="s">
        <v>27</v>
      </c>
      <c r="P800" s="1">
        <v>44789</v>
      </c>
      <c r="Q800">
        <f t="shared" si="60"/>
        <v>0</v>
      </c>
      <c r="R800">
        <f t="shared" si="61"/>
        <v>0</v>
      </c>
      <c r="S800">
        <f t="shared" si="62"/>
        <v>1</v>
      </c>
      <c r="T800" s="11">
        <f t="shared" si="63"/>
        <v>2020</v>
      </c>
      <c r="U800" s="11">
        <f t="shared" si="64"/>
        <v>12824</v>
      </c>
    </row>
    <row r="801" spans="1:21" x14ac:dyDescent="0.3">
      <c r="A801" t="s">
        <v>1361</v>
      </c>
      <c r="B801">
        <v>2018</v>
      </c>
      <c r="C801" t="s">
        <v>56</v>
      </c>
      <c r="D801" t="s">
        <v>30</v>
      </c>
      <c r="E801">
        <v>68538</v>
      </c>
      <c r="F801" t="s">
        <v>234</v>
      </c>
      <c r="G801">
        <v>47800</v>
      </c>
      <c r="H801" t="s">
        <v>20</v>
      </c>
      <c r="I801" t="s">
        <v>78</v>
      </c>
      <c r="J801" t="s">
        <v>699</v>
      </c>
      <c r="K801" t="s">
        <v>23</v>
      </c>
      <c r="L801" t="s">
        <v>456</v>
      </c>
      <c r="M801" t="s">
        <v>164</v>
      </c>
      <c r="N801" t="s">
        <v>26</v>
      </c>
      <c r="O801" t="s">
        <v>27</v>
      </c>
      <c r="P801" s="1">
        <v>44789</v>
      </c>
      <c r="Q801">
        <f t="shared" si="60"/>
        <v>0</v>
      </c>
      <c r="R801">
        <f t="shared" si="61"/>
        <v>0</v>
      </c>
      <c r="S801">
        <f t="shared" si="62"/>
        <v>0</v>
      </c>
      <c r="T801" s="11">
        <f t="shared" si="63"/>
        <v>2018</v>
      </c>
      <c r="U801" s="11">
        <f t="shared" si="64"/>
        <v>68538</v>
      </c>
    </row>
    <row r="802" spans="1:21" x14ac:dyDescent="0.3">
      <c r="A802" t="s">
        <v>1362</v>
      </c>
      <c r="B802">
        <v>2019</v>
      </c>
      <c r="C802" t="s">
        <v>56</v>
      </c>
      <c r="D802" t="s">
        <v>93</v>
      </c>
      <c r="E802">
        <v>58739</v>
      </c>
      <c r="F802" t="s">
        <v>65</v>
      </c>
      <c r="G802">
        <v>42300</v>
      </c>
      <c r="H802" t="s">
        <v>20</v>
      </c>
      <c r="I802" t="s">
        <v>78</v>
      </c>
      <c r="J802" t="s">
        <v>536</v>
      </c>
      <c r="K802" t="s">
        <v>23</v>
      </c>
      <c r="L802" t="s">
        <v>137</v>
      </c>
      <c r="M802" t="s">
        <v>138</v>
      </c>
      <c r="N802" t="s">
        <v>139</v>
      </c>
      <c r="O802" t="s">
        <v>27</v>
      </c>
      <c r="P802" s="1">
        <v>44789</v>
      </c>
      <c r="Q802">
        <f t="shared" si="60"/>
        <v>0</v>
      </c>
      <c r="R802">
        <f t="shared" si="61"/>
        <v>0</v>
      </c>
      <c r="S802">
        <f t="shared" si="62"/>
        <v>0</v>
      </c>
      <c r="T802" s="11">
        <f t="shared" si="63"/>
        <v>2019</v>
      </c>
      <c r="U802" s="11">
        <f t="shared" si="64"/>
        <v>58739</v>
      </c>
    </row>
    <row r="803" spans="1:21" x14ac:dyDescent="0.3">
      <c r="A803" t="s">
        <v>1363</v>
      </c>
      <c r="B803">
        <v>2019</v>
      </c>
      <c r="C803" t="s">
        <v>56</v>
      </c>
      <c r="D803" t="s">
        <v>76</v>
      </c>
      <c r="E803">
        <v>29531</v>
      </c>
      <c r="F803" t="s">
        <v>71</v>
      </c>
      <c r="G803">
        <v>59000</v>
      </c>
      <c r="H803" t="s">
        <v>77</v>
      </c>
      <c r="I803" t="s">
        <v>21</v>
      </c>
      <c r="J803" t="s">
        <v>146</v>
      </c>
      <c r="K803" t="s">
        <v>23</v>
      </c>
      <c r="L803" t="s">
        <v>137</v>
      </c>
      <c r="M803" t="s">
        <v>138</v>
      </c>
      <c r="N803" t="s">
        <v>139</v>
      </c>
      <c r="O803" t="s">
        <v>27</v>
      </c>
      <c r="P803" s="1">
        <v>44789</v>
      </c>
      <c r="Q803">
        <f t="shared" si="60"/>
        <v>0</v>
      </c>
      <c r="R803">
        <f t="shared" si="61"/>
        <v>0</v>
      </c>
      <c r="S803">
        <f t="shared" si="62"/>
        <v>0</v>
      </c>
      <c r="T803" s="11">
        <f t="shared" si="63"/>
        <v>2019</v>
      </c>
      <c r="U803" s="11">
        <f t="shared" si="64"/>
        <v>29531</v>
      </c>
    </row>
    <row r="804" spans="1:21" x14ac:dyDescent="0.3">
      <c r="A804" t="s">
        <v>1364</v>
      </c>
      <c r="B804">
        <v>2019</v>
      </c>
      <c r="C804" t="s">
        <v>56</v>
      </c>
      <c r="D804" t="s">
        <v>93</v>
      </c>
      <c r="E804">
        <v>81446</v>
      </c>
      <c r="F804" t="s">
        <v>57</v>
      </c>
      <c r="G804">
        <v>46400</v>
      </c>
      <c r="H804" t="s">
        <v>20</v>
      </c>
      <c r="I804" t="s">
        <v>58</v>
      </c>
      <c r="J804" t="s">
        <v>842</v>
      </c>
      <c r="K804" t="s">
        <v>23</v>
      </c>
      <c r="N804" t="s">
        <v>127</v>
      </c>
      <c r="O804" t="s">
        <v>27</v>
      </c>
      <c r="P804" s="1">
        <v>44789</v>
      </c>
      <c r="Q804">
        <f t="shared" si="60"/>
        <v>0</v>
      </c>
      <c r="R804">
        <f t="shared" si="61"/>
        <v>0</v>
      </c>
      <c r="S804">
        <f t="shared" si="62"/>
        <v>0</v>
      </c>
      <c r="T804" s="11">
        <f t="shared" si="63"/>
        <v>2019</v>
      </c>
      <c r="U804" s="11">
        <f t="shared" si="64"/>
        <v>81446</v>
      </c>
    </row>
    <row r="805" spans="1:21" x14ac:dyDescent="0.3">
      <c r="A805" t="s">
        <v>1365</v>
      </c>
      <c r="B805">
        <v>2018</v>
      </c>
      <c r="C805" t="s">
        <v>56</v>
      </c>
      <c r="D805" t="s">
        <v>18</v>
      </c>
      <c r="E805">
        <v>36489</v>
      </c>
      <c r="F805" t="s">
        <v>57</v>
      </c>
      <c r="G805">
        <v>52900</v>
      </c>
      <c r="H805" t="s">
        <v>77</v>
      </c>
      <c r="I805" t="s">
        <v>78</v>
      </c>
      <c r="J805" t="s">
        <v>1366</v>
      </c>
      <c r="K805" t="s">
        <v>23</v>
      </c>
      <c r="N805" t="s">
        <v>127</v>
      </c>
      <c r="O805" t="s">
        <v>27</v>
      </c>
      <c r="P805" s="1">
        <v>44789</v>
      </c>
      <c r="Q805">
        <f t="shared" si="60"/>
        <v>0</v>
      </c>
      <c r="R805">
        <f t="shared" si="61"/>
        <v>0</v>
      </c>
      <c r="S805">
        <f t="shared" si="62"/>
        <v>0</v>
      </c>
      <c r="T805" s="11">
        <f t="shared" si="63"/>
        <v>2018</v>
      </c>
      <c r="U805" s="11">
        <f t="shared" si="64"/>
        <v>36489</v>
      </c>
    </row>
    <row r="806" spans="1:21" x14ac:dyDescent="0.3">
      <c r="A806" t="s">
        <v>1367</v>
      </c>
      <c r="B806">
        <v>2018</v>
      </c>
      <c r="C806" t="s">
        <v>56</v>
      </c>
      <c r="D806" t="s">
        <v>93</v>
      </c>
      <c r="E806">
        <v>60545</v>
      </c>
      <c r="F806" t="s">
        <v>234</v>
      </c>
      <c r="G806">
        <v>44200</v>
      </c>
      <c r="H806" t="s">
        <v>20</v>
      </c>
      <c r="I806" t="s">
        <v>78</v>
      </c>
      <c r="J806" t="s">
        <v>290</v>
      </c>
      <c r="K806" t="s">
        <v>23</v>
      </c>
      <c r="L806" t="s">
        <v>201</v>
      </c>
      <c r="M806" t="s">
        <v>202</v>
      </c>
      <c r="N806" t="s">
        <v>203</v>
      </c>
      <c r="O806" t="s">
        <v>27</v>
      </c>
      <c r="P806" s="1">
        <v>44788</v>
      </c>
      <c r="Q806">
        <f t="shared" si="60"/>
        <v>0</v>
      </c>
      <c r="R806">
        <f t="shared" si="61"/>
        <v>0</v>
      </c>
      <c r="S806">
        <f t="shared" si="62"/>
        <v>0</v>
      </c>
      <c r="T806" s="11">
        <f t="shared" si="63"/>
        <v>2018</v>
      </c>
      <c r="U806" s="11">
        <f t="shared" si="64"/>
        <v>60545</v>
      </c>
    </row>
    <row r="807" spans="1:21" x14ac:dyDescent="0.3">
      <c r="A807" t="s">
        <v>1368</v>
      </c>
      <c r="B807">
        <v>2019</v>
      </c>
      <c r="C807" t="s">
        <v>56</v>
      </c>
      <c r="D807" t="s">
        <v>53</v>
      </c>
      <c r="E807">
        <v>20302</v>
      </c>
      <c r="F807" t="s">
        <v>57</v>
      </c>
      <c r="G807">
        <v>50400</v>
      </c>
      <c r="H807" t="s">
        <v>20</v>
      </c>
      <c r="I807" t="s">
        <v>58</v>
      </c>
      <c r="J807" t="s">
        <v>59</v>
      </c>
      <c r="K807" t="s">
        <v>23</v>
      </c>
      <c r="L807" t="s">
        <v>47</v>
      </c>
      <c r="M807" t="s">
        <v>48</v>
      </c>
      <c r="N807" t="s">
        <v>49</v>
      </c>
      <c r="O807" t="s">
        <v>27</v>
      </c>
      <c r="P807" s="1">
        <v>44788</v>
      </c>
      <c r="Q807">
        <f t="shared" si="60"/>
        <v>0</v>
      </c>
      <c r="R807">
        <f t="shared" si="61"/>
        <v>0</v>
      </c>
      <c r="S807">
        <f t="shared" si="62"/>
        <v>0</v>
      </c>
      <c r="T807" s="11">
        <f t="shared" si="63"/>
        <v>2019</v>
      </c>
      <c r="U807" s="11">
        <f t="shared" si="64"/>
        <v>20302</v>
      </c>
    </row>
    <row r="808" spans="1:21" x14ac:dyDescent="0.3">
      <c r="A808" t="s">
        <v>1369</v>
      </c>
      <c r="B808">
        <v>2018</v>
      </c>
      <c r="C808" t="s">
        <v>56</v>
      </c>
      <c r="D808" t="s">
        <v>30</v>
      </c>
      <c r="E808">
        <v>46023</v>
      </c>
      <c r="F808" t="s">
        <v>234</v>
      </c>
      <c r="G808">
        <v>46400</v>
      </c>
      <c r="H808" t="s">
        <v>20</v>
      </c>
      <c r="I808" t="s">
        <v>78</v>
      </c>
      <c r="J808" t="s">
        <v>699</v>
      </c>
      <c r="K808" t="s">
        <v>23</v>
      </c>
      <c r="L808" t="s">
        <v>447</v>
      </c>
      <c r="N808" t="s">
        <v>203</v>
      </c>
      <c r="O808" t="s">
        <v>27</v>
      </c>
      <c r="P808" s="1">
        <v>44788</v>
      </c>
      <c r="Q808">
        <f t="shared" si="60"/>
        <v>0</v>
      </c>
      <c r="R808">
        <f t="shared" si="61"/>
        <v>0</v>
      </c>
      <c r="S808">
        <f t="shared" si="62"/>
        <v>0</v>
      </c>
      <c r="T808" s="11">
        <f t="shared" si="63"/>
        <v>2018</v>
      </c>
      <c r="U808" s="11">
        <f t="shared" si="64"/>
        <v>46023</v>
      </c>
    </row>
    <row r="809" spans="1:21" x14ac:dyDescent="0.3">
      <c r="A809" t="s">
        <v>1370</v>
      </c>
      <c r="B809">
        <v>2017</v>
      </c>
      <c r="C809" t="s">
        <v>29</v>
      </c>
      <c r="D809" t="s">
        <v>51</v>
      </c>
      <c r="E809">
        <v>72651</v>
      </c>
      <c r="F809" t="s">
        <v>104</v>
      </c>
      <c r="G809">
        <v>66500</v>
      </c>
      <c r="H809" t="s">
        <v>45</v>
      </c>
      <c r="I809" t="s">
        <v>21</v>
      </c>
      <c r="J809" t="s">
        <v>1371</v>
      </c>
      <c r="K809" t="s">
        <v>23</v>
      </c>
      <c r="L809" t="s">
        <v>34</v>
      </c>
      <c r="N809" t="s">
        <v>35</v>
      </c>
      <c r="O809" t="s">
        <v>27</v>
      </c>
      <c r="P809" s="1">
        <v>44788</v>
      </c>
      <c r="Q809">
        <f t="shared" si="60"/>
        <v>0</v>
      </c>
      <c r="R809">
        <f t="shared" si="61"/>
        <v>1</v>
      </c>
      <c r="S809">
        <f t="shared" si="62"/>
        <v>0</v>
      </c>
      <c r="T809" s="11">
        <f t="shared" si="63"/>
        <v>2017</v>
      </c>
      <c r="U809" s="11">
        <f t="shared" si="64"/>
        <v>72651</v>
      </c>
    </row>
    <row r="810" spans="1:21" x14ac:dyDescent="0.3">
      <c r="A810" t="s">
        <v>1372</v>
      </c>
      <c r="B810">
        <v>2020</v>
      </c>
      <c r="C810" t="s">
        <v>37</v>
      </c>
      <c r="D810" t="s">
        <v>32</v>
      </c>
      <c r="E810">
        <v>13412</v>
      </c>
      <c r="F810" t="s">
        <v>303</v>
      </c>
      <c r="G810">
        <v>95200</v>
      </c>
      <c r="H810" t="s">
        <v>53</v>
      </c>
      <c r="I810" t="s">
        <v>78</v>
      </c>
      <c r="J810" t="s">
        <v>1373</v>
      </c>
      <c r="K810" t="s">
        <v>23</v>
      </c>
      <c r="L810" t="s">
        <v>183</v>
      </c>
      <c r="M810" t="s">
        <v>25</v>
      </c>
      <c r="N810" t="s">
        <v>26</v>
      </c>
      <c r="O810" t="s">
        <v>27</v>
      </c>
      <c r="P810" s="1">
        <v>44788</v>
      </c>
      <c r="Q810">
        <f t="shared" si="60"/>
        <v>1</v>
      </c>
      <c r="R810">
        <f t="shared" si="61"/>
        <v>0</v>
      </c>
      <c r="S810">
        <f t="shared" si="62"/>
        <v>0</v>
      </c>
      <c r="T810" s="11">
        <f t="shared" si="63"/>
        <v>2020</v>
      </c>
      <c r="U810" s="11">
        <f t="shared" si="64"/>
        <v>13412</v>
      </c>
    </row>
    <row r="811" spans="1:21" x14ac:dyDescent="0.3">
      <c r="A811" t="s">
        <v>1374</v>
      </c>
      <c r="B811">
        <v>2017</v>
      </c>
      <c r="C811" t="s">
        <v>29</v>
      </c>
      <c r="D811" t="s">
        <v>53</v>
      </c>
      <c r="E811">
        <v>36929</v>
      </c>
      <c r="F811" t="s">
        <v>104</v>
      </c>
      <c r="G811">
        <v>79600</v>
      </c>
      <c r="H811" t="s">
        <v>53</v>
      </c>
      <c r="I811" t="s">
        <v>21</v>
      </c>
      <c r="J811" t="s">
        <v>1375</v>
      </c>
      <c r="K811" t="s">
        <v>23</v>
      </c>
      <c r="L811" t="s">
        <v>34</v>
      </c>
      <c r="N811" t="s">
        <v>35</v>
      </c>
      <c r="O811" t="s">
        <v>27</v>
      </c>
      <c r="P811" s="1">
        <v>44788</v>
      </c>
      <c r="Q811">
        <f t="shared" si="60"/>
        <v>0</v>
      </c>
      <c r="R811">
        <f t="shared" si="61"/>
        <v>1</v>
      </c>
      <c r="S811">
        <f t="shared" si="62"/>
        <v>0</v>
      </c>
      <c r="T811" s="11">
        <f t="shared" si="63"/>
        <v>2017</v>
      </c>
      <c r="U811" s="11">
        <f t="shared" si="64"/>
        <v>36929</v>
      </c>
    </row>
    <row r="812" spans="1:21" x14ac:dyDescent="0.3">
      <c r="A812" t="s">
        <v>1376</v>
      </c>
      <c r="B812">
        <v>2018</v>
      </c>
      <c r="C812" t="s">
        <v>56</v>
      </c>
      <c r="D812" t="s">
        <v>93</v>
      </c>
      <c r="E812">
        <v>17676</v>
      </c>
      <c r="F812" t="s">
        <v>57</v>
      </c>
      <c r="G812">
        <v>53000</v>
      </c>
      <c r="H812" t="s">
        <v>77</v>
      </c>
      <c r="I812" t="s">
        <v>78</v>
      </c>
      <c r="J812" t="s">
        <v>280</v>
      </c>
      <c r="K812" t="s">
        <v>23</v>
      </c>
      <c r="L812" t="s">
        <v>228</v>
      </c>
      <c r="M812" t="s">
        <v>25</v>
      </c>
      <c r="N812" t="s">
        <v>26</v>
      </c>
      <c r="O812" t="s">
        <v>27</v>
      </c>
      <c r="P812" s="1">
        <v>44788</v>
      </c>
      <c r="Q812">
        <f t="shared" si="60"/>
        <v>0</v>
      </c>
      <c r="R812">
        <f t="shared" si="61"/>
        <v>0</v>
      </c>
      <c r="S812">
        <f t="shared" si="62"/>
        <v>0</v>
      </c>
      <c r="T812" s="11">
        <f t="shared" si="63"/>
        <v>2018</v>
      </c>
      <c r="U812" s="11">
        <f t="shared" si="64"/>
        <v>17676</v>
      </c>
    </row>
    <row r="813" spans="1:21" x14ac:dyDescent="0.3">
      <c r="A813" t="s">
        <v>1377</v>
      </c>
      <c r="B813">
        <v>2020</v>
      </c>
      <c r="C813" t="s">
        <v>29</v>
      </c>
      <c r="D813" t="s">
        <v>32</v>
      </c>
      <c r="E813">
        <v>23744</v>
      </c>
      <c r="F813" t="s">
        <v>177</v>
      </c>
      <c r="G813">
        <v>110600</v>
      </c>
      <c r="H813" t="s">
        <v>32</v>
      </c>
      <c r="I813" t="s">
        <v>110</v>
      </c>
      <c r="J813" t="s">
        <v>301</v>
      </c>
      <c r="K813" t="s">
        <v>23</v>
      </c>
      <c r="L813" t="s">
        <v>371</v>
      </c>
      <c r="M813" t="s">
        <v>48</v>
      </c>
      <c r="N813" t="s">
        <v>49</v>
      </c>
      <c r="O813" t="s">
        <v>27</v>
      </c>
      <c r="P813" s="1">
        <v>44788</v>
      </c>
      <c r="Q813">
        <f t="shared" si="60"/>
        <v>0</v>
      </c>
      <c r="R813">
        <f t="shared" si="61"/>
        <v>1</v>
      </c>
      <c r="S813">
        <f t="shared" si="62"/>
        <v>0</v>
      </c>
      <c r="T813" s="11">
        <f t="shared" si="63"/>
        <v>2020</v>
      </c>
      <c r="U813" s="11">
        <f t="shared" si="64"/>
        <v>23744</v>
      </c>
    </row>
    <row r="814" spans="1:21" x14ac:dyDescent="0.3">
      <c r="A814" t="s">
        <v>1378</v>
      </c>
      <c r="B814">
        <v>2019</v>
      </c>
      <c r="C814" t="s">
        <v>56</v>
      </c>
      <c r="D814" t="s">
        <v>53</v>
      </c>
      <c r="E814">
        <v>21053</v>
      </c>
      <c r="F814" t="s">
        <v>57</v>
      </c>
      <c r="G814">
        <v>53000</v>
      </c>
      <c r="H814" t="s">
        <v>20</v>
      </c>
      <c r="I814" t="s">
        <v>78</v>
      </c>
      <c r="J814" t="s">
        <v>564</v>
      </c>
      <c r="K814" t="s">
        <v>23</v>
      </c>
      <c r="L814" t="s">
        <v>24</v>
      </c>
      <c r="M814" t="s">
        <v>25</v>
      </c>
      <c r="N814" t="s">
        <v>26</v>
      </c>
      <c r="O814" t="s">
        <v>27</v>
      </c>
      <c r="P814" s="1">
        <v>44788</v>
      </c>
      <c r="Q814">
        <f t="shared" si="60"/>
        <v>0</v>
      </c>
      <c r="R814">
        <f t="shared" si="61"/>
        <v>0</v>
      </c>
      <c r="S814">
        <f t="shared" si="62"/>
        <v>0</v>
      </c>
      <c r="T814" s="11">
        <f t="shared" si="63"/>
        <v>2019</v>
      </c>
      <c r="U814" s="11">
        <f t="shared" si="64"/>
        <v>21053</v>
      </c>
    </row>
    <row r="815" spans="1:21" x14ac:dyDescent="0.3">
      <c r="A815" t="s">
        <v>1379</v>
      </c>
      <c r="B815">
        <v>2021</v>
      </c>
      <c r="C815" t="s">
        <v>17</v>
      </c>
      <c r="D815" t="s">
        <v>76</v>
      </c>
      <c r="E815">
        <v>14447</v>
      </c>
      <c r="F815" t="s">
        <v>189</v>
      </c>
      <c r="G815">
        <v>78100</v>
      </c>
      <c r="H815" t="s">
        <v>20</v>
      </c>
      <c r="I815" t="s">
        <v>39</v>
      </c>
      <c r="J815" t="s">
        <v>334</v>
      </c>
      <c r="K815" t="s">
        <v>23</v>
      </c>
      <c r="L815" t="s">
        <v>1380</v>
      </c>
      <c r="M815" t="s">
        <v>1381</v>
      </c>
      <c r="N815" t="s">
        <v>102</v>
      </c>
      <c r="O815" t="s">
        <v>27</v>
      </c>
      <c r="P815" s="1">
        <v>44788</v>
      </c>
      <c r="Q815">
        <f t="shared" si="60"/>
        <v>0</v>
      </c>
      <c r="R815">
        <f t="shared" si="61"/>
        <v>0</v>
      </c>
      <c r="S815">
        <f t="shared" si="62"/>
        <v>1</v>
      </c>
      <c r="T815" s="11">
        <f t="shared" si="63"/>
        <v>2021</v>
      </c>
      <c r="U815" s="11">
        <f t="shared" si="64"/>
        <v>14447</v>
      </c>
    </row>
    <row r="816" spans="1:21" x14ac:dyDescent="0.3">
      <c r="A816" t="s">
        <v>1382</v>
      </c>
      <c r="B816">
        <v>2020</v>
      </c>
      <c r="C816" t="s">
        <v>56</v>
      </c>
      <c r="D816" t="s">
        <v>32</v>
      </c>
      <c r="E816">
        <v>12280</v>
      </c>
      <c r="F816" t="s">
        <v>57</v>
      </c>
      <c r="G816">
        <v>57900</v>
      </c>
      <c r="H816" t="s">
        <v>77</v>
      </c>
      <c r="I816" t="s">
        <v>78</v>
      </c>
      <c r="J816" t="s">
        <v>650</v>
      </c>
      <c r="K816" t="s">
        <v>23</v>
      </c>
      <c r="L816" t="s">
        <v>24</v>
      </c>
      <c r="M816" t="s">
        <v>25</v>
      </c>
      <c r="N816" t="s">
        <v>26</v>
      </c>
      <c r="O816" t="s">
        <v>27</v>
      </c>
      <c r="P816" s="1">
        <v>44788</v>
      </c>
      <c r="Q816">
        <f t="shared" si="60"/>
        <v>0</v>
      </c>
      <c r="R816">
        <f t="shared" si="61"/>
        <v>0</v>
      </c>
      <c r="S816">
        <f t="shared" si="62"/>
        <v>0</v>
      </c>
      <c r="T816" s="11">
        <f t="shared" si="63"/>
        <v>2020</v>
      </c>
      <c r="U816" s="11">
        <f t="shared" si="64"/>
        <v>12280</v>
      </c>
    </row>
    <row r="817" spans="1:21" x14ac:dyDescent="0.3">
      <c r="A817" t="s">
        <v>1383</v>
      </c>
      <c r="B817">
        <v>2020</v>
      </c>
      <c r="C817" t="s">
        <v>17</v>
      </c>
      <c r="D817" t="s">
        <v>76</v>
      </c>
      <c r="E817">
        <v>41812</v>
      </c>
      <c r="F817" t="s">
        <v>156</v>
      </c>
      <c r="G817">
        <v>74800</v>
      </c>
      <c r="H817" t="s">
        <v>77</v>
      </c>
      <c r="I817" t="s">
        <v>39</v>
      </c>
      <c r="J817" t="s">
        <v>674</v>
      </c>
      <c r="K817" t="s">
        <v>23</v>
      </c>
      <c r="L817" t="s">
        <v>1277</v>
      </c>
      <c r="M817" t="s">
        <v>364</v>
      </c>
      <c r="N817" t="s">
        <v>245</v>
      </c>
      <c r="O817" t="s">
        <v>27</v>
      </c>
      <c r="P817" s="1">
        <v>44788</v>
      </c>
      <c r="Q817">
        <f t="shared" si="60"/>
        <v>0</v>
      </c>
      <c r="R817">
        <f t="shared" si="61"/>
        <v>0</v>
      </c>
      <c r="S817">
        <f t="shared" si="62"/>
        <v>1</v>
      </c>
      <c r="T817" s="11">
        <f t="shared" si="63"/>
        <v>2020</v>
      </c>
      <c r="U817" s="11">
        <f t="shared" si="64"/>
        <v>41812</v>
      </c>
    </row>
    <row r="818" spans="1:21" x14ac:dyDescent="0.3">
      <c r="A818" t="s">
        <v>1384</v>
      </c>
      <c r="B818">
        <v>2022</v>
      </c>
      <c r="C818" t="s">
        <v>29</v>
      </c>
      <c r="D818" t="s">
        <v>51</v>
      </c>
      <c r="E818">
        <v>2090</v>
      </c>
      <c r="F818" t="s">
        <v>321</v>
      </c>
      <c r="G818">
        <v>151900</v>
      </c>
      <c r="H818" t="s">
        <v>53</v>
      </c>
      <c r="J818" t="s">
        <v>1385</v>
      </c>
      <c r="K818" t="s">
        <v>23</v>
      </c>
      <c r="L818" t="s">
        <v>230</v>
      </c>
      <c r="M818" t="s">
        <v>25</v>
      </c>
      <c r="N818" t="s">
        <v>26</v>
      </c>
      <c r="O818" t="s">
        <v>27</v>
      </c>
      <c r="P818" s="1">
        <v>44788</v>
      </c>
      <c r="Q818">
        <f t="shared" si="60"/>
        <v>0</v>
      </c>
      <c r="R818">
        <f t="shared" si="61"/>
        <v>1</v>
      </c>
      <c r="S818">
        <f t="shared" si="62"/>
        <v>0</v>
      </c>
      <c r="T818" s="11">
        <f t="shared" si="63"/>
        <v>2022</v>
      </c>
      <c r="U818" s="11">
        <f t="shared" si="64"/>
        <v>2090</v>
      </c>
    </row>
    <row r="819" spans="1:21" x14ac:dyDescent="0.3">
      <c r="A819" t="s">
        <v>1386</v>
      </c>
      <c r="B819">
        <v>2019</v>
      </c>
      <c r="C819" t="s">
        <v>56</v>
      </c>
      <c r="D819" t="s">
        <v>30</v>
      </c>
      <c r="E819">
        <v>18480</v>
      </c>
      <c r="F819" t="s">
        <v>57</v>
      </c>
      <c r="G819">
        <v>52300</v>
      </c>
      <c r="H819" t="s">
        <v>20</v>
      </c>
      <c r="I819" t="s">
        <v>78</v>
      </c>
      <c r="J819" t="s">
        <v>124</v>
      </c>
      <c r="K819" t="s">
        <v>23</v>
      </c>
      <c r="N819" t="s">
        <v>127</v>
      </c>
      <c r="O819" t="s">
        <v>27</v>
      </c>
      <c r="P819" s="1">
        <v>44788</v>
      </c>
      <c r="Q819">
        <f t="shared" si="60"/>
        <v>0</v>
      </c>
      <c r="R819">
        <f t="shared" si="61"/>
        <v>0</v>
      </c>
      <c r="S819">
        <f t="shared" si="62"/>
        <v>0</v>
      </c>
      <c r="T819" s="11">
        <f t="shared" si="63"/>
        <v>2019</v>
      </c>
      <c r="U819" s="11">
        <f t="shared" si="64"/>
        <v>18480</v>
      </c>
    </row>
    <row r="820" spans="1:21" x14ac:dyDescent="0.3">
      <c r="A820" t="s">
        <v>1387</v>
      </c>
      <c r="B820">
        <v>2018</v>
      </c>
      <c r="C820" t="s">
        <v>56</v>
      </c>
      <c r="D820" t="s">
        <v>53</v>
      </c>
      <c r="E820">
        <v>61010</v>
      </c>
      <c r="F820" t="s">
        <v>234</v>
      </c>
      <c r="G820">
        <v>47700</v>
      </c>
      <c r="H820" t="s">
        <v>20</v>
      </c>
      <c r="I820" t="s">
        <v>58</v>
      </c>
      <c r="J820" t="s">
        <v>579</v>
      </c>
      <c r="K820" t="s">
        <v>23</v>
      </c>
      <c r="L820" t="s">
        <v>205</v>
      </c>
      <c r="M820" t="s">
        <v>42</v>
      </c>
      <c r="N820" t="s">
        <v>26</v>
      </c>
      <c r="O820" t="s">
        <v>27</v>
      </c>
      <c r="P820" s="1">
        <v>44788</v>
      </c>
      <c r="Q820">
        <f t="shared" si="60"/>
        <v>0</v>
      </c>
      <c r="R820">
        <f t="shared" si="61"/>
        <v>0</v>
      </c>
      <c r="S820">
        <f t="shared" si="62"/>
        <v>0</v>
      </c>
      <c r="T820" s="11">
        <f t="shared" si="63"/>
        <v>2018</v>
      </c>
      <c r="U820" s="11">
        <f t="shared" si="64"/>
        <v>61010</v>
      </c>
    </row>
    <row r="821" spans="1:21" x14ac:dyDescent="0.3">
      <c r="A821" t="s">
        <v>1388</v>
      </c>
      <c r="B821">
        <v>2019</v>
      </c>
      <c r="C821" t="s">
        <v>56</v>
      </c>
      <c r="D821" t="s">
        <v>93</v>
      </c>
      <c r="E821">
        <v>24908</v>
      </c>
      <c r="F821" t="s">
        <v>57</v>
      </c>
      <c r="G821">
        <v>54200</v>
      </c>
      <c r="H821" t="s">
        <v>20</v>
      </c>
      <c r="I821" t="s">
        <v>78</v>
      </c>
      <c r="J821" t="s">
        <v>218</v>
      </c>
      <c r="K821" t="s">
        <v>23</v>
      </c>
      <c r="L821" t="s">
        <v>330</v>
      </c>
      <c r="M821" t="s">
        <v>42</v>
      </c>
      <c r="N821" t="s">
        <v>26</v>
      </c>
      <c r="O821" t="s">
        <v>27</v>
      </c>
      <c r="P821" s="1">
        <v>44788</v>
      </c>
      <c r="Q821">
        <f t="shared" si="60"/>
        <v>0</v>
      </c>
      <c r="R821">
        <f t="shared" si="61"/>
        <v>0</v>
      </c>
      <c r="S821">
        <f t="shared" si="62"/>
        <v>0</v>
      </c>
      <c r="T821" s="11">
        <f t="shared" si="63"/>
        <v>2019</v>
      </c>
      <c r="U821" s="11">
        <f t="shared" si="64"/>
        <v>24908</v>
      </c>
    </row>
    <row r="822" spans="1:21" x14ac:dyDescent="0.3">
      <c r="A822" t="s">
        <v>1389</v>
      </c>
      <c r="B822">
        <v>2018</v>
      </c>
      <c r="C822" t="s">
        <v>56</v>
      </c>
      <c r="D822" t="s">
        <v>32</v>
      </c>
      <c r="E822">
        <v>38628</v>
      </c>
      <c r="F822" t="s">
        <v>57</v>
      </c>
      <c r="G822">
        <v>50100</v>
      </c>
      <c r="H822" t="s">
        <v>20</v>
      </c>
      <c r="I822" t="s">
        <v>58</v>
      </c>
      <c r="J822" t="s">
        <v>168</v>
      </c>
      <c r="K822" t="s">
        <v>23</v>
      </c>
      <c r="L822" t="s">
        <v>205</v>
      </c>
      <c r="M822" t="s">
        <v>42</v>
      </c>
      <c r="N822" t="s">
        <v>26</v>
      </c>
      <c r="O822" t="s">
        <v>27</v>
      </c>
      <c r="P822" s="1">
        <v>44788</v>
      </c>
      <c r="Q822">
        <f t="shared" si="60"/>
        <v>0</v>
      </c>
      <c r="R822">
        <f t="shared" si="61"/>
        <v>0</v>
      </c>
      <c r="S822">
        <f t="shared" si="62"/>
        <v>0</v>
      </c>
      <c r="T822" s="11">
        <f t="shared" si="63"/>
        <v>2018</v>
      </c>
      <c r="U822" s="11">
        <f t="shared" si="64"/>
        <v>38628</v>
      </c>
    </row>
    <row r="823" spans="1:21" x14ac:dyDescent="0.3">
      <c r="A823" t="s">
        <v>1390</v>
      </c>
      <c r="B823">
        <v>2020</v>
      </c>
      <c r="C823" t="s">
        <v>56</v>
      </c>
      <c r="D823" t="s">
        <v>32</v>
      </c>
      <c r="E823">
        <v>26099</v>
      </c>
      <c r="F823" t="s">
        <v>57</v>
      </c>
      <c r="G823">
        <v>56500</v>
      </c>
      <c r="H823" t="s">
        <v>77</v>
      </c>
      <c r="I823" t="s">
        <v>78</v>
      </c>
      <c r="J823" t="s">
        <v>650</v>
      </c>
      <c r="K823" t="s">
        <v>23</v>
      </c>
      <c r="L823" t="s">
        <v>193</v>
      </c>
      <c r="M823" t="s">
        <v>194</v>
      </c>
      <c r="N823" t="s">
        <v>26</v>
      </c>
      <c r="O823" t="s">
        <v>27</v>
      </c>
      <c r="P823" s="1">
        <v>44788</v>
      </c>
      <c r="Q823">
        <f t="shared" si="60"/>
        <v>0</v>
      </c>
      <c r="R823">
        <f t="shared" si="61"/>
        <v>0</v>
      </c>
      <c r="S823">
        <f t="shared" si="62"/>
        <v>0</v>
      </c>
      <c r="T823" s="11">
        <f t="shared" si="63"/>
        <v>2020</v>
      </c>
      <c r="U823" s="11">
        <f t="shared" si="64"/>
        <v>26099</v>
      </c>
    </row>
    <row r="824" spans="1:21" x14ac:dyDescent="0.3">
      <c r="A824" t="s">
        <v>1391</v>
      </c>
      <c r="B824">
        <v>2020</v>
      </c>
      <c r="C824" t="s">
        <v>56</v>
      </c>
      <c r="D824" t="s">
        <v>53</v>
      </c>
      <c r="E824">
        <v>34339</v>
      </c>
      <c r="F824" t="s">
        <v>57</v>
      </c>
      <c r="G824">
        <v>56800</v>
      </c>
      <c r="H824" t="s">
        <v>20</v>
      </c>
      <c r="I824" t="s">
        <v>58</v>
      </c>
      <c r="J824" t="s">
        <v>59</v>
      </c>
      <c r="K824" t="s">
        <v>23</v>
      </c>
      <c r="L824" t="s">
        <v>330</v>
      </c>
      <c r="M824" t="s">
        <v>42</v>
      </c>
      <c r="N824" t="s">
        <v>26</v>
      </c>
      <c r="O824" t="s">
        <v>27</v>
      </c>
      <c r="P824" s="1">
        <v>44788</v>
      </c>
      <c r="Q824">
        <f t="shared" si="60"/>
        <v>0</v>
      </c>
      <c r="R824">
        <f t="shared" si="61"/>
        <v>0</v>
      </c>
      <c r="S824">
        <f t="shared" si="62"/>
        <v>0</v>
      </c>
      <c r="T824" s="11">
        <f t="shared" si="63"/>
        <v>2020</v>
      </c>
      <c r="U824" s="11">
        <f t="shared" si="64"/>
        <v>34339</v>
      </c>
    </row>
    <row r="825" spans="1:21" x14ac:dyDescent="0.3">
      <c r="A825" t="s">
        <v>1392</v>
      </c>
      <c r="B825">
        <v>2019</v>
      </c>
      <c r="C825" t="s">
        <v>56</v>
      </c>
      <c r="D825" t="s">
        <v>93</v>
      </c>
      <c r="E825">
        <v>20281</v>
      </c>
      <c r="F825" t="s">
        <v>57</v>
      </c>
      <c r="G825">
        <v>51900</v>
      </c>
      <c r="H825" t="s">
        <v>20</v>
      </c>
      <c r="I825" t="s">
        <v>58</v>
      </c>
      <c r="J825" t="s">
        <v>842</v>
      </c>
      <c r="K825" t="s">
        <v>23</v>
      </c>
      <c r="L825" t="s">
        <v>24</v>
      </c>
      <c r="M825" t="s">
        <v>25</v>
      </c>
      <c r="N825" t="s">
        <v>26</v>
      </c>
      <c r="O825" t="s">
        <v>27</v>
      </c>
      <c r="P825" s="1">
        <v>44788</v>
      </c>
      <c r="Q825">
        <f t="shared" si="60"/>
        <v>0</v>
      </c>
      <c r="R825">
        <f t="shared" si="61"/>
        <v>0</v>
      </c>
      <c r="S825">
        <f t="shared" si="62"/>
        <v>0</v>
      </c>
      <c r="T825" s="11">
        <f t="shared" si="63"/>
        <v>2019</v>
      </c>
      <c r="U825" s="11">
        <f t="shared" si="64"/>
        <v>20281</v>
      </c>
    </row>
    <row r="826" spans="1:21" x14ac:dyDescent="0.3">
      <c r="A826" t="s">
        <v>1393</v>
      </c>
      <c r="B826">
        <v>2019</v>
      </c>
      <c r="C826" t="s">
        <v>56</v>
      </c>
      <c r="D826" t="s">
        <v>32</v>
      </c>
      <c r="E826">
        <v>19628</v>
      </c>
      <c r="F826" t="s">
        <v>57</v>
      </c>
      <c r="G826">
        <v>57500</v>
      </c>
      <c r="H826" t="s">
        <v>77</v>
      </c>
      <c r="I826" t="s">
        <v>58</v>
      </c>
      <c r="J826" t="s">
        <v>411</v>
      </c>
      <c r="K826" t="s">
        <v>23</v>
      </c>
      <c r="L826" t="s">
        <v>163</v>
      </c>
      <c r="M826" t="s">
        <v>164</v>
      </c>
      <c r="N826" t="s">
        <v>26</v>
      </c>
      <c r="O826" t="s">
        <v>27</v>
      </c>
      <c r="P826" s="1">
        <v>44788</v>
      </c>
      <c r="Q826">
        <f t="shared" si="60"/>
        <v>0</v>
      </c>
      <c r="R826">
        <f t="shared" si="61"/>
        <v>0</v>
      </c>
      <c r="S826">
        <f t="shared" si="62"/>
        <v>0</v>
      </c>
      <c r="T826" s="11">
        <f t="shared" si="63"/>
        <v>2019</v>
      </c>
      <c r="U826" s="11">
        <f t="shared" si="64"/>
        <v>19628</v>
      </c>
    </row>
    <row r="827" spans="1:21" x14ac:dyDescent="0.3">
      <c r="A827" t="s">
        <v>1394</v>
      </c>
      <c r="B827">
        <v>2020</v>
      </c>
      <c r="C827" t="s">
        <v>56</v>
      </c>
      <c r="D827" t="s">
        <v>53</v>
      </c>
      <c r="E827">
        <v>27540</v>
      </c>
      <c r="F827" t="s">
        <v>57</v>
      </c>
      <c r="G827">
        <v>55300</v>
      </c>
      <c r="H827" t="s">
        <v>20</v>
      </c>
      <c r="I827" t="s">
        <v>58</v>
      </c>
      <c r="J827" t="s">
        <v>59</v>
      </c>
      <c r="K827" t="s">
        <v>23</v>
      </c>
      <c r="L827" t="s">
        <v>447</v>
      </c>
      <c r="N827" t="s">
        <v>203</v>
      </c>
      <c r="O827" t="s">
        <v>27</v>
      </c>
      <c r="P827" s="1">
        <v>44788</v>
      </c>
      <c r="Q827">
        <f t="shared" si="60"/>
        <v>0</v>
      </c>
      <c r="R827">
        <f t="shared" si="61"/>
        <v>0</v>
      </c>
      <c r="S827">
        <f t="shared" si="62"/>
        <v>0</v>
      </c>
      <c r="T827" s="11">
        <f t="shared" si="63"/>
        <v>2020</v>
      </c>
      <c r="U827" s="11">
        <f t="shared" si="64"/>
        <v>27540</v>
      </c>
    </row>
    <row r="828" spans="1:21" x14ac:dyDescent="0.3">
      <c r="A828" t="s">
        <v>1395</v>
      </c>
      <c r="B828">
        <v>2017</v>
      </c>
      <c r="C828" t="s">
        <v>29</v>
      </c>
      <c r="D828" t="s">
        <v>76</v>
      </c>
      <c r="E828">
        <v>12793</v>
      </c>
      <c r="F828" t="s">
        <v>270</v>
      </c>
      <c r="G828">
        <v>90000</v>
      </c>
      <c r="H828" t="s">
        <v>53</v>
      </c>
      <c r="I828" t="s">
        <v>110</v>
      </c>
      <c r="J828" t="s">
        <v>1396</v>
      </c>
      <c r="K828" t="s">
        <v>23</v>
      </c>
      <c r="L828" t="s">
        <v>205</v>
      </c>
      <c r="M828" t="s">
        <v>42</v>
      </c>
      <c r="N828" t="s">
        <v>26</v>
      </c>
      <c r="O828" t="s">
        <v>27</v>
      </c>
      <c r="P828" s="1">
        <v>44788</v>
      </c>
      <c r="Q828">
        <f t="shared" si="60"/>
        <v>0</v>
      </c>
      <c r="R828">
        <f t="shared" si="61"/>
        <v>1</v>
      </c>
      <c r="S828">
        <f t="shared" si="62"/>
        <v>0</v>
      </c>
      <c r="T828" s="11">
        <f t="shared" si="63"/>
        <v>2017</v>
      </c>
      <c r="U828" s="11">
        <f t="shared" si="64"/>
        <v>12793</v>
      </c>
    </row>
    <row r="829" spans="1:21" x14ac:dyDescent="0.3">
      <c r="A829" t="s">
        <v>1397</v>
      </c>
      <c r="B829">
        <v>2019</v>
      </c>
      <c r="C829" t="s">
        <v>56</v>
      </c>
      <c r="D829" t="s">
        <v>32</v>
      </c>
      <c r="E829">
        <v>34447</v>
      </c>
      <c r="F829" t="s">
        <v>57</v>
      </c>
      <c r="G829">
        <v>52000</v>
      </c>
      <c r="H829" t="s">
        <v>77</v>
      </c>
      <c r="I829" t="s">
        <v>78</v>
      </c>
      <c r="J829" t="s">
        <v>650</v>
      </c>
      <c r="K829" t="s">
        <v>23</v>
      </c>
      <c r="N829" t="s">
        <v>127</v>
      </c>
      <c r="O829" t="s">
        <v>27</v>
      </c>
      <c r="P829" s="1">
        <v>44788</v>
      </c>
      <c r="Q829">
        <f t="shared" si="60"/>
        <v>0</v>
      </c>
      <c r="R829">
        <f t="shared" si="61"/>
        <v>0</v>
      </c>
      <c r="S829">
        <f t="shared" si="62"/>
        <v>0</v>
      </c>
      <c r="T829" s="11">
        <f t="shared" si="63"/>
        <v>2019</v>
      </c>
      <c r="U829" s="11">
        <f t="shared" si="64"/>
        <v>34447</v>
      </c>
    </row>
    <row r="830" spans="1:21" x14ac:dyDescent="0.3">
      <c r="A830" t="s">
        <v>1398</v>
      </c>
      <c r="B830">
        <v>2018</v>
      </c>
      <c r="C830" t="s">
        <v>37</v>
      </c>
      <c r="D830" t="s">
        <v>30</v>
      </c>
      <c r="E830">
        <v>36263</v>
      </c>
      <c r="F830" t="s">
        <v>52</v>
      </c>
      <c r="G830">
        <v>76900</v>
      </c>
      <c r="H830" t="s">
        <v>45</v>
      </c>
      <c r="I830" t="s">
        <v>78</v>
      </c>
      <c r="J830" t="s">
        <v>1399</v>
      </c>
      <c r="K830" t="s">
        <v>23</v>
      </c>
      <c r="L830" t="s">
        <v>137</v>
      </c>
      <c r="M830" t="s">
        <v>138</v>
      </c>
      <c r="N830" t="s">
        <v>139</v>
      </c>
      <c r="O830" t="s">
        <v>27</v>
      </c>
      <c r="P830" s="1">
        <v>44788</v>
      </c>
      <c r="Q830">
        <f t="shared" si="60"/>
        <v>1</v>
      </c>
      <c r="R830">
        <f t="shared" si="61"/>
        <v>0</v>
      </c>
      <c r="S830">
        <f t="shared" si="62"/>
        <v>0</v>
      </c>
      <c r="T830" s="11">
        <f t="shared" si="63"/>
        <v>2018</v>
      </c>
      <c r="U830" s="11">
        <f t="shared" si="64"/>
        <v>36263</v>
      </c>
    </row>
    <row r="831" spans="1:21" x14ac:dyDescent="0.3">
      <c r="A831" t="s">
        <v>1400</v>
      </c>
      <c r="B831">
        <v>2018</v>
      </c>
      <c r="C831" t="s">
        <v>56</v>
      </c>
      <c r="D831" t="s">
        <v>53</v>
      </c>
      <c r="E831">
        <v>60963</v>
      </c>
      <c r="F831" t="s">
        <v>57</v>
      </c>
      <c r="G831">
        <v>46400</v>
      </c>
      <c r="H831" t="s">
        <v>20</v>
      </c>
      <c r="I831" t="s">
        <v>78</v>
      </c>
      <c r="J831" t="s">
        <v>564</v>
      </c>
      <c r="K831" t="s">
        <v>23</v>
      </c>
      <c r="N831" t="s">
        <v>127</v>
      </c>
      <c r="O831" t="s">
        <v>27</v>
      </c>
      <c r="P831" s="1">
        <v>44788</v>
      </c>
      <c r="Q831">
        <f t="shared" si="60"/>
        <v>0</v>
      </c>
      <c r="R831">
        <f t="shared" si="61"/>
        <v>0</v>
      </c>
      <c r="S831">
        <f t="shared" si="62"/>
        <v>0</v>
      </c>
      <c r="T831" s="11">
        <f t="shared" si="63"/>
        <v>2018</v>
      </c>
      <c r="U831" s="11">
        <f t="shared" si="64"/>
        <v>60963</v>
      </c>
    </row>
    <row r="832" spans="1:21" x14ac:dyDescent="0.3">
      <c r="A832" t="s">
        <v>1401</v>
      </c>
      <c r="B832">
        <v>2020</v>
      </c>
      <c r="C832" t="s">
        <v>56</v>
      </c>
      <c r="D832" t="s">
        <v>93</v>
      </c>
      <c r="E832">
        <v>29111</v>
      </c>
      <c r="F832" t="s">
        <v>57</v>
      </c>
      <c r="G832">
        <v>55300</v>
      </c>
      <c r="H832" t="s">
        <v>20</v>
      </c>
      <c r="I832" t="s">
        <v>58</v>
      </c>
      <c r="J832" t="s">
        <v>842</v>
      </c>
      <c r="K832" t="s">
        <v>23</v>
      </c>
      <c r="L832" t="s">
        <v>179</v>
      </c>
      <c r="M832" t="s">
        <v>180</v>
      </c>
      <c r="N832" t="s">
        <v>173</v>
      </c>
      <c r="O832" t="s">
        <v>27</v>
      </c>
      <c r="P832" s="1">
        <v>44788</v>
      </c>
      <c r="Q832">
        <f t="shared" si="60"/>
        <v>0</v>
      </c>
      <c r="R832">
        <f t="shared" si="61"/>
        <v>0</v>
      </c>
      <c r="S832">
        <f t="shared" si="62"/>
        <v>0</v>
      </c>
      <c r="T832" s="11">
        <f t="shared" si="63"/>
        <v>2020</v>
      </c>
      <c r="U832" s="11">
        <f t="shared" si="64"/>
        <v>29111</v>
      </c>
    </row>
    <row r="833" spans="1:21" x14ac:dyDescent="0.3">
      <c r="A833" t="s">
        <v>1402</v>
      </c>
      <c r="B833">
        <v>2021</v>
      </c>
      <c r="C833" t="s">
        <v>37</v>
      </c>
      <c r="D833" t="s">
        <v>32</v>
      </c>
      <c r="E833">
        <v>9633</v>
      </c>
      <c r="F833" t="s">
        <v>131</v>
      </c>
      <c r="G833">
        <v>124400</v>
      </c>
      <c r="H833" t="s">
        <v>53</v>
      </c>
      <c r="I833" t="s">
        <v>39</v>
      </c>
      <c r="J833" t="s">
        <v>1288</v>
      </c>
      <c r="K833" t="s">
        <v>23</v>
      </c>
      <c r="N833" t="s">
        <v>127</v>
      </c>
      <c r="O833" t="s">
        <v>27</v>
      </c>
      <c r="P833" s="1">
        <v>44788</v>
      </c>
      <c r="Q833">
        <f t="shared" si="60"/>
        <v>1</v>
      </c>
      <c r="R833">
        <f t="shared" si="61"/>
        <v>0</v>
      </c>
      <c r="S833">
        <f t="shared" si="62"/>
        <v>0</v>
      </c>
      <c r="T833" s="11">
        <f t="shared" si="63"/>
        <v>2021</v>
      </c>
      <c r="U833" s="11">
        <f t="shared" si="64"/>
        <v>9633</v>
      </c>
    </row>
    <row r="834" spans="1:21" x14ac:dyDescent="0.3">
      <c r="A834" t="s">
        <v>1403</v>
      </c>
      <c r="B834">
        <v>2019</v>
      </c>
      <c r="C834" t="s">
        <v>56</v>
      </c>
      <c r="D834" t="s">
        <v>32</v>
      </c>
      <c r="E834">
        <v>26947</v>
      </c>
      <c r="F834" t="s">
        <v>57</v>
      </c>
      <c r="G834">
        <v>53300</v>
      </c>
      <c r="H834" t="s">
        <v>77</v>
      </c>
      <c r="I834" t="s">
        <v>78</v>
      </c>
      <c r="J834" t="s">
        <v>650</v>
      </c>
      <c r="K834" t="s">
        <v>23</v>
      </c>
      <c r="N834" t="s">
        <v>127</v>
      </c>
      <c r="O834" t="s">
        <v>27</v>
      </c>
      <c r="P834" s="1">
        <v>44788</v>
      </c>
      <c r="Q834">
        <f t="shared" ref="Q834:Q897" si="65">--(C834="ms")</f>
        <v>0</v>
      </c>
      <c r="R834">
        <f t="shared" ref="R834:R897" si="66">--(C834="mx")</f>
        <v>0</v>
      </c>
      <c r="S834">
        <f t="shared" ref="S834:S897" si="67">--(C834="my")</f>
        <v>0</v>
      </c>
      <c r="T834" s="11">
        <f t="shared" ref="T834:T897" si="68">B834</f>
        <v>2019</v>
      </c>
      <c r="U834" s="11">
        <f t="shared" ref="U834:U897" si="69">E834</f>
        <v>26947</v>
      </c>
    </row>
    <row r="835" spans="1:21" x14ac:dyDescent="0.3">
      <c r="A835" t="s">
        <v>1404</v>
      </c>
      <c r="B835">
        <v>2018</v>
      </c>
      <c r="C835" t="s">
        <v>37</v>
      </c>
      <c r="D835" t="s">
        <v>32</v>
      </c>
      <c r="E835">
        <v>26336</v>
      </c>
      <c r="F835" t="s">
        <v>52</v>
      </c>
      <c r="G835">
        <v>79600</v>
      </c>
      <c r="H835" t="s">
        <v>53</v>
      </c>
      <c r="I835" t="s">
        <v>39</v>
      </c>
      <c r="J835" t="s">
        <v>1405</v>
      </c>
      <c r="K835" t="s">
        <v>23</v>
      </c>
      <c r="N835" t="s">
        <v>127</v>
      </c>
      <c r="O835" t="s">
        <v>27</v>
      </c>
      <c r="P835" s="1">
        <v>44788</v>
      </c>
      <c r="Q835">
        <f t="shared" si="65"/>
        <v>1</v>
      </c>
      <c r="R835">
        <f t="shared" si="66"/>
        <v>0</v>
      </c>
      <c r="S835">
        <f t="shared" si="67"/>
        <v>0</v>
      </c>
      <c r="T835" s="11">
        <f t="shared" si="68"/>
        <v>2018</v>
      </c>
      <c r="U835" s="11">
        <f t="shared" si="69"/>
        <v>26336</v>
      </c>
    </row>
    <row r="836" spans="1:21" x14ac:dyDescent="0.3">
      <c r="A836" t="s">
        <v>1406</v>
      </c>
      <c r="B836">
        <v>2020</v>
      </c>
      <c r="C836" t="s">
        <v>56</v>
      </c>
      <c r="D836" t="s">
        <v>93</v>
      </c>
      <c r="E836">
        <v>19195</v>
      </c>
      <c r="F836" t="s">
        <v>57</v>
      </c>
      <c r="G836">
        <v>57700</v>
      </c>
      <c r="H836" t="s">
        <v>20</v>
      </c>
      <c r="I836" t="s">
        <v>58</v>
      </c>
      <c r="J836" t="s">
        <v>842</v>
      </c>
      <c r="K836" t="s">
        <v>23</v>
      </c>
      <c r="N836" t="s">
        <v>127</v>
      </c>
      <c r="O836" t="s">
        <v>27</v>
      </c>
      <c r="P836" s="1">
        <v>44788</v>
      </c>
      <c r="Q836">
        <f t="shared" si="65"/>
        <v>0</v>
      </c>
      <c r="R836">
        <f t="shared" si="66"/>
        <v>0</v>
      </c>
      <c r="S836">
        <f t="shared" si="67"/>
        <v>0</v>
      </c>
      <c r="T836" s="11">
        <f t="shared" si="68"/>
        <v>2020</v>
      </c>
      <c r="U836" s="11">
        <f t="shared" si="69"/>
        <v>19195</v>
      </c>
    </row>
    <row r="837" spans="1:21" x14ac:dyDescent="0.3">
      <c r="A837" t="s">
        <v>1407</v>
      </c>
      <c r="B837">
        <v>2018</v>
      </c>
      <c r="C837" t="s">
        <v>56</v>
      </c>
      <c r="D837" t="s">
        <v>53</v>
      </c>
      <c r="E837">
        <v>16777</v>
      </c>
      <c r="F837" t="s">
        <v>57</v>
      </c>
      <c r="G837">
        <v>52800</v>
      </c>
      <c r="H837" t="s">
        <v>20</v>
      </c>
      <c r="I837" t="s">
        <v>78</v>
      </c>
      <c r="J837" t="s">
        <v>564</v>
      </c>
      <c r="K837" t="s">
        <v>23</v>
      </c>
      <c r="N837" t="s">
        <v>127</v>
      </c>
      <c r="O837" t="s">
        <v>27</v>
      </c>
      <c r="P837" s="1">
        <v>44788</v>
      </c>
      <c r="Q837">
        <f t="shared" si="65"/>
        <v>0</v>
      </c>
      <c r="R837">
        <f t="shared" si="66"/>
        <v>0</v>
      </c>
      <c r="S837">
        <f t="shared" si="67"/>
        <v>0</v>
      </c>
      <c r="T837" s="11">
        <f t="shared" si="68"/>
        <v>2018</v>
      </c>
      <c r="U837" s="11">
        <f t="shared" si="69"/>
        <v>16777</v>
      </c>
    </row>
    <row r="838" spans="1:21" x14ac:dyDescent="0.3">
      <c r="A838" t="s">
        <v>1408</v>
      </c>
      <c r="B838">
        <v>2019</v>
      </c>
      <c r="C838" t="s">
        <v>56</v>
      </c>
      <c r="D838" t="s">
        <v>53</v>
      </c>
      <c r="E838">
        <v>35662</v>
      </c>
      <c r="F838" t="s">
        <v>57</v>
      </c>
      <c r="G838">
        <v>48600</v>
      </c>
      <c r="H838" t="s">
        <v>20</v>
      </c>
      <c r="I838" t="s">
        <v>58</v>
      </c>
      <c r="J838" t="s">
        <v>59</v>
      </c>
      <c r="K838" t="s">
        <v>23</v>
      </c>
      <c r="L838" t="s">
        <v>278</v>
      </c>
      <c r="M838" t="s">
        <v>148</v>
      </c>
      <c r="N838" t="s">
        <v>149</v>
      </c>
      <c r="O838" t="s">
        <v>27</v>
      </c>
      <c r="P838" s="1">
        <v>44788</v>
      </c>
      <c r="Q838">
        <f t="shared" si="65"/>
        <v>0</v>
      </c>
      <c r="R838">
        <f t="shared" si="66"/>
        <v>0</v>
      </c>
      <c r="S838">
        <f t="shared" si="67"/>
        <v>0</v>
      </c>
      <c r="T838" s="11">
        <f t="shared" si="68"/>
        <v>2019</v>
      </c>
      <c r="U838" s="11">
        <f t="shared" si="69"/>
        <v>35662</v>
      </c>
    </row>
    <row r="839" spans="1:21" x14ac:dyDescent="0.3">
      <c r="A839" t="s">
        <v>1409</v>
      </c>
      <c r="B839">
        <v>2019</v>
      </c>
      <c r="C839" t="s">
        <v>29</v>
      </c>
      <c r="D839" t="s">
        <v>32</v>
      </c>
      <c r="E839">
        <v>47344</v>
      </c>
      <c r="F839" t="s">
        <v>177</v>
      </c>
      <c r="G839">
        <v>91200</v>
      </c>
      <c r="H839" t="s">
        <v>53</v>
      </c>
      <c r="I839" t="s">
        <v>110</v>
      </c>
      <c r="J839" t="s">
        <v>1410</v>
      </c>
      <c r="K839" t="s">
        <v>23</v>
      </c>
      <c r="N839" t="s">
        <v>127</v>
      </c>
      <c r="O839" t="s">
        <v>27</v>
      </c>
      <c r="P839" s="1">
        <v>44788</v>
      </c>
      <c r="Q839">
        <f t="shared" si="65"/>
        <v>0</v>
      </c>
      <c r="R839">
        <f t="shared" si="66"/>
        <v>1</v>
      </c>
      <c r="S839">
        <f t="shared" si="67"/>
        <v>0</v>
      </c>
      <c r="T839" s="11">
        <f t="shared" si="68"/>
        <v>2019</v>
      </c>
      <c r="U839" s="11">
        <f t="shared" si="69"/>
        <v>47344</v>
      </c>
    </row>
    <row r="840" spans="1:21" x14ac:dyDescent="0.3">
      <c r="A840" t="s">
        <v>1411</v>
      </c>
      <c r="B840">
        <v>2019</v>
      </c>
      <c r="C840" t="s">
        <v>29</v>
      </c>
      <c r="D840" t="s">
        <v>32</v>
      </c>
      <c r="E840">
        <v>23792</v>
      </c>
      <c r="F840" t="s">
        <v>177</v>
      </c>
      <c r="G840">
        <v>104600</v>
      </c>
      <c r="H840" t="s">
        <v>32</v>
      </c>
      <c r="I840" t="s">
        <v>21</v>
      </c>
      <c r="J840" t="s">
        <v>1412</v>
      </c>
      <c r="K840" t="s">
        <v>23</v>
      </c>
      <c r="L840" t="s">
        <v>122</v>
      </c>
      <c r="M840" t="s">
        <v>113</v>
      </c>
      <c r="N840" t="s">
        <v>114</v>
      </c>
      <c r="O840" t="s">
        <v>27</v>
      </c>
      <c r="P840" s="1">
        <v>44788</v>
      </c>
      <c r="Q840">
        <f t="shared" si="65"/>
        <v>0</v>
      </c>
      <c r="R840">
        <f t="shared" si="66"/>
        <v>1</v>
      </c>
      <c r="S840">
        <f t="shared" si="67"/>
        <v>0</v>
      </c>
      <c r="T840" s="11">
        <f t="shared" si="68"/>
        <v>2019</v>
      </c>
      <c r="U840" s="11">
        <f t="shared" si="69"/>
        <v>23792</v>
      </c>
    </row>
    <row r="841" spans="1:21" x14ac:dyDescent="0.3">
      <c r="A841" t="s">
        <v>1413</v>
      </c>
      <c r="B841">
        <v>2018</v>
      </c>
      <c r="C841" t="s">
        <v>29</v>
      </c>
      <c r="D841" t="s">
        <v>32</v>
      </c>
      <c r="E841">
        <v>28695</v>
      </c>
      <c r="F841" t="s">
        <v>270</v>
      </c>
      <c r="G841">
        <v>94100</v>
      </c>
      <c r="H841" t="s">
        <v>32</v>
      </c>
      <c r="I841" t="s">
        <v>110</v>
      </c>
      <c r="J841" t="s">
        <v>1414</v>
      </c>
      <c r="K841" t="s">
        <v>23</v>
      </c>
      <c r="N841" t="s">
        <v>127</v>
      </c>
      <c r="O841" t="s">
        <v>27</v>
      </c>
      <c r="P841" s="1">
        <v>44788</v>
      </c>
      <c r="Q841">
        <f t="shared" si="65"/>
        <v>0</v>
      </c>
      <c r="R841">
        <f t="shared" si="66"/>
        <v>1</v>
      </c>
      <c r="S841">
        <f t="shared" si="67"/>
        <v>0</v>
      </c>
      <c r="T841" s="11">
        <f t="shared" si="68"/>
        <v>2018</v>
      </c>
      <c r="U841" s="11">
        <f t="shared" si="69"/>
        <v>28695</v>
      </c>
    </row>
    <row r="842" spans="1:21" x14ac:dyDescent="0.3">
      <c r="A842" t="s">
        <v>1415</v>
      </c>
      <c r="B842">
        <v>2021</v>
      </c>
      <c r="C842" t="s">
        <v>17</v>
      </c>
      <c r="D842" t="s">
        <v>32</v>
      </c>
      <c r="E842">
        <v>14016</v>
      </c>
      <c r="F842" t="s">
        <v>189</v>
      </c>
      <c r="G842">
        <v>79000</v>
      </c>
      <c r="H842" t="s">
        <v>20</v>
      </c>
      <c r="I842" t="s">
        <v>39</v>
      </c>
      <c r="J842" t="s">
        <v>1253</v>
      </c>
      <c r="K842" t="s">
        <v>23</v>
      </c>
      <c r="L842" t="s">
        <v>117</v>
      </c>
      <c r="M842" t="s">
        <v>118</v>
      </c>
      <c r="N842" t="s">
        <v>119</v>
      </c>
      <c r="O842" t="s">
        <v>27</v>
      </c>
      <c r="P842" s="1">
        <v>44788</v>
      </c>
      <c r="Q842">
        <f t="shared" si="65"/>
        <v>0</v>
      </c>
      <c r="R842">
        <f t="shared" si="66"/>
        <v>0</v>
      </c>
      <c r="S842">
        <f t="shared" si="67"/>
        <v>1</v>
      </c>
      <c r="T842" s="11">
        <f t="shared" si="68"/>
        <v>2021</v>
      </c>
      <c r="U842" s="11">
        <f t="shared" si="69"/>
        <v>14016</v>
      </c>
    </row>
    <row r="843" spans="1:21" x14ac:dyDescent="0.3">
      <c r="A843" t="s">
        <v>1416</v>
      </c>
      <c r="B843">
        <v>2020</v>
      </c>
      <c r="C843" t="s">
        <v>17</v>
      </c>
      <c r="D843" t="s">
        <v>18</v>
      </c>
      <c r="E843">
        <v>30532</v>
      </c>
      <c r="F843" t="s">
        <v>156</v>
      </c>
      <c r="G843">
        <v>69100</v>
      </c>
      <c r="H843" t="s">
        <v>20</v>
      </c>
      <c r="I843" t="s">
        <v>39</v>
      </c>
      <c r="J843" t="s">
        <v>157</v>
      </c>
      <c r="K843" t="s">
        <v>23</v>
      </c>
      <c r="N843" t="s">
        <v>127</v>
      </c>
      <c r="O843" t="s">
        <v>27</v>
      </c>
      <c r="P843" s="1">
        <v>44788</v>
      </c>
      <c r="Q843">
        <f t="shared" si="65"/>
        <v>0</v>
      </c>
      <c r="R843">
        <f t="shared" si="66"/>
        <v>0</v>
      </c>
      <c r="S843">
        <f t="shared" si="67"/>
        <v>1</v>
      </c>
      <c r="T843" s="11">
        <f t="shared" si="68"/>
        <v>2020</v>
      </c>
      <c r="U843" s="11">
        <f t="shared" si="69"/>
        <v>30532</v>
      </c>
    </row>
    <row r="844" spans="1:21" x14ac:dyDescent="0.3">
      <c r="A844" t="s">
        <v>1417</v>
      </c>
      <c r="B844">
        <v>2019</v>
      </c>
      <c r="C844" t="s">
        <v>56</v>
      </c>
      <c r="D844" t="s">
        <v>76</v>
      </c>
      <c r="E844">
        <v>26358</v>
      </c>
      <c r="F844" t="s">
        <v>57</v>
      </c>
      <c r="G844">
        <v>50600</v>
      </c>
      <c r="H844" t="s">
        <v>20</v>
      </c>
      <c r="I844" t="s">
        <v>78</v>
      </c>
      <c r="J844" t="s">
        <v>347</v>
      </c>
      <c r="K844" t="s">
        <v>23</v>
      </c>
      <c r="L844" t="s">
        <v>84</v>
      </c>
      <c r="M844" t="s">
        <v>48</v>
      </c>
      <c r="N844" t="s">
        <v>69</v>
      </c>
      <c r="O844" t="s">
        <v>27</v>
      </c>
      <c r="P844" s="1">
        <v>44788</v>
      </c>
      <c r="Q844">
        <f t="shared" si="65"/>
        <v>0</v>
      </c>
      <c r="R844">
        <f t="shared" si="66"/>
        <v>0</v>
      </c>
      <c r="S844">
        <f t="shared" si="67"/>
        <v>0</v>
      </c>
      <c r="T844" s="11">
        <f t="shared" si="68"/>
        <v>2019</v>
      </c>
      <c r="U844" s="11">
        <f t="shared" si="69"/>
        <v>26358</v>
      </c>
    </row>
    <row r="845" spans="1:21" x14ac:dyDescent="0.3">
      <c r="A845" t="s">
        <v>1418</v>
      </c>
      <c r="B845">
        <v>2022</v>
      </c>
      <c r="C845" t="s">
        <v>17</v>
      </c>
      <c r="D845" t="s">
        <v>76</v>
      </c>
      <c r="E845">
        <v>3801</v>
      </c>
      <c r="F845" t="s">
        <v>189</v>
      </c>
      <c r="G845">
        <v>83600</v>
      </c>
      <c r="H845" t="s">
        <v>77</v>
      </c>
      <c r="I845" t="s">
        <v>39</v>
      </c>
      <c r="J845" t="s">
        <v>674</v>
      </c>
      <c r="K845" t="s">
        <v>23</v>
      </c>
      <c r="N845" t="s">
        <v>127</v>
      </c>
      <c r="O845" t="s">
        <v>27</v>
      </c>
      <c r="P845" s="1">
        <v>44788</v>
      </c>
      <c r="Q845">
        <f t="shared" si="65"/>
        <v>0</v>
      </c>
      <c r="R845">
        <f t="shared" si="66"/>
        <v>0</v>
      </c>
      <c r="S845">
        <f t="shared" si="67"/>
        <v>1</v>
      </c>
      <c r="T845" s="11">
        <f t="shared" si="68"/>
        <v>2022</v>
      </c>
      <c r="U845" s="11">
        <f t="shared" si="69"/>
        <v>3801</v>
      </c>
    </row>
    <row r="846" spans="1:21" x14ac:dyDescent="0.3">
      <c r="A846" t="s">
        <v>1419</v>
      </c>
      <c r="B846">
        <v>2019</v>
      </c>
      <c r="C846" t="s">
        <v>29</v>
      </c>
      <c r="D846" t="s">
        <v>51</v>
      </c>
      <c r="E846">
        <v>20298</v>
      </c>
      <c r="F846" t="s">
        <v>52</v>
      </c>
      <c r="G846">
        <v>100700</v>
      </c>
      <c r="H846" t="s">
        <v>45</v>
      </c>
      <c r="I846" t="s">
        <v>21</v>
      </c>
      <c r="J846" t="s">
        <v>1420</v>
      </c>
      <c r="K846" t="s">
        <v>23</v>
      </c>
      <c r="L846" t="s">
        <v>345</v>
      </c>
      <c r="M846" t="s">
        <v>48</v>
      </c>
      <c r="N846" t="s">
        <v>69</v>
      </c>
      <c r="O846" t="s">
        <v>27</v>
      </c>
      <c r="P846" s="1">
        <v>44788</v>
      </c>
      <c r="Q846">
        <f t="shared" si="65"/>
        <v>0</v>
      </c>
      <c r="R846">
        <f t="shared" si="66"/>
        <v>1</v>
      </c>
      <c r="S846">
        <f t="shared" si="67"/>
        <v>0</v>
      </c>
      <c r="T846" s="11">
        <f t="shared" si="68"/>
        <v>2019</v>
      </c>
      <c r="U846" s="11">
        <f t="shared" si="69"/>
        <v>20298</v>
      </c>
    </row>
    <row r="847" spans="1:21" x14ac:dyDescent="0.3">
      <c r="A847" t="s">
        <v>1421</v>
      </c>
      <c r="B847">
        <v>2018</v>
      </c>
      <c r="C847" t="s">
        <v>56</v>
      </c>
      <c r="D847" t="s">
        <v>30</v>
      </c>
      <c r="E847">
        <v>23745</v>
      </c>
      <c r="F847" t="s">
        <v>57</v>
      </c>
      <c r="G847">
        <v>52400</v>
      </c>
      <c r="H847" t="s">
        <v>20</v>
      </c>
      <c r="I847" t="s">
        <v>78</v>
      </c>
      <c r="J847" t="s">
        <v>124</v>
      </c>
      <c r="K847" t="s">
        <v>23</v>
      </c>
      <c r="L847" t="s">
        <v>494</v>
      </c>
      <c r="M847" t="s">
        <v>113</v>
      </c>
      <c r="N847" t="s">
        <v>114</v>
      </c>
      <c r="O847" t="s">
        <v>27</v>
      </c>
      <c r="P847" s="1">
        <v>44788</v>
      </c>
      <c r="Q847">
        <f t="shared" si="65"/>
        <v>0</v>
      </c>
      <c r="R847">
        <f t="shared" si="66"/>
        <v>0</v>
      </c>
      <c r="S847">
        <f t="shared" si="67"/>
        <v>0</v>
      </c>
      <c r="T847" s="11">
        <f t="shared" si="68"/>
        <v>2018</v>
      </c>
      <c r="U847" s="11">
        <f t="shared" si="69"/>
        <v>23745</v>
      </c>
    </row>
    <row r="848" spans="1:21" x14ac:dyDescent="0.3">
      <c r="A848" t="s">
        <v>1422</v>
      </c>
      <c r="B848">
        <v>2021</v>
      </c>
      <c r="C848" t="s">
        <v>29</v>
      </c>
      <c r="D848" t="s">
        <v>32</v>
      </c>
      <c r="E848">
        <v>30737</v>
      </c>
      <c r="F848" t="s">
        <v>177</v>
      </c>
      <c r="G848">
        <v>121900</v>
      </c>
      <c r="H848" t="s">
        <v>32</v>
      </c>
      <c r="I848" t="s">
        <v>110</v>
      </c>
      <c r="J848" t="s">
        <v>1423</v>
      </c>
      <c r="K848" t="s">
        <v>23</v>
      </c>
      <c r="L848" t="s">
        <v>490</v>
      </c>
      <c r="M848" t="s">
        <v>491</v>
      </c>
      <c r="N848" t="s">
        <v>406</v>
      </c>
      <c r="O848" t="s">
        <v>27</v>
      </c>
      <c r="P848" s="1">
        <v>44788</v>
      </c>
      <c r="Q848">
        <f t="shared" si="65"/>
        <v>0</v>
      </c>
      <c r="R848">
        <f t="shared" si="66"/>
        <v>1</v>
      </c>
      <c r="S848">
        <f t="shared" si="67"/>
        <v>0</v>
      </c>
      <c r="T848" s="11">
        <f t="shared" si="68"/>
        <v>2021</v>
      </c>
      <c r="U848" s="11">
        <f t="shared" si="69"/>
        <v>30737</v>
      </c>
    </row>
    <row r="849" spans="1:21" x14ac:dyDescent="0.3">
      <c r="A849" t="s">
        <v>1424</v>
      </c>
      <c r="B849">
        <v>2019</v>
      </c>
      <c r="C849" t="s">
        <v>56</v>
      </c>
      <c r="D849" t="s">
        <v>32</v>
      </c>
      <c r="E849">
        <v>40689</v>
      </c>
      <c r="F849" t="s">
        <v>57</v>
      </c>
      <c r="G849">
        <v>48900</v>
      </c>
      <c r="H849" t="s">
        <v>20</v>
      </c>
      <c r="I849" t="s">
        <v>78</v>
      </c>
      <c r="J849" t="s">
        <v>275</v>
      </c>
      <c r="K849" t="s">
        <v>23</v>
      </c>
      <c r="L849" t="s">
        <v>494</v>
      </c>
      <c r="M849" t="s">
        <v>113</v>
      </c>
      <c r="N849" t="s">
        <v>114</v>
      </c>
      <c r="O849" t="s">
        <v>27</v>
      </c>
      <c r="P849" s="1">
        <v>44788</v>
      </c>
      <c r="Q849">
        <f t="shared" si="65"/>
        <v>0</v>
      </c>
      <c r="R849">
        <f t="shared" si="66"/>
        <v>0</v>
      </c>
      <c r="S849">
        <f t="shared" si="67"/>
        <v>0</v>
      </c>
      <c r="T849" s="11">
        <f t="shared" si="68"/>
        <v>2019</v>
      </c>
      <c r="U849" s="11">
        <f t="shared" si="69"/>
        <v>40689</v>
      </c>
    </row>
    <row r="850" spans="1:21" x14ac:dyDescent="0.3">
      <c r="A850" t="s">
        <v>1425</v>
      </c>
      <c r="B850">
        <v>2018</v>
      </c>
      <c r="C850" t="s">
        <v>37</v>
      </c>
      <c r="D850" t="s">
        <v>76</v>
      </c>
      <c r="E850">
        <v>45181</v>
      </c>
      <c r="F850" t="s">
        <v>270</v>
      </c>
      <c r="G850">
        <v>82300</v>
      </c>
      <c r="H850" t="s">
        <v>53</v>
      </c>
      <c r="I850" t="s">
        <v>39</v>
      </c>
      <c r="J850" t="s">
        <v>1426</v>
      </c>
      <c r="K850" t="s">
        <v>23</v>
      </c>
      <c r="L850" t="s">
        <v>47</v>
      </c>
      <c r="M850" t="s">
        <v>48</v>
      </c>
      <c r="N850" t="s">
        <v>49</v>
      </c>
      <c r="O850" t="s">
        <v>27</v>
      </c>
      <c r="P850" s="1">
        <v>44788</v>
      </c>
      <c r="Q850">
        <f t="shared" si="65"/>
        <v>1</v>
      </c>
      <c r="R850">
        <f t="shared" si="66"/>
        <v>0</v>
      </c>
      <c r="S850">
        <f t="shared" si="67"/>
        <v>0</v>
      </c>
      <c r="T850" s="11">
        <f t="shared" si="68"/>
        <v>2018</v>
      </c>
      <c r="U850" s="11">
        <f t="shared" si="69"/>
        <v>45181</v>
      </c>
    </row>
    <row r="851" spans="1:21" x14ac:dyDescent="0.3">
      <c r="A851" t="s">
        <v>1427</v>
      </c>
      <c r="B851">
        <v>2021</v>
      </c>
      <c r="C851" t="s">
        <v>37</v>
      </c>
      <c r="D851" t="s">
        <v>32</v>
      </c>
      <c r="E851">
        <v>5402</v>
      </c>
      <c r="F851" t="s">
        <v>131</v>
      </c>
      <c r="G851">
        <v>119900</v>
      </c>
      <c r="H851" t="s">
        <v>53</v>
      </c>
      <c r="I851" t="s">
        <v>39</v>
      </c>
      <c r="J851" t="s">
        <v>1288</v>
      </c>
      <c r="K851" t="s">
        <v>23</v>
      </c>
      <c r="L851" t="s">
        <v>183</v>
      </c>
      <c r="M851" t="s">
        <v>25</v>
      </c>
      <c r="N851" t="s">
        <v>26</v>
      </c>
      <c r="O851" t="s">
        <v>27</v>
      </c>
      <c r="P851" s="1">
        <v>44787</v>
      </c>
      <c r="Q851">
        <f t="shared" si="65"/>
        <v>1</v>
      </c>
      <c r="R851">
        <f t="shared" si="66"/>
        <v>0</v>
      </c>
      <c r="S851">
        <f t="shared" si="67"/>
        <v>0</v>
      </c>
      <c r="T851" s="11">
        <f t="shared" si="68"/>
        <v>2021</v>
      </c>
      <c r="U851" s="11">
        <f t="shared" si="69"/>
        <v>5402</v>
      </c>
    </row>
    <row r="852" spans="1:21" x14ac:dyDescent="0.3">
      <c r="A852" t="s">
        <v>1428</v>
      </c>
      <c r="B852">
        <v>2021</v>
      </c>
      <c r="C852" t="s">
        <v>17</v>
      </c>
      <c r="D852" t="s">
        <v>32</v>
      </c>
      <c r="E852">
        <v>8455</v>
      </c>
      <c r="F852" t="s">
        <v>19</v>
      </c>
      <c r="G852">
        <v>82500</v>
      </c>
      <c r="H852" t="s">
        <v>20</v>
      </c>
      <c r="I852" t="s">
        <v>21</v>
      </c>
      <c r="J852" t="s">
        <v>1429</v>
      </c>
      <c r="K852" t="s">
        <v>23</v>
      </c>
      <c r="L852" t="s">
        <v>363</v>
      </c>
      <c r="M852" t="s">
        <v>364</v>
      </c>
      <c r="N852" t="s">
        <v>245</v>
      </c>
      <c r="O852" t="s">
        <v>27</v>
      </c>
      <c r="P852" s="1">
        <v>44787</v>
      </c>
      <c r="Q852">
        <f t="shared" si="65"/>
        <v>0</v>
      </c>
      <c r="R852">
        <f t="shared" si="66"/>
        <v>0</v>
      </c>
      <c r="S852">
        <f t="shared" si="67"/>
        <v>1</v>
      </c>
      <c r="T852" s="11">
        <f t="shared" si="68"/>
        <v>2021</v>
      </c>
      <c r="U852" s="11">
        <f t="shared" si="69"/>
        <v>8455</v>
      </c>
    </row>
    <row r="853" spans="1:21" x14ac:dyDescent="0.3">
      <c r="A853" t="s">
        <v>1430</v>
      </c>
      <c r="B853">
        <v>2019</v>
      </c>
      <c r="C853" t="s">
        <v>56</v>
      </c>
      <c r="D853" t="s">
        <v>76</v>
      </c>
      <c r="E853">
        <v>18795</v>
      </c>
      <c r="F853" t="s">
        <v>57</v>
      </c>
      <c r="G853">
        <v>55500</v>
      </c>
      <c r="H853" t="s">
        <v>20</v>
      </c>
      <c r="I853" t="s">
        <v>78</v>
      </c>
      <c r="J853" t="s">
        <v>347</v>
      </c>
      <c r="K853" t="s">
        <v>23</v>
      </c>
      <c r="L853" t="s">
        <v>24</v>
      </c>
      <c r="M853" t="s">
        <v>25</v>
      </c>
      <c r="N853" t="s">
        <v>26</v>
      </c>
      <c r="O853" t="s">
        <v>27</v>
      </c>
      <c r="P853" s="1">
        <v>44787</v>
      </c>
      <c r="Q853">
        <f t="shared" si="65"/>
        <v>0</v>
      </c>
      <c r="R853">
        <f t="shared" si="66"/>
        <v>0</v>
      </c>
      <c r="S853">
        <f t="shared" si="67"/>
        <v>0</v>
      </c>
      <c r="T853" s="11">
        <f t="shared" si="68"/>
        <v>2019</v>
      </c>
      <c r="U853" s="11">
        <f t="shared" si="69"/>
        <v>18795</v>
      </c>
    </row>
    <row r="854" spans="1:21" x14ac:dyDescent="0.3">
      <c r="A854" t="s">
        <v>1431</v>
      </c>
      <c r="B854">
        <v>2020</v>
      </c>
      <c r="C854" t="s">
        <v>29</v>
      </c>
      <c r="D854" t="s">
        <v>32</v>
      </c>
      <c r="E854">
        <v>30696</v>
      </c>
      <c r="F854" t="s">
        <v>31</v>
      </c>
      <c r="G854">
        <v>101500</v>
      </c>
      <c r="H854" t="s">
        <v>32</v>
      </c>
      <c r="I854" t="s">
        <v>21</v>
      </c>
      <c r="J854" t="s">
        <v>1236</v>
      </c>
      <c r="K854" t="s">
        <v>23</v>
      </c>
      <c r="L854" t="s">
        <v>367</v>
      </c>
      <c r="M854" t="s">
        <v>244</v>
      </c>
      <c r="N854" t="s">
        <v>245</v>
      </c>
      <c r="O854" t="s">
        <v>27</v>
      </c>
      <c r="P854" s="1">
        <v>44787</v>
      </c>
      <c r="Q854">
        <f t="shared" si="65"/>
        <v>0</v>
      </c>
      <c r="R854">
        <f t="shared" si="66"/>
        <v>1</v>
      </c>
      <c r="S854">
        <f t="shared" si="67"/>
        <v>0</v>
      </c>
      <c r="T854" s="11">
        <f t="shared" si="68"/>
        <v>2020</v>
      </c>
      <c r="U854" s="11">
        <f t="shared" si="69"/>
        <v>30696</v>
      </c>
    </row>
    <row r="855" spans="1:21" x14ac:dyDescent="0.3">
      <c r="A855" t="s">
        <v>1432</v>
      </c>
      <c r="B855">
        <v>2019</v>
      </c>
      <c r="C855" t="s">
        <v>29</v>
      </c>
      <c r="D855" t="s">
        <v>30</v>
      </c>
      <c r="E855">
        <v>43085</v>
      </c>
      <c r="F855" t="s">
        <v>104</v>
      </c>
      <c r="G855">
        <v>80500</v>
      </c>
      <c r="H855" t="s">
        <v>105</v>
      </c>
      <c r="I855" t="s">
        <v>21</v>
      </c>
      <c r="J855" t="s">
        <v>1433</v>
      </c>
      <c r="K855" t="s">
        <v>23</v>
      </c>
      <c r="L855" t="s">
        <v>183</v>
      </c>
      <c r="M855" t="s">
        <v>25</v>
      </c>
      <c r="N855" t="s">
        <v>26</v>
      </c>
      <c r="O855" t="s">
        <v>27</v>
      </c>
      <c r="P855" s="1">
        <v>44787</v>
      </c>
      <c r="Q855">
        <f t="shared" si="65"/>
        <v>0</v>
      </c>
      <c r="R855">
        <f t="shared" si="66"/>
        <v>1</v>
      </c>
      <c r="S855">
        <f t="shared" si="67"/>
        <v>0</v>
      </c>
      <c r="T855" s="11">
        <f t="shared" si="68"/>
        <v>2019</v>
      </c>
      <c r="U855" s="11">
        <f t="shared" si="69"/>
        <v>43085</v>
      </c>
    </row>
    <row r="856" spans="1:21" x14ac:dyDescent="0.3">
      <c r="A856" t="s">
        <v>1434</v>
      </c>
      <c r="B856">
        <v>2020</v>
      </c>
      <c r="C856" t="s">
        <v>17</v>
      </c>
      <c r="D856" t="s">
        <v>32</v>
      </c>
      <c r="E856">
        <v>21105</v>
      </c>
      <c r="F856" t="s">
        <v>156</v>
      </c>
      <c r="G856">
        <v>72200</v>
      </c>
      <c r="H856" t="s">
        <v>20</v>
      </c>
      <c r="I856" t="s">
        <v>39</v>
      </c>
      <c r="J856" t="s">
        <v>258</v>
      </c>
      <c r="K856" t="s">
        <v>23</v>
      </c>
      <c r="L856" t="s">
        <v>47</v>
      </c>
      <c r="M856" t="s">
        <v>48</v>
      </c>
      <c r="N856" t="s">
        <v>49</v>
      </c>
      <c r="O856" t="s">
        <v>27</v>
      </c>
      <c r="P856" s="1">
        <v>44787</v>
      </c>
      <c r="Q856">
        <f t="shared" si="65"/>
        <v>0</v>
      </c>
      <c r="R856">
        <f t="shared" si="66"/>
        <v>0</v>
      </c>
      <c r="S856">
        <f t="shared" si="67"/>
        <v>1</v>
      </c>
      <c r="T856" s="11">
        <f t="shared" si="68"/>
        <v>2020</v>
      </c>
      <c r="U856" s="11">
        <f t="shared" si="69"/>
        <v>21105</v>
      </c>
    </row>
    <row r="857" spans="1:21" x14ac:dyDescent="0.3">
      <c r="A857" t="s">
        <v>1435</v>
      </c>
      <c r="B857">
        <v>2020</v>
      </c>
      <c r="C857" t="s">
        <v>56</v>
      </c>
      <c r="D857" t="s">
        <v>32</v>
      </c>
      <c r="E857">
        <v>26539</v>
      </c>
      <c r="F857" t="s">
        <v>57</v>
      </c>
      <c r="G857">
        <v>56200</v>
      </c>
      <c r="H857" t="s">
        <v>20</v>
      </c>
      <c r="I857" t="s">
        <v>58</v>
      </c>
      <c r="J857" t="s">
        <v>168</v>
      </c>
      <c r="K857" t="s">
        <v>23</v>
      </c>
      <c r="L857" t="s">
        <v>205</v>
      </c>
      <c r="M857" t="s">
        <v>42</v>
      </c>
      <c r="N857" t="s">
        <v>26</v>
      </c>
      <c r="O857" t="s">
        <v>27</v>
      </c>
      <c r="P857" s="1">
        <v>44787</v>
      </c>
      <c r="Q857">
        <f t="shared" si="65"/>
        <v>0</v>
      </c>
      <c r="R857">
        <f t="shared" si="66"/>
        <v>0</v>
      </c>
      <c r="S857">
        <f t="shared" si="67"/>
        <v>0</v>
      </c>
      <c r="T857" s="11">
        <f t="shared" si="68"/>
        <v>2020</v>
      </c>
      <c r="U857" s="11">
        <f t="shared" si="69"/>
        <v>26539</v>
      </c>
    </row>
    <row r="858" spans="1:21" x14ac:dyDescent="0.3">
      <c r="A858" t="s">
        <v>1436</v>
      </c>
      <c r="B858">
        <v>2020</v>
      </c>
      <c r="C858" t="s">
        <v>56</v>
      </c>
      <c r="D858" t="s">
        <v>76</v>
      </c>
      <c r="E858">
        <v>13761</v>
      </c>
      <c r="F858" t="s">
        <v>57</v>
      </c>
      <c r="G858">
        <v>55800</v>
      </c>
      <c r="H858" t="s">
        <v>77</v>
      </c>
      <c r="I858" t="s">
        <v>58</v>
      </c>
      <c r="J858" t="s">
        <v>1198</v>
      </c>
      <c r="K858" t="s">
        <v>23</v>
      </c>
      <c r="L858" t="s">
        <v>84</v>
      </c>
      <c r="M858" t="s">
        <v>48</v>
      </c>
      <c r="N858" t="s">
        <v>69</v>
      </c>
      <c r="O858" t="s">
        <v>27</v>
      </c>
      <c r="P858" s="1">
        <v>44787</v>
      </c>
      <c r="Q858">
        <f t="shared" si="65"/>
        <v>0</v>
      </c>
      <c r="R858">
        <f t="shared" si="66"/>
        <v>0</v>
      </c>
      <c r="S858">
        <f t="shared" si="67"/>
        <v>0</v>
      </c>
      <c r="T858" s="11">
        <f t="shared" si="68"/>
        <v>2020</v>
      </c>
      <c r="U858" s="11">
        <f t="shared" si="69"/>
        <v>13761</v>
      </c>
    </row>
    <row r="859" spans="1:21" x14ac:dyDescent="0.3">
      <c r="A859" t="s">
        <v>1437</v>
      </c>
      <c r="B859">
        <v>2020</v>
      </c>
      <c r="C859" t="s">
        <v>56</v>
      </c>
      <c r="D859" t="s">
        <v>32</v>
      </c>
      <c r="E859">
        <v>44656</v>
      </c>
      <c r="F859" t="s">
        <v>57</v>
      </c>
      <c r="G859">
        <v>51900</v>
      </c>
      <c r="H859" t="s">
        <v>20</v>
      </c>
      <c r="I859" t="s">
        <v>58</v>
      </c>
      <c r="J859" t="s">
        <v>168</v>
      </c>
      <c r="K859" t="s">
        <v>23</v>
      </c>
      <c r="L859" t="s">
        <v>137</v>
      </c>
      <c r="M859" t="s">
        <v>138</v>
      </c>
      <c r="N859" t="s">
        <v>139</v>
      </c>
      <c r="O859" t="s">
        <v>27</v>
      </c>
      <c r="P859" s="1">
        <v>44787</v>
      </c>
      <c r="Q859">
        <f t="shared" si="65"/>
        <v>0</v>
      </c>
      <c r="R859">
        <f t="shared" si="66"/>
        <v>0</v>
      </c>
      <c r="S859">
        <f t="shared" si="67"/>
        <v>0</v>
      </c>
      <c r="T859" s="11">
        <f t="shared" si="68"/>
        <v>2020</v>
      </c>
      <c r="U859" s="11">
        <f t="shared" si="69"/>
        <v>44656</v>
      </c>
    </row>
    <row r="860" spans="1:21" x14ac:dyDescent="0.3">
      <c r="A860" t="s">
        <v>1438</v>
      </c>
      <c r="B860">
        <v>2018</v>
      </c>
      <c r="C860" t="s">
        <v>56</v>
      </c>
      <c r="D860" t="s">
        <v>93</v>
      </c>
      <c r="E860">
        <v>43513</v>
      </c>
      <c r="F860" t="s">
        <v>57</v>
      </c>
      <c r="G860">
        <v>47500</v>
      </c>
      <c r="H860" t="s">
        <v>20</v>
      </c>
      <c r="I860" t="s">
        <v>58</v>
      </c>
      <c r="J860" t="s">
        <v>842</v>
      </c>
      <c r="K860" t="s">
        <v>23</v>
      </c>
      <c r="L860" t="s">
        <v>47</v>
      </c>
      <c r="M860" t="s">
        <v>48</v>
      </c>
      <c r="N860" t="s">
        <v>49</v>
      </c>
      <c r="O860" t="s">
        <v>27</v>
      </c>
      <c r="P860" s="1">
        <v>44787</v>
      </c>
      <c r="Q860">
        <f t="shared" si="65"/>
        <v>0</v>
      </c>
      <c r="R860">
        <f t="shared" si="66"/>
        <v>0</v>
      </c>
      <c r="S860">
        <f t="shared" si="67"/>
        <v>0</v>
      </c>
      <c r="T860" s="11">
        <f t="shared" si="68"/>
        <v>2018</v>
      </c>
      <c r="U860" s="11">
        <f t="shared" si="69"/>
        <v>43513</v>
      </c>
    </row>
    <row r="861" spans="1:21" x14ac:dyDescent="0.3">
      <c r="A861" t="s">
        <v>1439</v>
      </c>
      <c r="B861">
        <v>2020</v>
      </c>
      <c r="C861" t="s">
        <v>17</v>
      </c>
      <c r="D861" t="s">
        <v>76</v>
      </c>
      <c r="E861">
        <v>18025</v>
      </c>
      <c r="F861" t="s">
        <v>156</v>
      </c>
      <c r="G861">
        <v>68700</v>
      </c>
      <c r="H861" t="s">
        <v>20</v>
      </c>
      <c r="I861" t="s">
        <v>78</v>
      </c>
      <c r="J861" t="s">
        <v>1440</v>
      </c>
      <c r="K861" t="s">
        <v>23</v>
      </c>
      <c r="N861" t="s">
        <v>127</v>
      </c>
      <c r="O861" t="s">
        <v>27</v>
      </c>
      <c r="P861" s="1">
        <v>44787</v>
      </c>
      <c r="Q861">
        <f t="shared" si="65"/>
        <v>0</v>
      </c>
      <c r="R861">
        <f t="shared" si="66"/>
        <v>0</v>
      </c>
      <c r="S861">
        <f t="shared" si="67"/>
        <v>1</v>
      </c>
      <c r="T861" s="11">
        <f t="shared" si="68"/>
        <v>2020</v>
      </c>
      <c r="U861" s="11">
        <f t="shared" si="69"/>
        <v>18025</v>
      </c>
    </row>
    <row r="862" spans="1:21" x14ac:dyDescent="0.3">
      <c r="A862" t="s">
        <v>1441</v>
      </c>
      <c r="B862">
        <v>2021</v>
      </c>
      <c r="C862" t="s">
        <v>37</v>
      </c>
      <c r="D862" t="s">
        <v>32</v>
      </c>
      <c r="E862">
        <v>4746</v>
      </c>
      <c r="F862" t="s">
        <v>131</v>
      </c>
      <c r="G862">
        <v>126800</v>
      </c>
      <c r="H862" t="s">
        <v>32</v>
      </c>
      <c r="I862" t="s">
        <v>39</v>
      </c>
      <c r="J862" t="s">
        <v>679</v>
      </c>
      <c r="K862" t="s">
        <v>23</v>
      </c>
      <c r="L862" t="s">
        <v>122</v>
      </c>
      <c r="M862" t="s">
        <v>113</v>
      </c>
      <c r="N862" t="s">
        <v>114</v>
      </c>
      <c r="O862" t="s">
        <v>27</v>
      </c>
      <c r="P862" s="1">
        <v>44787</v>
      </c>
      <c r="Q862">
        <f t="shared" si="65"/>
        <v>1</v>
      </c>
      <c r="R862">
        <f t="shared" si="66"/>
        <v>0</v>
      </c>
      <c r="S862">
        <f t="shared" si="67"/>
        <v>0</v>
      </c>
      <c r="T862" s="11">
        <f t="shared" si="68"/>
        <v>2021</v>
      </c>
      <c r="U862" s="11">
        <f t="shared" si="69"/>
        <v>4746</v>
      </c>
    </row>
    <row r="863" spans="1:21" x14ac:dyDescent="0.3">
      <c r="A863" t="s">
        <v>1442</v>
      </c>
      <c r="B863">
        <v>2018</v>
      </c>
      <c r="C863" t="s">
        <v>37</v>
      </c>
      <c r="D863" t="s">
        <v>30</v>
      </c>
      <c r="E863">
        <v>15818</v>
      </c>
      <c r="F863" t="s">
        <v>104</v>
      </c>
      <c r="G863">
        <v>68600</v>
      </c>
      <c r="H863" t="s">
        <v>32</v>
      </c>
      <c r="I863" t="s">
        <v>78</v>
      </c>
      <c r="J863" t="s">
        <v>1443</v>
      </c>
      <c r="K863" t="s">
        <v>23</v>
      </c>
      <c r="L863" t="s">
        <v>122</v>
      </c>
      <c r="M863" t="s">
        <v>113</v>
      </c>
      <c r="N863" t="s">
        <v>114</v>
      </c>
      <c r="O863" t="s">
        <v>27</v>
      </c>
      <c r="P863" s="1">
        <v>44787</v>
      </c>
      <c r="Q863">
        <f t="shared" si="65"/>
        <v>1</v>
      </c>
      <c r="R863">
        <f t="shared" si="66"/>
        <v>0</v>
      </c>
      <c r="S863">
        <f t="shared" si="67"/>
        <v>0</v>
      </c>
      <c r="T863" s="11">
        <f t="shared" si="68"/>
        <v>2018</v>
      </c>
      <c r="U863" s="11">
        <f t="shared" si="69"/>
        <v>15818</v>
      </c>
    </row>
    <row r="864" spans="1:21" x14ac:dyDescent="0.3">
      <c r="A864" t="s">
        <v>1444</v>
      </c>
      <c r="B864">
        <v>2018</v>
      </c>
      <c r="C864" t="s">
        <v>56</v>
      </c>
      <c r="D864" t="s">
        <v>32</v>
      </c>
      <c r="E864">
        <v>33575</v>
      </c>
      <c r="F864" t="s">
        <v>57</v>
      </c>
      <c r="G864">
        <v>51100</v>
      </c>
      <c r="H864" t="s">
        <v>77</v>
      </c>
      <c r="I864" t="s">
        <v>78</v>
      </c>
      <c r="J864" t="s">
        <v>650</v>
      </c>
      <c r="K864" t="s">
        <v>23</v>
      </c>
      <c r="L864" t="s">
        <v>490</v>
      </c>
      <c r="M864" t="s">
        <v>491</v>
      </c>
      <c r="N864" t="s">
        <v>406</v>
      </c>
      <c r="O864" t="s">
        <v>27</v>
      </c>
      <c r="P864" s="1">
        <v>44787</v>
      </c>
      <c r="Q864">
        <f t="shared" si="65"/>
        <v>0</v>
      </c>
      <c r="R864">
        <f t="shared" si="66"/>
        <v>0</v>
      </c>
      <c r="S864">
        <f t="shared" si="67"/>
        <v>0</v>
      </c>
      <c r="T864" s="11">
        <f t="shared" si="68"/>
        <v>2018</v>
      </c>
      <c r="U864" s="11">
        <f t="shared" si="69"/>
        <v>33575</v>
      </c>
    </row>
    <row r="865" spans="1:21" x14ac:dyDescent="0.3">
      <c r="A865" t="s">
        <v>1445</v>
      </c>
      <c r="B865">
        <v>2017</v>
      </c>
      <c r="C865" t="s">
        <v>37</v>
      </c>
      <c r="D865" t="s">
        <v>18</v>
      </c>
      <c r="E865">
        <v>92241</v>
      </c>
      <c r="F865" t="s">
        <v>52</v>
      </c>
      <c r="G865">
        <v>63100</v>
      </c>
      <c r="H865" t="s">
        <v>53</v>
      </c>
      <c r="I865" t="s">
        <v>78</v>
      </c>
      <c r="J865" t="s">
        <v>1446</v>
      </c>
      <c r="K865" t="s">
        <v>23</v>
      </c>
      <c r="L865" t="s">
        <v>87</v>
      </c>
      <c r="M865" t="s">
        <v>88</v>
      </c>
      <c r="N865" t="s">
        <v>89</v>
      </c>
      <c r="O865" t="s">
        <v>27</v>
      </c>
      <c r="P865" s="1">
        <v>44787</v>
      </c>
      <c r="Q865">
        <f t="shared" si="65"/>
        <v>1</v>
      </c>
      <c r="R865">
        <f t="shared" si="66"/>
        <v>0</v>
      </c>
      <c r="S865">
        <f t="shared" si="67"/>
        <v>0</v>
      </c>
      <c r="T865" s="11">
        <f t="shared" si="68"/>
        <v>2017</v>
      </c>
      <c r="U865" s="11">
        <f t="shared" si="69"/>
        <v>92241</v>
      </c>
    </row>
    <row r="866" spans="1:21" x14ac:dyDescent="0.3">
      <c r="A866" t="s">
        <v>1447</v>
      </c>
      <c r="B866">
        <v>2019</v>
      </c>
      <c r="C866" t="s">
        <v>56</v>
      </c>
      <c r="D866" t="s">
        <v>30</v>
      </c>
      <c r="E866">
        <v>31543</v>
      </c>
      <c r="F866" t="s">
        <v>57</v>
      </c>
      <c r="G866">
        <v>49500</v>
      </c>
      <c r="H866" t="s">
        <v>20</v>
      </c>
      <c r="I866" t="s">
        <v>58</v>
      </c>
      <c r="J866" t="s">
        <v>413</v>
      </c>
      <c r="K866" t="s">
        <v>23</v>
      </c>
      <c r="L866" t="s">
        <v>147</v>
      </c>
      <c r="M866" t="s">
        <v>148</v>
      </c>
      <c r="N866" t="s">
        <v>149</v>
      </c>
      <c r="O866" t="s">
        <v>27</v>
      </c>
      <c r="P866" s="1">
        <v>44787</v>
      </c>
      <c r="Q866">
        <f t="shared" si="65"/>
        <v>0</v>
      </c>
      <c r="R866">
        <f t="shared" si="66"/>
        <v>0</v>
      </c>
      <c r="S866">
        <f t="shared" si="67"/>
        <v>0</v>
      </c>
      <c r="T866" s="11">
        <f t="shared" si="68"/>
        <v>2019</v>
      </c>
      <c r="U866" s="11">
        <f t="shared" si="69"/>
        <v>31543</v>
      </c>
    </row>
    <row r="867" spans="1:21" x14ac:dyDescent="0.3">
      <c r="A867" t="s">
        <v>1448</v>
      </c>
      <c r="B867">
        <v>2018</v>
      </c>
      <c r="C867" t="s">
        <v>37</v>
      </c>
      <c r="D867" t="s">
        <v>30</v>
      </c>
      <c r="E867">
        <v>35689</v>
      </c>
      <c r="F867" t="s">
        <v>104</v>
      </c>
      <c r="G867">
        <v>67500</v>
      </c>
      <c r="H867" t="s">
        <v>53</v>
      </c>
      <c r="I867" t="s">
        <v>78</v>
      </c>
      <c r="J867" t="s">
        <v>1449</v>
      </c>
      <c r="K867" t="s">
        <v>23</v>
      </c>
      <c r="L867" t="s">
        <v>47</v>
      </c>
      <c r="M867" t="s">
        <v>48</v>
      </c>
      <c r="N867" t="s">
        <v>49</v>
      </c>
      <c r="O867" t="s">
        <v>27</v>
      </c>
      <c r="P867" s="1">
        <v>44787</v>
      </c>
      <c r="Q867">
        <f t="shared" si="65"/>
        <v>1</v>
      </c>
      <c r="R867">
        <f t="shared" si="66"/>
        <v>0</v>
      </c>
      <c r="S867">
        <f t="shared" si="67"/>
        <v>0</v>
      </c>
      <c r="T867" s="11">
        <f t="shared" si="68"/>
        <v>2018</v>
      </c>
      <c r="U867" s="11">
        <f t="shared" si="69"/>
        <v>35689</v>
      </c>
    </row>
    <row r="868" spans="1:21" x14ac:dyDescent="0.3">
      <c r="A868" t="s">
        <v>1450</v>
      </c>
      <c r="B868">
        <v>2021</v>
      </c>
      <c r="C868" t="s">
        <v>56</v>
      </c>
      <c r="D868" t="s">
        <v>93</v>
      </c>
      <c r="E868">
        <v>26585</v>
      </c>
      <c r="F868" t="s">
        <v>57</v>
      </c>
      <c r="G868">
        <v>60300</v>
      </c>
      <c r="H868" t="s">
        <v>20</v>
      </c>
      <c r="I868" t="s">
        <v>78</v>
      </c>
      <c r="J868" t="s">
        <v>218</v>
      </c>
      <c r="K868" t="s">
        <v>23</v>
      </c>
      <c r="N868" t="s">
        <v>127</v>
      </c>
      <c r="O868" t="s">
        <v>27</v>
      </c>
      <c r="P868" s="1">
        <v>44787</v>
      </c>
      <c r="Q868">
        <f t="shared" si="65"/>
        <v>0</v>
      </c>
      <c r="R868">
        <f t="shared" si="66"/>
        <v>0</v>
      </c>
      <c r="S868">
        <f t="shared" si="67"/>
        <v>0</v>
      </c>
      <c r="T868" s="11">
        <f t="shared" si="68"/>
        <v>2021</v>
      </c>
      <c r="U868" s="11">
        <f t="shared" si="69"/>
        <v>26585</v>
      </c>
    </row>
    <row r="869" spans="1:21" x14ac:dyDescent="0.3">
      <c r="A869" t="s">
        <v>1451</v>
      </c>
      <c r="B869">
        <v>2018</v>
      </c>
      <c r="C869" t="s">
        <v>37</v>
      </c>
      <c r="D869" t="s">
        <v>32</v>
      </c>
      <c r="E869">
        <v>10154</v>
      </c>
      <c r="F869" t="s">
        <v>104</v>
      </c>
      <c r="G869">
        <v>73900</v>
      </c>
      <c r="H869" t="s">
        <v>32</v>
      </c>
      <c r="I869" t="s">
        <v>78</v>
      </c>
      <c r="J869" t="s">
        <v>1452</v>
      </c>
      <c r="K869" t="s">
        <v>23</v>
      </c>
      <c r="L869" t="s">
        <v>84</v>
      </c>
      <c r="M869" t="s">
        <v>48</v>
      </c>
      <c r="N869" t="s">
        <v>69</v>
      </c>
      <c r="O869" t="s">
        <v>27</v>
      </c>
      <c r="P869" s="1">
        <v>44787</v>
      </c>
      <c r="Q869">
        <f t="shared" si="65"/>
        <v>1</v>
      </c>
      <c r="R869">
        <f t="shared" si="66"/>
        <v>0</v>
      </c>
      <c r="S869">
        <f t="shared" si="67"/>
        <v>0</v>
      </c>
      <c r="T869" s="11">
        <f t="shared" si="68"/>
        <v>2018</v>
      </c>
      <c r="U869" s="11">
        <f t="shared" si="69"/>
        <v>10154</v>
      </c>
    </row>
    <row r="870" spans="1:21" x14ac:dyDescent="0.3">
      <c r="A870" t="s">
        <v>1453</v>
      </c>
      <c r="B870">
        <v>2019</v>
      </c>
      <c r="C870" t="s">
        <v>56</v>
      </c>
      <c r="D870" t="s">
        <v>32</v>
      </c>
      <c r="E870">
        <v>13657</v>
      </c>
      <c r="F870" t="s">
        <v>57</v>
      </c>
      <c r="G870">
        <v>55700</v>
      </c>
      <c r="H870" t="s">
        <v>20</v>
      </c>
      <c r="I870" t="s">
        <v>58</v>
      </c>
      <c r="J870" t="s">
        <v>168</v>
      </c>
      <c r="K870" t="s">
        <v>23</v>
      </c>
      <c r="N870" t="s">
        <v>127</v>
      </c>
      <c r="O870" t="s">
        <v>27</v>
      </c>
      <c r="P870" s="1">
        <v>44787</v>
      </c>
      <c r="Q870">
        <f t="shared" si="65"/>
        <v>0</v>
      </c>
      <c r="R870">
        <f t="shared" si="66"/>
        <v>0</v>
      </c>
      <c r="S870">
        <f t="shared" si="67"/>
        <v>0</v>
      </c>
      <c r="T870" s="11">
        <f t="shared" si="68"/>
        <v>2019</v>
      </c>
      <c r="U870" s="11">
        <f t="shared" si="69"/>
        <v>13657</v>
      </c>
    </row>
    <row r="871" spans="1:21" x14ac:dyDescent="0.3">
      <c r="A871" t="s">
        <v>1454</v>
      </c>
      <c r="B871">
        <v>2018</v>
      </c>
      <c r="C871" t="s">
        <v>56</v>
      </c>
      <c r="D871" t="s">
        <v>32</v>
      </c>
      <c r="E871">
        <v>38162</v>
      </c>
      <c r="F871" t="s">
        <v>234</v>
      </c>
      <c r="G871">
        <v>50300</v>
      </c>
      <c r="H871" t="s">
        <v>20</v>
      </c>
      <c r="I871" t="s">
        <v>78</v>
      </c>
      <c r="J871" t="s">
        <v>729</v>
      </c>
      <c r="K871" t="s">
        <v>23</v>
      </c>
      <c r="L871" t="s">
        <v>474</v>
      </c>
      <c r="M871" t="s">
        <v>255</v>
      </c>
      <c r="N871" t="s">
        <v>256</v>
      </c>
      <c r="O871" t="s">
        <v>27</v>
      </c>
      <c r="P871" s="1">
        <v>44787</v>
      </c>
      <c r="Q871">
        <f t="shared" si="65"/>
        <v>0</v>
      </c>
      <c r="R871">
        <f t="shared" si="66"/>
        <v>0</v>
      </c>
      <c r="S871">
        <f t="shared" si="67"/>
        <v>0</v>
      </c>
      <c r="T871" s="11">
        <f t="shared" si="68"/>
        <v>2018</v>
      </c>
      <c r="U871" s="11">
        <f t="shared" si="69"/>
        <v>38162</v>
      </c>
    </row>
    <row r="872" spans="1:21" x14ac:dyDescent="0.3">
      <c r="A872" t="s">
        <v>1455</v>
      </c>
      <c r="B872">
        <v>2020</v>
      </c>
      <c r="C872" t="s">
        <v>56</v>
      </c>
      <c r="D872" t="s">
        <v>93</v>
      </c>
      <c r="E872">
        <v>42725</v>
      </c>
      <c r="F872" t="s">
        <v>57</v>
      </c>
      <c r="G872">
        <v>48900</v>
      </c>
      <c r="H872" t="s">
        <v>20</v>
      </c>
      <c r="I872" t="s">
        <v>58</v>
      </c>
      <c r="J872" t="s">
        <v>842</v>
      </c>
      <c r="K872" t="s">
        <v>23</v>
      </c>
      <c r="N872" t="s">
        <v>127</v>
      </c>
      <c r="O872" t="s">
        <v>27</v>
      </c>
      <c r="P872" s="1">
        <v>44787</v>
      </c>
      <c r="Q872">
        <f t="shared" si="65"/>
        <v>0</v>
      </c>
      <c r="R872">
        <f t="shared" si="66"/>
        <v>0</v>
      </c>
      <c r="S872">
        <f t="shared" si="67"/>
        <v>0</v>
      </c>
      <c r="T872" s="11">
        <f t="shared" si="68"/>
        <v>2020</v>
      </c>
      <c r="U872" s="11">
        <f t="shared" si="69"/>
        <v>42725</v>
      </c>
    </row>
    <row r="873" spans="1:21" x14ac:dyDescent="0.3">
      <c r="A873" t="s">
        <v>1456</v>
      </c>
      <c r="B873">
        <v>2019</v>
      </c>
      <c r="C873" t="s">
        <v>56</v>
      </c>
      <c r="D873" t="s">
        <v>30</v>
      </c>
      <c r="E873">
        <v>35286</v>
      </c>
      <c r="F873" t="s">
        <v>57</v>
      </c>
      <c r="G873">
        <v>52600</v>
      </c>
      <c r="H873" t="s">
        <v>20</v>
      </c>
      <c r="I873" t="s">
        <v>78</v>
      </c>
      <c r="J873" t="s">
        <v>124</v>
      </c>
      <c r="K873" t="s">
        <v>23</v>
      </c>
      <c r="L873" t="s">
        <v>47</v>
      </c>
      <c r="M873" t="s">
        <v>48</v>
      </c>
      <c r="N873" t="s">
        <v>49</v>
      </c>
      <c r="O873" t="s">
        <v>27</v>
      </c>
      <c r="P873" s="1">
        <v>44787</v>
      </c>
      <c r="Q873">
        <f t="shared" si="65"/>
        <v>0</v>
      </c>
      <c r="R873">
        <f t="shared" si="66"/>
        <v>0</v>
      </c>
      <c r="S873">
        <f t="shared" si="67"/>
        <v>0</v>
      </c>
      <c r="T873" s="11">
        <f t="shared" si="68"/>
        <v>2019</v>
      </c>
      <c r="U873" s="11">
        <f t="shared" si="69"/>
        <v>35286</v>
      </c>
    </row>
    <row r="874" spans="1:21" x14ac:dyDescent="0.3">
      <c r="A874" t="s">
        <v>1457</v>
      </c>
      <c r="B874">
        <v>2019</v>
      </c>
      <c r="C874" t="s">
        <v>56</v>
      </c>
      <c r="D874" t="s">
        <v>32</v>
      </c>
      <c r="E874">
        <v>37823</v>
      </c>
      <c r="F874" t="s">
        <v>57</v>
      </c>
      <c r="G874">
        <v>51300</v>
      </c>
      <c r="H874" t="s">
        <v>77</v>
      </c>
      <c r="I874" t="s">
        <v>58</v>
      </c>
      <c r="J874" t="s">
        <v>411</v>
      </c>
      <c r="K874" t="s">
        <v>23</v>
      </c>
      <c r="L874" t="s">
        <v>609</v>
      </c>
      <c r="M874" t="s">
        <v>138</v>
      </c>
      <c r="N874" t="s">
        <v>139</v>
      </c>
      <c r="O874" t="s">
        <v>27</v>
      </c>
      <c r="P874" s="1">
        <v>44787</v>
      </c>
      <c r="Q874">
        <f t="shared" si="65"/>
        <v>0</v>
      </c>
      <c r="R874">
        <f t="shared" si="66"/>
        <v>0</v>
      </c>
      <c r="S874">
        <f t="shared" si="67"/>
        <v>0</v>
      </c>
      <c r="T874" s="11">
        <f t="shared" si="68"/>
        <v>2019</v>
      </c>
      <c r="U874" s="11">
        <f t="shared" si="69"/>
        <v>37823</v>
      </c>
    </row>
    <row r="875" spans="1:21" x14ac:dyDescent="0.3">
      <c r="A875" t="s">
        <v>1458</v>
      </c>
      <c r="B875">
        <v>2020</v>
      </c>
      <c r="C875" t="s">
        <v>56</v>
      </c>
      <c r="D875" t="s">
        <v>93</v>
      </c>
      <c r="E875">
        <v>9398</v>
      </c>
      <c r="F875" t="s">
        <v>57</v>
      </c>
      <c r="G875">
        <v>58500</v>
      </c>
      <c r="H875" t="s">
        <v>20</v>
      </c>
      <c r="I875" t="s">
        <v>58</v>
      </c>
      <c r="J875" t="s">
        <v>842</v>
      </c>
      <c r="K875" t="s">
        <v>23</v>
      </c>
      <c r="L875" t="s">
        <v>768</v>
      </c>
      <c r="M875" t="s">
        <v>68</v>
      </c>
      <c r="N875" t="s">
        <v>69</v>
      </c>
      <c r="O875" t="s">
        <v>27</v>
      </c>
      <c r="P875" s="1">
        <v>44787</v>
      </c>
      <c r="Q875">
        <f t="shared" si="65"/>
        <v>0</v>
      </c>
      <c r="R875">
        <f t="shared" si="66"/>
        <v>0</v>
      </c>
      <c r="S875">
        <f t="shared" si="67"/>
        <v>0</v>
      </c>
      <c r="T875" s="11">
        <f t="shared" si="68"/>
        <v>2020</v>
      </c>
      <c r="U875" s="11">
        <f t="shared" si="69"/>
        <v>9398</v>
      </c>
    </row>
    <row r="876" spans="1:21" x14ac:dyDescent="0.3">
      <c r="A876" t="s">
        <v>1459</v>
      </c>
      <c r="B876">
        <v>2019</v>
      </c>
      <c r="C876" t="s">
        <v>56</v>
      </c>
      <c r="D876" t="s">
        <v>32</v>
      </c>
      <c r="E876">
        <v>24186</v>
      </c>
      <c r="F876" t="s">
        <v>57</v>
      </c>
      <c r="G876">
        <v>54500</v>
      </c>
      <c r="H876" t="s">
        <v>20</v>
      </c>
      <c r="I876" t="s">
        <v>78</v>
      </c>
      <c r="J876" t="s">
        <v>275</v>
      </c>
      <c r="K876" t="s">
        <v>23</v>
      </c>
      <c r="L876" t="s">
        <v>513</v>
      </c>
      <c r="M876" t="s">
        <v>42</v>
      </c>
      <c r="N876" t="s">
        <v>26</v>
      </c>
      <c r="O876" t="s">
        <v>27</v>
      </c>
      <c r="P876" s="1">
        <v>44787</v>
      </c>
      <c r="Q876">
        <f t="shared" si="65"/>
        <v>0</v>
      </c>
      <c r="R876">
        <f t="shared" si="66"/>
        <v>0</v>
      </c>
      <c r="S876">
        <f t="shared" si="67"/>
        <v>0</v>
      </c>
      <c r="T876" s="11">
        <f t="shared" si="68"/>
        <v>2019</v>
      </c>
      <c r="U876" s="11">
        <f t="shared" si="69"/>
        <v>24186</v>
      </c>
    </row>
    <row r="877" spans="1:21" x14ac:dyDescent="0.3">
      <c r="A877" t="s">
        <v>1460</v>
      </c>
      <c r="B877">
        <v>2021</v>
      </c>
      <c r="C877" t="s">
        <v>56</v>
      </c>
      <c r="D877" t="s">
        <v>30</v>
      </c>
      <c r="E877">
        <v>14516</v>
      </c>
      <c r="F877" t="s">
        <v>57</v>
      </c>
      <c r="G877">
        <v>61400</v>
      </c>
      <c r="H877" t="s">
        <v>20</v>
      </c>
      <c r="I877" t="s">
        <v>78</v>
      </c>
      <c r="J877" t="s">
        <v>124</v>
      </c>
      <c r="K877" t="s">
        <v>23</v>
      </c>
      <c r="L877" t="s">
        <v>371</v>
      </c>
      <c r="M877" t="s">
        <v>48</v>
      </c>
      <c r="N877" t="s">
        <v>49</v>
      </c>
      <c r="O877" t="s">
        <v>27</v>
      </c>
      <c r="P877" s="1">
        <v>44787</v>
      </c>
      <c r="Q877">
        <f t="shared" si="65"/>
        <v>0</v>
      </c>
      <c r="R877">
        <f t="shared" si="66"/>
        <v>0</v>
      </c>
      <c r="S877">
        <f t="shared" si="67"/>
        <v>0</v>
      </c>
      <c r="T877" s="11">
        <f t="shared" si="68"/>
        <v>2021</v>
      </c>
      <c r="U877" s="11">
        <f t="shared" si="69"/>
        <v>14516</v>
      </c>
    </row>
    <row r="878" spans="1:21" x14ac:dyDescent="0.3">
      <c r="A878" t="s">
        <v>1461</v>
      </c>
      <c r="B878">
        <v>2019</v>
      </c>
      <c r="C878" t="s">
        <v>56</v>
      </c>
      <c r="D878" t="s">
        <v>32</v>
      </c>
      <c r="E878">
        <v>24528</v>
      </c>
      <c r="F878" t="s">
        <v>57</v>
      </c>
      <c r="G878">
        <v>54300</v>
      </c>
      <c r="H878" t="s">
        <v>20</v>
      </c>
      <c r="I878" t="s">
        <v>78</v>
      </c>
      <c r="J878" t="s">
        <v>275</v>
      </c>
      <c r="K878" t="s">
        <v>23</v>
      </c>
      <c r="L878" t="s">
        <v>205</v>
      </c>
      <c r="M878" t="s">
        <v>42</v>
      </c>
      <c r="N878" t="s">
        <v>26</v>
      </c>
      <c r="O878" t="s">
        <v>27</v>
      </c>
      <c r="P878" s="1">
        <v>44787</v>
      </c>
      <c r="Q878">
        <f t="shared" si="65"/>
        <v>0</v>
      </c>
      <c r="R878">
        <f t="shared" si="66"/>
        <v>0</v>
      </c>
      <c r="S878">
        <f t="shared" si="67"/>
        <v>0</v>
      </c>
      <c r="T878" s="11">
        <f t="shared" si="68"/>
        <v>2019</v>
      </c>
      <c r="U878" s="11">
        <f t="shared" si="69"/>
        <v>24528</v>
      </c>
    </row>
    <row r="879" spans="1:21" x14ac:dyDescent="0.3">
      <c r="A879" t="s">
        <v>1462</v>
      </c>
      <c r="B879">
        <v>2018</v>
      </c>
      <c r="C879" t="s">
        <v>29</v>
      </c>
      <c r="D879" t="s">
        <v>51</v>
      </c>
      <c r="E879">
        <v>21184</v>
      </c>
      <c r="F879" t="s">
        <v>104</v>
      </c>
      <c r="G879">
        <v>72900</v>
      </c>
      <c r="H879" t="s">
        <v>105</v>
      </c>
      <c r="I879" t="s">
        <v>21</v>
      </c>
      <c r="J879" t="s">
        <v>1463</v>
      </c>
      <c r="K879" t="s">
        <v>23</v>
      </c>
      <c r="L879" t="s">
        <v>67</v>
      </c>
      <c r="M879" t="s">
        <v>68</v>
      </c>
      <c r="N879" t="s">
        <v>69</v>
      </c>
      <c r="O879" t="s">
        <v>27</v>
      </c>
      <c r="P879" s="1">
        <v>44787</v>
      </c>
      <c r="Q879">
        <f t="shared" si="65"/>
        <v>0</v>
      </c>
      <c r="R879">
        <f t="shared" si="66"/>
        <v>1</v>
      </c>
      <c r="S879">
        <f t="shared" si="67"/>
        <v>0</v>
      </c>
      <c r="T879" s="11">
        <f t="shared" si="68"/>
        <v>2018</v>
      </c>
      <c r="U879" s="11">
        <f t="shared" si="69"/>
        <v>21184</v>
      </c>
    </row>
    <row r="880" spans="1:21" x14ac:dyDescent="0.3">
      <c r="A880" t="s">
        <v>1464</v>
      </c>
      <c r="B880">
        <v>2019</v>
      </c>
      <c r="C880" t="s">
        <v>56</v>
      </c>
      <c r="D880" t="s">
        <v>30</v>
      </c>
      <c r="E880">
        <v>32998</v>
      </c>
      <c r="F880" t="s">
        <v>234</v>
      </c>
      <c r="G880">
        <v>50000</v>
      </c>
      <c r="H880" t="s">
        <v>77</v>
      </c>
      <c r="I880" t="s">
        <v>78</v>
      </c>
      <c r="J880" t="s">
        <v>1465</v>
      </c>
      <c r="K880" t="s">
        <v>23</v>
      </c>
      <c r="L880" t="s">
        <v>513</v>
      </c>
      <c r="M880" t="s">
        <v>42</v>
      </c>
      <c r="N880" t="s">
        <v>26</v>
      </c>
      <c r="O880" t="s">
        <v>27</v>
      </c>
      <c r="P880" s="1">
        <v>44787</v>
      </c>
      <c r="Q880">
        <f t="shared" si="65"/>
        <v>0</v>
      </c>
      <c r="R880">
        <f t="shared" si="66"/>
        <v>0</v>
      </c>
      <c r="S880">
        <f t="shared" si="67"/>
        <v>0</v>
      </c>
      <c r="T880" s="11">
        <f t="shared" si="68"/>
        <v>2019</v>
      </c>
      <c r="U880" s="11">
        <f t="shared" si="69"/>
        <v>32998</v>
      </c>
    </row>
    <row r="881" spans="1:21" x14ac:dyDescent="0.3">
      <c r="A881" t="s">
        <v>1466</v>
      </c>
      <c r="B881">
        <v>2018</v>
      </c>
      <c r="C881" t="s">
        <v>29</v>
      </c>
      <c r="D881" t="s">
        <v>51</v>
      </c>
      <c r="E881">
        <v>14818</v>
      </c>
      <c r="F881" t="s">
        <v>104</v>
      </c>
      <c r="G881">
        <v>83500</v>
      </c>
      <c r="H881" t="s">
        <v>45</v>
      </c>
      <c r="I881" t="s">
        <v>110</v>
      </c>
      <c r="J881" t="s">
        <v>1467</v>
      </c>
      <c r="K881" t="s">
        <v>23</v>
      </c>
      <c r="L881" t="s">
        <v>47</v>
      </c>
      <c r="M881" t="s">
        <v>48</v>
      </c>
      <c r="N881" t="s">
        <v>49</v>
      </c>
      <c r="O881" t="s">
        <v>27</v>
      </c>
      <c r="P881" s="1">
        <v>44787</v>
      </c>
      <c r="Q881">
        <f t="shared" si="65"/>
        <v>0</v>
      </c>
      <c r="R881">
        <f t="shared" si="66"/>
        <v>1</v>
      </c>
      <c r="S881">
        <f t="shared" si="67"/>
        <v>0</v>
      </c>
      <c r="T881" s="11">
        <f t="shared" si="68"/>
        <v>2018</v>
      </c>
      <c r="U881" s="11">
        <f t="shared" si="69"/>
        <v>14818</v>
      </c>
    </row>
    <row r="882" spans="1:21" x14ac:dyDescent="0.3">
      <c r="A882" t="s">
        <v>1468</v>
      </c>
      <c r="B882">
        <v>2019</v>
      </c>
      <c r="C882" t="s">
        <v>56</v>
      </c>
      <c r="D882" t="s">
        <v>76</v>
      </c>
      <c r="E882">
        <v>20376</v>
      </c>
      <c r="F882" t="s">
        <v>65</v>
      </c>
      <c r="G882">
        <v>49500</v>
      </c>
      <c r="H882" t="s">
        <v>20</v>
      </c>
      <c r="I882" t="s">
        <v>58</v>
      </c>
      <c r="J882" t="s">
        <v>399</v>
      </c>
      <c r="K882" t="s">
        <v>23</v>
      </c>
      <c r="L882" t="s">
        <v>197</v>
      </c>
      <c r="M882" t="s">
        <v>198</v>
      </c>
      <c r="N882" t="s">
        <v>26</v>
      </c>
      <c r="O882" t="s">
        <v>27</v>
      </c>
      <c r="P882" s="1">
        <v>44787</v>
      </c>
      <c r="Q882">
        <f t="shared" si="65"/>
        <v>0</v>
      </c>
      <c r="R882">
        <f t="shared" si="66"/>
        <v>0</v>
      </c>
      <c r="S882">
        <f t="shared" si="67"/>
        <v>0</v>
      </c>
      <c r="T882" s="11">
        <f t="shared" si="68"/>
        <v>2019</v>
      </c>
      <c r="U882" s="11">
        <f t="shared" si="69"/>
        <v>20376</v>
      </c>
    </row>
    <row r="883" spans="1:21" x14ac:dyDescent="0.3">
      <c r="A883" t="s">
        <v>1469</v>
      </c>
      <c r="B883">
        <v>2019</v>
      </c>
      <c r="C883" t="s">
        <v>56</v>
      </c>
      <c r="D883" t="s">
        <v>53</v>
      </c>
      <c r="E883">
        <v>58091</v>
      </c>
      <c r="F883" t="s">
        <v>57</v>
      </c>
      <c r="G883">
        <v>46800</v>
      </c>
      <c r="H883" t="s">
        <v>20</v>
      </c>
      <c r="I883" t="s">
        <v>58</v>
      </c>
      <c r="J883" t="s">
        <v>59</v>
      </c>
      <c r="K883" t="s">
        <v>23</v>
      </c>
      <c r="L883" t="s">
        <v>163</v>
      </c>
      <c r="M883" t="s">
        <v>164</v>
      </c>
      <c r="N883" t="s">
        <v>26</v>
      </c>
      <c r="O883" t="s">
        <v>27</v>
      </c>
      <c r="P883" s="1">
        <v>44787</v>
      </c>
      <c r="Q883">
        <f t="shared" si="65"/>
        <v>0</v>
      </c>
      <c r="R883">
        <f t="shared" si="66"/>
        <v>0</v>
      </c>
      <c r="S883">
        <f t="shared" si="67"/>
        <v>0</v>
      </c>
      <c r="T883" s="11">
        <f t="shared" si="68"/>
        <v>2019</v>
      </c>
      <c r="U883" s="11">
        <f t="shared" si="69"/>
        <v>58091</v>
      </c>
    </row>
    <row r="884" spans="1:21" x14ac:dyDescent="0.3">
      <c r="A884" t="s">
        <v>1470</v>
      </c>
      <c r="B884">
        <v>2018</v>
      </c>
      <c r="C884" t="s">
        <v>56</v>
      </c>
      <c r="D884" t="s">
        <v>30</v>
      </c>
      <c r="E884">
        <v>53025</v>
      </c>
      <c r="F884" t="s">
        <v>57</v>
      </c>
      <c r="G884">
        <v>48600</v>
      </c>
      <c r="H884" t="s">
        <v>77</v>
      </c>
      <c r="I884" t="s">
        <v>58</v>
      </c>
      <c r="J884" t="s">
        <v>284</v>
      </c>
      <c r="K884" t="s">
        <v>23</v>
      </c>
      <c r="L884" t="s">
        <v>24</v>
      </c>
      <c r="M884" t="s">
        <v>25</v>
      </c>
      <c r="N884" t="s">
        <v>26</v>
      </c>
      <c r="O884" t="s">
        <v>27</v>
      </c>
      <c r="P884" s="1">
        <v>44787</v>
      </c>
      <c r="Q884">
        <f t="shared" si="65"/>
        <v>0</v>
      </c>
      <c r="R884">
        <f t="shared" si="66"/>
        <v>0</v>
      </c>
      <c r="S884">
        <f t="shared" si="67"/>
        <v>0</v>
      </c>
      <c r="T884" s="11">
        <f t="shared" si="68"/>
        <v>2018</v>
      </c>
      <c r="U884" s="11">
        <f t="shared" si="69"/>
        <v>53025</v>
      </c>
    </row>
    <row r="885" spans="1:21" x14ac:dyDescent="0.3">
      <c r="A885" t="s">
        <v>1471</v>
      </c>
      <c r="B885">
        <v>2020</v>
      </c>
      <c r="C885" t="s">
        <v>17</v>
      </c>
      <c r="D885" t="s">
        <v>32</v>
      </c>
      <c r="E885">
        <v>24467</v>
      </c>
      <c r="F885" t="s">
        <v>156</v>
      </c>
      <c r="G885">
        <v>68800</v>
      </c>
      <c r="H885" t="s">
        <v>20</v>
      </c>
      <c r="I885" t="s">
        <v>78</v>
      </c>
      <c r="J885" t="s">
        <v>1472</v>
      </c>
      <c r="K885" t="s">
        <v>23</v>
      </c>
      <c r="L885" t="s">
        <v>224</v>
      </c>
      <c r="M885" t="s">
        <v>202</v>
      </c>
      <c r="N885" t="s">
        <v>203</v>
      </c>
      <c r="O885" t="s">
        <v>27</v>
      </c>
      <c r="P885" s="1">
        <v>44787</v>
      </c>
      <c r="Q885">
        <f t="shared" si="65"/>
        <v>0</v>
      </c>
      <c r="R885">
        <f t="shared" si="66"/>
        <v>0</v>
      </c>
      <c r="S885">
        <f t="shared" si="67"/>
        <v>1</v>
      </c>
      <c r="T885" s="11">
        <f t="shared" si="68"/>
        <v>2020</v>
      </c>
      <c r="U885" s="11">
        <f t="shared" si="69"/>
        <v>24467</v>
      </c>
    </row>
    <row r="886" spans="1:21" x14ac:dyDescent="0.3">
      <c r="A886" t="s">
        <v>1473</v>
      </c>
      <c r="B886">
        <v>2019</v>
      </c>
      <c r="C886" t="s">
        <v>56</v>
      </c>
      <c r="D886" t="s">
        <v>76</v>
      </c>
      <c r="E886">
        <v>20467</v>
      </c>
      <c r="F886" t="s">
        <v>57</v>
      </c>
      <c r="G886">
        <v>57300</v>
      </c>
      <c r="H886" t="s">
        <v>20</v>
      </c>
      <c r="I886" t="s">
        <v>58</v>
      </c>
      <c r="J886" t="s">
        <v>979</v>
      </c>
      <c r="K886" t="s">
        <v>23</v>
      </c>
      <c r="L886" t="s">
        <v>1160</v>
      </c>
      <c r="M886" t="s">
        <v>202</v>
      </c>
      <c r="N886" t="s">
        <v>203</v>
      </c>
      <c r="O886" t="s">
        <v>27</v>
      </c>
      <c r="P886" s="1">
        <v>44787</v>
      </c>
      <c r="Q886">
        <f t="shared" si="65"/>
        <v>0</v>
      </c>
      <c r="R886">
        <f t="shared" si="66"/>
        <v>0</v>
      </c>
      <c r="S886">
        <f t="shared" si="67"/>
        <v>0</v>
      </c>
      <c r="T886" s="11">
        <f t="shared" si="68"/>
        <v>2019</v>
      </c>
      <c r="U886" s="11">
        <f t="shared" si="69"/>
        <v>20467</v>
      </c>
    </row>
    <row r="887" spans="1:21" x14ac:dyDescent="0.3">
      <c r="A887" t="s">
        <v>1474</v>
      </c>
      <c r="B887">
        <v>2019</v>
      </c>
      <c r="C887" t="s">
        <v>56</v>
      </c>
      <c r="D887" t="s">
        <v>53</v>
      </c>
      <c r="E887">
        <v>31892</v>
      </c>
      <c r="F887" t="s">
        <v>57</v>
      </c>
      <c r="G887">
        <v>49100</v>
      </c>
      <c r="H887" t="s">
        <v>77</v>
      </c>
      <c r="I887" t="s">
        <v>78</v>
      </c>
      <c r="J887" t="s">
        <v>638</v>
      </c>
      <c r="K887" t="s">
        <v>23</v>
      </c>
      <c r="L887" t="s">
        <v>447</v>
      </c>
      <c r="N887" t="s">
        <v>203</v>
      </c>
      <c r="O887" t="s">
        <v>27</v>
      </c>
      <c r="P887" s="1">
        <v>44786</v>
      </c>
      <c r="Q887">
        <f t="shared" si="65"/>
        <v>0</v>
      </c>
      <c r="R887">
        <f t="shared" si="66"/>
        <v>0</v>
      </c>
      <c r="S887">
        <f t="shared" si="67"/>
        <v>0</v>
      </c>
      <c r="T887" s="11">
        <f t="shared" si="68"/>
        <v>2019</v>
      </c>
      <c r="U887" s="11">
        <f t="shared" si="69"/>
        <v>31892</v>
      </c>
    </row>
    <row r="888" spans="1:21" x14ac:dyDescent="0.3">
      <c r="A888" t="s">
        <v>1475</v>
      </c>
      <c r="B888">
        <v>2020</v>
      </c>
      <c r="C888" t="s">
        <v>17</v>
      </c>
      <c r="D888" t="s">
        <v>18</v>
      </c>
      <c r="E888">
        <v>24580</v>
      </c>
      <c r="F888" t="s">
        <v>207</v>
      </c>
      <c r="G888">
        <v>67700</v>
      </c>
      <c r="H888" t="s">
        <v>20</v>
      </c>
      <c r="I888" t="s">
        <v>78</v>
      </c>
      <c r="J888" t="s">
        <v>881</v>
      </c>
      <c r="K888" t="s">
        <v>23</v>
      </c>
      <c r="L888" t="s">
        <v>201</v>
      </c>
      <c r="M888" t="s">
        <v>202</v>
      </c>
      <c r="N888" t="s">
        <v>203</v>
      </c>
      <c r="O888" t="s">
        <v>27</v>
      </c>
      <c r="P888" s="1">
        <v>44786</v>
      </c>
      <c r="Q888">
        <f t="shared" si="65"/>
        <v>0</v>
      </c>
      <c r="R888">
        <f t="shared" si="66"/>
        <v>0</v>
      </c>
      <c r="S888">
        <f t="shared" si="67"/>
        <v>1</v>
      </c>
      <c r="T888" s="11">
        <f t="shared" si="68"/>
        <v>2020</v>
      </c>
      <c r="U888" s="11">
        <f t="shared" si="69"/>
        <v>24580</v>
      </c>
    </row>
    <row r="889" spans="1:21" x14ac:dyDescent="0.3">
      <c r="A889" t="s">
        <v>1476</v>
      </c>
      <c r="B889">
        <v>2021</v>
      </c>
      <c r="C889" t="s">
        <v>17</v>
      </c>
      <c r="D889" t="s">
        <v>76</v>
      </c>
      <c r="E889">
        <v>20216</v>
      </c>
      <c r="F889" t="s">
        <v>19</v>
      </c>
      <c r="G889">
        <v>69800</v>
      </c>
      <c r="H889" t="s">
        <v>20</v>
      </c>
      <c r="I889" t="s">
        <v>21</v>
      </c>
      <c r="J889" t="s">
        <v>1122</v>
      </c>
      <c r="K889" t="s">
        <v>23</v>
      </c>
      <c r="L889" t="s">
        <v>447</v>
      </c>
      <c r="N889" t="s">
        <v>203</v>
      </c>
      <c r="O889" t="s">
        <v>27</v>
      </c>
      <c r="P889" s="1">
        <v>44786</v>
      </c>
      <c r="Q889">
        <f t="shared" si="65"/>
        <v>0</v>
      </c>
      <c r="R889">
        <f t="shared" si="66"/>
        <v>0</v>
      </c>
      <c r="S889">
        <f t="shared" si="67"/>
        <v>1</v>
      </c>
      <c r="T889" s="11">
        <f t="shared" si="68"/>
        <v>2021</v>
      </c>
      <c r="U889" s="11">
        <f t="shared" si="69"/>
        <v>20216</v>
      </c>
    </row>
    <row r="890" spans="1:21" x14ac:dyDescent="0.3">
      <c r="A890" t="s">
        <v>1477</v>
      </c>
      <c r="B890">
        <v>2021</v>
      </c>
      <c r="C890" t="s">
        <v>17</v>
      </c>
      <c r="D890" t="s">
        <v>18</v>
      </c>
      <c r="E890">
        <v>11000</v>
      </c>
      <c r="F890" t="s">
        <v>189</v>
      </c>
      <c r="G890">
        <v>72600</v>
      </c>
      <c r="H890" t="s">
        <v>20</v>
      </c>
      <c r="I890" t="s">
        <v>39</v>
      </c>
      <c r="J890" t="s">
        <v>315</v>
      </c>
      <c r="K890" t="s">
        <v>23</v>
      </c>
      <c r="L890" t="s">
        <v>876</v>
      </c>
      <c r="M890" t="s">
        <v>220</v>
      </c>
      <c r="N890" t="s">
        <v>221</v>
      </c>
      <c r="O890" t="s">
        <v>27</v>
      </c>
      <c r="P890" s="1">
        <v>44786</v>
      </c>
      <c r="Q890">
        <f t="shared" si="65"/>
        <v>0</v>
      </c>
      <c r="R890">
        <f t="shared" si="66"/>
        <v>0</v>
      </c>
      <c r="S890">
        <f t="shared" si="67"/>
        <v>1</v>
      </c>
      <c r="T890" s="11">
        <f t="shared" si="68"/>
        <v>2021</v>
      </c>
      <c r="U890" s="11">
        <f t="shared" si="69"/>
        <v>11000</v>
      </c>
    </row>
    <row r="891" spans="1:21" x14ac:dyDescent="0.3">
      <c r="A891" t="s">
        <v>1478</v>
      </c>
      <c r="B891">
        <v>2018</v>
      </c>
      <c r="C891" t="s">
        <v>56</v>
      </c>
      <c r="D891" t="s">
        <v>53</v>
      </c>
      <c r="E891">
        <v>16179</v>
      </c>
      <c r="F891" t="s">
        <v>636</v>
      </c>
      <c r="G891">
        <v>48800</v>
      </c>
      <c r="H891" t="s">
        <v>20</v>
      </c>
      <c r="I891" t="s">
        <v>58</v>
      </c>
      <c r="J891" t="s">
        <v>579</v>
      </c>
      <c r="K891" t="s">
        <v>23</v>
      </c>
      <c r="L891" t="s">
        <v>193</v>
      </c>
      <c r="M891" t="s">
        <v>194</v>
      </c>
      <c r="N891" t="s">
        <v>26</v>
      </c>
      <c r="O891" t="s">
        <v>27</v>
      </c>
      <c r="P891" s="1">
        <v>44786</v>
      </c>
      <c r="Q891">
        <f t="shared" si="65"/>
        <v>0</v>
      </c>
      <c r="R891">
        <f t="shared" si="66"/>
        <v>0</v>
      </c>
      <c r="S891">
        <f t="shared" si="67"/>
        <v>0</v>
      </c>
      <c r="T891" s="11">
        <f t="shared" si="68"/>
        <v>2018</v>
      </c>
      <c r="U891" s="11">
        <f t="shared" si="69"/>
        <v>16179</v>
      </c>
    </row>
    <row r="892" spans="1:21" x14ac:dyDescent="0.3">
      <c r="A892" t="s">
        <v>1479</v>
      </c>
      <c r="B892">
        <v>2018</v>
      </c>
      <c r="C892" t="s">
        <v>37</v>
      </c>
      <c r="D892" t="s">
        <v>53</v>
      </c>
      <c r="E892">
        <v>27666</v>
      </c>
      <c r="F892" t="s">
        <v>52</v>
      </c>
      <c r="G892">
        <v>90700</v>
      </c>
      <c r="H892" t="s">
        <v>45</v>
      </c>
      <c r="I892" t="s">
        <v>78</v>
      </c>
      <c r="J892" t="s">
        <v>1480</v>
      </c>
      <c r="K892" t="s">
        <v>23</v>
      </c>
      <c r="L892" t="s">
        <v>236</v>
      </c>
      <c r="M892" t="s">
        <v>25</v>
      </c>
      <c r="N892" t="s">
        <v>26</v>
      </c>
      <c r="O892" t="s">
        <v>27</v>
      </c>
      <c r="P892" s="1">
        <v>44786</v>
      </c>
      <c r="Q892">
        <f t="shared" si="65"/>
        <v>1</v>
      </c>
      <c r="R892">
        <f t="shared" si="66"/>
        <v>0</v>
      </c>
      <c r="S892">
        <f t="shared" si="67"/>
        <v>0</v>
      </c>
      <c r="T892" s="11">
        <f t="shared" si="68"/>
        <v>2018</v>
      </c>
      <c r="U892" s="11">
        <f t="shared" si="69"/>
        <v>27666</v>
      </c>
    </row>
    <row r="893" spans="1:21" x14ac:dyDescent="0.3">
      <c r="A893" t="s">
        <v>1481</v>
      </c>
      <c r="B893">
        <v>2019</v>
      </c>
      <c r="C893" t="s">
        <v>56</v>
      </c>
      <c r="D893" t="s">
        <v>30</v>
      </c>
      <c r="E893">
        <v>14351</v>
      </c>
      <c r="F893" t="s">
        <v>57</v>
      </c>
      <c r="G893">
        <v>51000</v>
      </c>
      <c r="H893" t="s">
        <v>20</v>
      </c>
      <c r="I893" t="s">
        <v>58</v>
      </c>
      <c r="J893" t="s">
        <v>413</v>
      </c>
      <c r="K893" t="s">
        <v>23</v>
      </c>
      <c r="L893" t="s">
        <v>183</v>
      </c>
      <c r="M893" t="s">
        <v>25</v>
      </c>
      <c r="N893" t="s">
        <v>26</v>
      </c>
      <c r="O893" t="s">
        <v>27</v>
      </c>
      <c r="P893" s="1">
        <v>44786</v>
      </c>
      <c r="Q893">
        <f t="shared" si="65"/>
        <v>0</v>
      </c>
      <c r="R893">
        <f t="shared" si="66"/>
        <v>0</v>
      </c>
      <c r="S893">
        <f t="shared" si="67"/>
        <v>0</v>
      </c>
      <c r="T893" s="11">
        <f t="shared" si="68"/>
        <v>2019</v>
      </c>
      <c r="U893" s="11">
        <f t="shared" si="69"/>
        <v>14351</v>
      </c>
    </row>
    <row r="894" spans="1:21" x14ac:dyDescent="0.3">
      <c r="A894" t="s">
        <v>1482</v>
      </c>
      <c r="B894">
        <v>2019</v>
      </c>
      <c r="C894" t="s">
        <v>56</v>
      </c>
      <c r="D894" t="s">
        <v>30</v>
      </c>
      <c r="E894">
        <v>35698</v>
      </c>
      <c r="F894" t="s">
        <v>57</v>
      </c>
      <c r="G894">
        <v>51100</v>
      </c>
      <c r="H894" t="s">
        <v>20</v>
      </c>
      <c r="I894" t="s">
        <v>78</v>
      </c>
      <c r="J894" t="s">
        <v>124</v>
      </c>
      <c r="K894" t="s">
        <v>23</v>
      </c>
      <c r="L894" t="s">
        <v>193</v>
      </c>
      <c r="M894" t="s">
        <v>194</v>
      </c>
      <c r="N894" t="s">
        <v>26</v>
      </c>
      <c r="O894" t="s">
        <v>27</v>
      </c>
      <c r="P894" s="1">
        <v>44786</v>
      </c>
      <c r="Q894">
        <f t="shared" si="65"/>
        <v>0</v>
      </c>
      <c r="R894">
        <f t="shared" si="66"/>
        <v>0</v>
      </c>
      <c r="S894">
        <f t="shared" si="67"/>
        <v>0</v>
      </c>
      <c r="T894" s="11">
        <f t="shared" si="68"/>
        <v>2019</v>
      </c>
      <c r="U894" s="11">
        <f t="shared" si="69"/>
        <v>35698</v>
      </c>
    </row>
    <row r="895" spans="1:21" x14ac:dyDescent="0.3">
      <c r="A895" t="s">
        <v>1483</v>
      </c>
      <c r="B895">
        <v>2017</v>
      </c>
      <c r="C895" t="s">
        <v>29</v>
      </c>
      <c r="D895" t="s">
        <v>51</v>
      </c>
      <c r="E895">
        <v>64299</v>
      </c>
      <c r="F895" t="s">
        <v>52</v>
      </c>
      <c r="G895">
        <v>77000</v>
      </c>
      <c r="H895" t="s">
        <v>53</v>
      </c>
      <c r="I895" t="s">
        <v>110</v>
      </c>
      <c r="J895" t="s">
        <v>1484</v>
      </c>
      <c r="K895" t="s">
        <v>23</v>
      </c>
      <c r="L895" t="s">
        <v>183</v>
      </c>
      <c r="M895" t="s">
        <v>25</v>
      </c>
      <c r="N895" t="s">
        <v>26</v>
      </c>
      <c r="O895" t="s">
        <v>27</v>
      </c>
      <c r="P895" s="1">
        <v>44786</v>
      </c>
      <c r="Q895">
        <f t="shared" si="65"/>
        <v>0</v>
      </c>
      <c r="R895">
        <f t="shared" si="66"/>
        <v>1</v>
      </c>
      <c r="S895">
        <f t="shared" si="67"/>
        <v>0</v>
      </c>
      <c r="T895" s="11">
        <f t="shared" si="68"/>
        <v>2017</v>
      </c>
      <c r="U895" s="11">
        <f t="shared" si="69"/>
        <v>64299</v>
      </c>
    </row>
    <row r="896" spans="1:21" x14ac:dyDescent="0.3">
      <c r="A896" t="s">
        <v>1485</v>
      </c>
      <c r="B896">
        <v>2020</v>
      </c>
      <c r="C896" t="s">
        <v>56</v>
      </c>
      <c r="D896" t="s">
        <v>93</v>
      </c>
      <c r="E896">
        <v>16813</v>
      </c>
      <c r="F896" t="s">
        <v>57</v>
      </c>
      <c r="G896">
        <v>56200</v>
      </c>
      <c r="H896" t="s">
        <v>20</v>
      </c>
      <c r="I896" t="s">
        <v>58</v>
      </c>
      <c r="J896" t="s">
        <v>842</v>
      </c>
      <c r="K896" t="s">
        <v>23</v>
      </c>
      <c r="L896" t="s">
        <v>24</v>
      </c>
      <c r="M896" t="s">
        <v>25</v>
      </c>
      <c r="N896" t="s">
        <v>26</v>
      </c>
      <c r="O896" t="s">
        <v>27</v>
      </c>
      <c r="P896" s="1">
        <v>44786</v>
      </c>
      <c r="Q896">
        <f t="shared" si="65"/>
        <v>0</v>
      </c>
      <c r="R896">
        <f t="shared" si="66"/>
        <v>0</v>
      </c>
      <c r="S896">
        <f t="shared" si="67"/>
        <v>0</v>
      </c>
      <c r="T896" s="11">
        <f t="shared" si="68"/>
        <v>2020</v>
      </c>
      <c r="U896" s="11">
        <f t="shared" si="69"/>
        <v>16813</v>
      </c>
    </row>
    <row r="897" spans="1:21" x14ac:dyDescent="0.3">
      <c r="A897" t="s">
        <v>1486</v>
      </c>
      <c r="B897">
        <v>2018</v>
      </c>
      <c r="C897" t="s">
        <v>37</v>
      </c>
      <c r="D897" t="s">
        <v>32</v>
      </c>
      <c r="E897">
        <v>40381</v>
      </c>
      <c r="F897" t="s">
        <v>104</v>
      </c>
      <c r="G897">
        <v>66500</v>
      </c>
      <c r="H897" t="s">
        <v>105</v>
      </c>
      <c r="I897" t="s">
        <v>78</v>
      </c>
      <c r="J897" t="s">
        <v>1487</v>
      </c>
      <c r="K897" t="s">
        <v>23</v>
      </c>
      <c r="L897" t="s">
        <v>205</v>
      </c>
      <c r="M897" t="s">
        <v>42</v>
      </c>
      <c r="N897" t="s">
        <v>26</v>
      </c>
      <c r="O897" t="s">
        <v>27</v>
      </c>
      <c r="P897" s="1">
        <v>44786</v>
      </c>
      <c r="Q897">
        <f t="shared" si="65"/>
        <v>1</v>
      </c>
      <c r="R897">
        <f t="shared" si="66"/>
        <v>0</v>
      </c>
      <c r="S897">
        <f t="shared" si="67"/>
        <v>0</v>
      </c>
      <c r="T897" s="11">
        <f t="shared" si="68"/>
        <v>2018</v>
      </c>
      <c r="U897" s="11">
        <f t="shared" si="69"/>
        <v>40381</v>
      </c>
    </row>
    <row r="898" spans="1:21" x14ac:dyDescent="0.3">
      <c r="A898" t="s">
        <v>1488</v>
      </c>
      <c r="B898">
        <v>2020</v>
      </c>
      <c r="C898" t="s">
        <v>29</v>
      </c>
      <c r="D898" t="s">
        <v>53</v>
      </c>
      <c r="E898">
        <v>23546</v>
      </c>
      <c r="F898" t="s">
        <v>44</v>
      </c>
      <c r="G898">
        <v>107300</v>
      </c>
      <c r="H898" t="s">
        <v>53</v>
      </c>
      <c r="I898" t="s">
        <v>110</v>
      </c>
      <c r="J898" t="s">
        <v>401</v>
      </c>
      <c r="K898" t="s">
        <v>23</v>
      </c>
      <c r="L898" t="s">
        <v>183</v>
      </c>
      <c r="M898" t="s">
        <v>25</v>
      </c>
      <c r="N898" t="s">
        <v>26</v>
      </c>
      <c r="O898" t="s">
        <v>27</v>
      </c>
      <c r="P898" s="1">
        <v>44786</v>
      </c>
      <c r="Q898">
        <f t="shared" ref="Q898:Q961" si="70">--(C898="ms")</f>
        <v>0</v>
      </c>
      <c r="R898">
        <f t="shared" ref="R898:R961" si="71">--(C898="mx")</f>
        <v>1</v>
      </c>
      <c r="S898">
        <f t="shared" ref="S898:S961" si="72">--(C898="my")</f>
        <v>0</v>
      </c>
      <c r="T898" s="11">
        <f t="shared" ref="T898:T961" si="73">B898</f>
        <v>2020</v>
      </c>
      <c r="U898" s="11">
        <f t="shared" ref="U898:U961" si="74">E898</f>
        <v>23546</v>
      </c>
    </row>
    <row r="899" spans="1:21" x14ac:dyDescent="0.3">
      <c r="A899" t="s">
        <v>1489</v>
      </c>
      <c r="B899">
        <v>2019</v>
      </c>
      <c r="C899" t="s">
        <v>37</v>
      </c>
      <c r="D899" t="s">
        <v>76</v>
      </c>
      <c r="E899">
        <v>35986</v>
      </c>
      <c r="F899" t="s">
        <v>98</v>
      </c>
      <c r="G899">
        <v>91500</v>
      </c>
      <c r="H899" t="s">
        <v>53</v>
      </c>
      <c r="I899" t="s">
        <v>39</v>
      </c>
      <c r="J899" t="s">
        <v>1490</v>
      </c>
      <c r="K899" t="s">
        <v>23</v>
      </c>
      <c r="L899" t="s">
        <v>456</v>
      </c>
      <c r="M899" t="s">
        <v>164</v>
      </c>
      <c r="N899" t="s">
        <v>26</v>
      </c>
      <c r="O899" t="s">
        <v>27</v>
      </c>
      <c r="P899" s="1">
        <v>44786</v>
      </c>
      <c r="Q899">
        <f t="shared" si="70"/>
        <v>1</v>
      </c>
      <c r="R899">
        <f t="shared" si="71"/>
        <v>0</v>
      </c>
      <c r="S899">
        <f t="shared" si="72"/>
        <v>0</v>
      </c>
      <c r="T899" s="11">
        <f t="shared" si="73"/>
        <v>2019</v>
      </c>
      <c r="U899" s="11">
        <f t="shared" si="74"/>
        <v>35986</v>
      </c>
    </row>
    <row r="900" spans="1:21" x14ac:dyDescent="0.3">
      <c r="A900" t="s">
        <v>1491</v>
      </c>
      <c r="B900">
        <v>2020</v>
      </c>
      <c r="C900" t="s">
        <v>17</v>
      </c>
      <c r="D900" t="s">
        <v>18</v>
      </c>
      <c r="E900">
        <v>13976</v>
      </c>
      <c r="F900" t="s">
        <v>156</v>
      </c>
      <c r="G900">
        <v>75000</v>
      </c>
      <c r="H900" t="s">
        <v>20</v>
      </c>
      <c r="I900" t="s">
        <v>39</v>
      </c>
      <c r="J900" t="s">
        <v>315</v>
      </c>
      <c r="K900" t="s">
        <v>23</v>
      </c>
      <c r="L900" t="s">
        <v>24</v>
      </c>
      <c r="M900" t="s">
        <v>25</v>
      </c>
      <c r="N900" t="s">
        <v>26</v>
      </c>
      <c r="O900" t="s">
        <v>27</v>
      </c>
      <c r="P900" s="1">
        <v>44786</v>
      </c>
      <c r="Q900">
        <f t="shared" si="70"/>
        <v>0</v>
      </c>
      <c r="R900">
        <f t="shared" si="71"/>
        <v>0</v>
      </c>
      <c r="S900">
        <f t="shared" si="72"/>
        <v>1</v>
      </c>
      <c r="T900" s="11">
        <f t="shared" si="73"/>
        <v>2020</v>
      </c>
      <c r="U900" s="11">
        <f t="shared" si="74"/>
        <v>13976</v>
      </c>
    </row>
    <row r="901" spans="1:21" x14ac:dyDescent="0.3">
      <c r="A901" t="s">
        <v>1492</v>
      </c>
      <c r="B901">
        <v>2019</v>
      </c>
      <c r="C901" t="s">
        <v>56</v>
      </c>
      <c r="D901" t="s">
        <v>53</v>
      </c>
      <c r="E901">
        <v>20652</v>
      </c>
      <c r="F901" t="s">
        <v>57</v>
      </c>
      <c r="G901">
        <v>49700</v>
      </c>
      <c r="H901" t="s">
        <v>77</v>
      </c>
      <c r="I901" t="s">
        <v>78</v>
      </c>
      <c r="J901" t="s">
        <v>638</v>
      </c>
      <c r="K901" t="s">
        <v>23</v>
      </c>
      <c r="L901" t="s">
        <v>175</v>
      </c>
      <c r="M901" t="s">
        <v>42</v>
      </c>
      <c r="N901" t="s">
        <v>26</v>
      </c>
      <c r="O901" t="s">
        <v>27</v>
      </c>
      <c r="P901" s="1">
        <v>44786</v>
      </c>
      <c r="Q901">
        <f t="shared" si="70"/>
        <v>0</v>
      </c>
      <c r="R901">
        <f t="shared" si="71"/>
        <v>0</v>
      </c>
      <c r="S901">
        <f t="shared" si="72"/>
        <v>0</v>
      </c>
      <c r="T901" s="11">
        <f t="shared" si="73"/>
        <v>2019</v>
      </c>
      <c r="U901" s="11">
        <f t="shared" si="74"/>
        <v>20652</v>
      </c>
    </row>
    <row r="902" spans="1:21" x14ac:dyDescent="0.3">
      <c r="A902" t="s">
        <v>1493</v>
      </c>
      <c r="B902">
        <v>2018</v>
      </c>
      <c r="C902" t="s">
        <v>56</v>
      </c>
      <c r="D902" t="s">
        <v>30</v>
      </c>
      <c r="E902">
        <v>77658</v>
      </c>
      <c r="F902" t="s">
        <v>57</v>
      </c>
      <c r="G902">
        <v>44100</v>
      </c>
      <c r="H902" t="s">
        <v>20</v>
      </c>
      <c r="I902" t="s">
        <v>58</v>
      </c>
      <c r="J902" t="s">
        <v>413</v>
      </c>
      <c r="K902" t="s">
        <v>23</v>
      </c>
      <c r="L902" t="s">
        <v>205</v>
      </c>
      <c r="M902" t="s">
        <v>42</v>
      </c>
      <c r="N902" t="s">
        <v>26</v>
      </c>
      <c r="O902" t="s">
        <v>27</v>
      </c>
      <c r="P902" s="1">
        <v>44786</v>
      </c>
      <c r="Q902">
        <f t="shared" si="70"/>
        <v>0</v>
      </c>
      <c r="R902">
        <f t="shared" si="71"/>
        <v>0</v>
      </c>
      <c r="S902">
        <f t="shared" si="72"/>
        <v>0</v>
      </c>
      <c r="T902" s="11">
        <f t="shared" si="73"/>
        <v>2018</v>
      </c>
      <c r="U902" s="11">
        <f t="shared" si="74"/>
        <v>77658</v>
      </c>
    </row>
    <row r="903" spans="1:21" x14ac:dyDescent="0.3">
      <c r="A903" t="s">
        <v>1494</v>
      </c>
      <c r="B903">
        <v>2019</v>
      </c>
      <c r="C903" t="s">
        <v>56</v>
      </c>
      <c r="D903" t="s">
        <v>93</v>
      </c>
      <c r="E903">
        <v>38648</v>
      </c>
      <c r="F903" t="s">
        <v>57</v>
      </c>
      <c r="G903">
        <v>51500</v>
      </c>
      <c r="H903" t="s">
        <v>77</v>
      </c>
      <c r="I903" t="s">
        <v>78</v>
      </c>
      <c r="J903" t="s">
        <v>280</v>
      </c>
      <c r="K903" t="s">
        <v>23</v>
      </c>
      <c r="L903" t="s">
        <v>330</v>
      </c>
      <c r="M903" t="s">
        <v>42</v>
      </c>
      <c r="N903" t="s">
        <v>26</v>
      </c>
      <c r="O903" t="s">
        <v>27</v>
      </c>
      <c r="P903" s="1">
        <v>44786</v>
      </c>
      <c r="Q903">
        <f t="shared" si="70"/>
        <v>0</v>
      </c>
      <c r="R903">
        <f t="shared" si="71"/>
        <v>0</v>
      </c>
      <c r="S903">
        <f t="shared" si="72"/>
        <v>0</v>
      </c>
      <c r="T903" s="11">
        <f t="shared" si="73"/>
        <v>2019</v>
      </c>
      <c r="U903" s="11">
        <f t="shared" si="74"/>
        <v>38648</v>
      </c>
    </row>
    <row r="904" spans="1:21" x14ac:dyDescent="0.3">
      <c r="A904" t="s">
        <v>1495</v>
      </c>
      <c r="B904">
        <v>2019</v>
      </c>
      <c r="C904" t="s">
        <v>56</v>
      </c>
      <c r="D904" t="s">
        <v>32</v>
      </c>
      <c r="E904">
        <v>23972</v>
      </c>
      <c r="F904" t="s">
        <v>57</v>
      </c>
      <c r="G904">
        <v>49000</v>
      </c>
      <c r="H904" t="s">
        <v>20</v>
      </c>
      <c r="I904" t="s">
        <v>78</v>
      </c>
      <c r="J904" t="s">
        <v>275</v>
      </c>
      <c r="K904" t="s">
        <v>23</v>
      </c>
      <c r="L904" t="s">
        <v>829</v>
      </c>
      <c r="M904" t="s">
        <v>830</v>
      </c>
      <c r="N904" t="s">
        <v>831</v>
      </c>
      <c r="O904" t="s">
        <v>27</v>
      </c>
      <c r="P904" s="1">
        <v>44786</v>
      </c>
      <c r="Q904">
        <f t="shared" si="70"/>
        <v>0</v>
      </c>
      <c r="R904">
        <f t="shared" si="71"/>
        <v>0</v>
      </c>
      <c r="S904">
        <f t="shared" si="72"/>
        <v>0</v>
      </c>
      <c r="T904" s="11">
        <f t="shared" si="73"/>
        <v>2019</v>
      </c>
      <c r="U904" s="11">
        <f t="shared" si="74"/>
        <v>23972</v>
      </c>
    </row>
    <row r="905" spans="1:21" x14ac:dyDescent="0.3">
      <c r="A905" t="s">
        <v>1496</v>
      </c>
      <c r="B905">
        <v>2020</v>
      </c>
      <c r="C905" t="s">
        <v>56</v>
      </c>
      <c r="D905" t="s">
        <v>32</v>
      </c>
      <c r="E905">
        <v>36247</v>
      </c>
      <c r="F905" t="s">
        <v>57</v>
      </c>
      <c r="G905">
        <v>53600</v>
      </c>
      <c r="H905" t="s">
        <v>20</v>
      </c>
      <c r="I905" t="s">
        <v>58</v>
      </c>
      <c r="J905" t="s">
        <v>168</v>
      </c>
      <c r="K905" t="s">
        <v>23</v>
      </c>
      <c r="L905" t="s">
        <v>205</v>
      </c>
      <c r="M905" t="s">
        <v>42</v>
      </c>
      <c r="N905" t="s">
        <v>26</v>
      </c>
      <c r="O905" t="s">
        <v>27</v>
      </c>
      <c r="P905" s="1">
        <v>44786</v>
      </c>
      <c r="Q905">
        <f t="shared" si="70"/>
        <v>0</v>
      </c>
      <c r="R905">
        <f t="shared" si="71"/>
        <v>0</v>
      </c>
      <c r="S905">
        <f t="shared" si="72"/>
        <v>0</v>
      </c>
      <c r="T905" s="11">
        <f t="shared" si="73"/>
        <v>2020</v>
      </c>
      <c r="U905" s="11">
        <f t="shared" si="74"/>
        <v>36247</v>
      </c>
    </row>
    <row r="906" spans="1:21" x14ac:dyDescent="0.3">
      <c r="A906" t="s">
        <v>1497</v>
      </c>
      <c r="B906">
        <v>2019</v>
      </c>
      <c r="C906" t="s">
        <v>56</v>
      </c>
      <c r="D906" t="s">
        <v>53</v>
      </c>
      <c r="E906">
        <v>32999</v>
      </c>
      <c r="F906" t="s">
        <v>57</v>
      </c>
      <c r="G906">
        <v>49500</v>
      </c>
      <c r="H906" t="s">
        <v>20</v>
      </c>
      <c r="I906" t="s">
        <v>78</v>
      </c>
      <c r="J906" t="s">
        <v>564</v>
      </c>
      <c r="K906" t="s">
        <v>23</v>
      </c>
      <c r="L906" t="s">
        <v>163</v>
      </c>
      <c r="M906" t="s">
        <v>164</v>
      </c>
      <c r="N906" t="s">
        <v>26</v>
      </c>
      <c r="O906" t="s">
        <v>27</v>
      </c>
      <c r="P906" s="1">
        <v>44786</v>
      </c>
      <c r="Q906">
        <f t="shared" si="70"/>
        <v>0</v>
      </c>
      <c r="R906">
        <f t="shared" si="71"/>
        <v>0</v>
      </c>
      <c r="S906">
        <f t="shared" si="72"/>
        <v>0</v>
      </c>
      <c r="T906" s="11">
        <f t="shared" si="73"/>
        <v>2019</v>
      </c>
      <c r="U906" s="11">
        <f t="shared" si="74"/>
        <v>32999</v>
      </c>
    </row>
    <row r="907" spans="1:21" x14ac:dyDescent="0.3">
      <c r="A907" t="s">
        <v>1498</v>
      </c>
      <c r="B907">
        <v>2020</v>
      </c>
      <c r="C907" t="s">
        <v>56</v>
      </c>
      <c r="D907" t="s">
        <v>93</v>
      </c>
      <c r="E907">
        <v>24038</v>
      </c>
      <c r="F907" t="s">
        <v>57</v>
      </c>
      <c r="G907">
        <v>54800</v>
      </c>
      <c r="H907" t="s">
        <v>20</v>
      </c>
      <c r="I907" t="s">
        <v>58</v>
      </c>
      <c r="J907" t="s">
        <v>842</v>
      </c>
      <c r="K907" t="s">
        <v>23</v>
      </c>
      <c r="L907" t="s">
        <v>330</v>
      </c>
      <c r="M907" t="s">
        <v>42</v>
      </c>
      <c r="N907" t="s">
        <v>26</v>
      </c>
      <c r="O907" t="s">
        <v>27</v>
      </c>
      <c r="P907" s="1">
        <v>44786</v>
      </c>
      <c r="Q907">
        <f t="shared" si="70"/>
        <v>0</v>
      </c>
      <c r="R907">
        <f t="shared" si="71"/>
        <v>0</v>
      </c>
      <c r="S907">
        <f t="shared" si="72"/>
        <v>0</v>
      </c>
      <c r="T907" s="11">
        <f t="shared" si="73"/>
        <v>2020</v>
      </c>
      <c r="U907" s="11">
        <f t="shared" si="74"/>
        <v>24038</v>
      </c>
    </row>
    <row r="908" spans="1:21" x14ac:dyDescent="0.3">
      <c r="A908" t="s">
        <v>1499</v>
      </c>
      <c r="B908">
        <v>2017</v>
      </c>
      <c r="C908" t="s">
        <v>29</v>
      </c>
      <c r="D908" t="s">
        <v>53</v>
      </c>
      <c r="E908">
        <v>61216</v>
      </c>
      <c r="F908" t="s">
        <v>52</v>
      </c>
      <c r="G908">
        <v>80100</v>
      </c>
      <c r="H908" t="s">
        <v>32</v>
      </c>
      <c r="I908" t="s">
        <v>110</v>
      </c>
      <c r="J908" t="s">
        <v>1500</v>
      </c>
      <c r="K908" t="s">
        <v>23</v>
      </c>
      <c r="L908" t="s">
        <v>205</v>
      </c>
      <c r="M908" t="s">
        <v>42</v>
      </c>
      <c r="N908" t="s">
        <v>26</v>
      </c>
      <c r="O908" t="s">
        <v>27</v>
      </c>
      <c r="P908" s="1">
        <v>44786</v>
      </c>
      <c r="Q908">
        <f t="shared" si="70"/>
        <v>0</v>
      </c>
      <c r="R908">
        <f t="shared" si="71"/>
        <v>1</v>
      </c>
      <c r="S908">
        <f t="shared" si="72"/>
        <v>0</v>
      </c>
      <c r="T908" s="11">
        <f t="shared" si="73"/>
        <v>2017</v>
      </c>
      <c r="U908" s="11">
        <f t="shared" si="74"/>
        <v>61216</v>
      </c>
    </row>
    <row r="909" spans="1:21" x14ac:dyDescent="0.3">
      <c r="A909" t="s">
        <v>1501</v>
      </c>
      <c r="B909">
        <v>2020</v>
      </c>
      <c r="C909" t="s">
        <v>56</v>
      </c>
      <c r="D909" t="s">
        <v>30</v>
      </c>
      <c r="E909">
        <v>18103</v>
      </c>
      <c r="F909" t="s">
        <v>57</v>
      </c>
      <c r="G909">
        <v>58900</v>
      </c>
      <c r="H909" t="s">
        <v>20</v>
      </c>
      <c r="I909" t="s">
        <v>78</v>
      </c>
      <c r="J909" t="s">
        <v>124</v>
      </c>
      <c r="K909" t="s">
        <v>23</v>
      </c>
      <c r="L909" t="s">
        <v>197</v>
      </c>
      <c r="M909" t="s">
        <v>198</v>
      </c>
      <c r="N909" t="s">
        <v>26</v>
      </c>
      <c r="O909" t="s">
        <v>27</v>
      </c>
      <c r="P909" s="1">
        <v>44786</v>
      </c>
      <c r="Q909">
        <f t="shared" si="70"/>
        <v>0</v>
      </c>
      <c r="R909">
        <f t="shared" si="71"/>
        <v>0</v>
      </c>
      <c r="S909">
        <f t="shared" si="72"/>
        <v>0</v>
      </c>
      <c r="T909" s="11">
        <f t="shared" si="73"/>
        <v>2020</v>
      </c>
      <c r="U909" s="11">
        <f t="shared" si="74"/>
        <v>18103</v>
      </c>
    </row>
    <row r="910" spans="1:21" x14ac:dyDescent="0.3">
      <c r="A910" t="s">
        <v>1502</v>
      </c>
      <c r="B910">
        <v>2018</v>
      </c>
      <c r="C910" t="s">
        <v>29</v>
      </c>
      <c r="D910" t="s">
        <v>51</v>
      </c>
      <c r="E910">
        <v>40277</v>
      </c>
      <c r="F910" t="s">
        <v>104</v>
      </c>
      <c r="G910">
        <v>80400</v>
      </c>
      <c r="H910" t="s">
        <v>53</v>
      </c>
      <c r="I910" t="s">
        <v>21</v>
      </c>
      <c r="J910" t="s">
        <v>54</v>
      </c>
      <c r="K910" t="s">
        <v>23</v>
      </c>
      <c r="L910" t="s">
        <v>456</v>
      </c>
      <c r="M910" t="s">
        <v>164</v>
      </c>
      <c r="N910" t="s">
        <v>26</v>
      </c>
      <c r="O910" t="s">
        <v>27</v>
      </c>
      <c r="P910" s="1">
        <v>44786</v>
      </c>
      <c r="Q910">
        <f t="shared" si="70"/>
        <v>0</v>
      </c>
      <c r="R910">
        <f t="shared" si="71"/>
        <v>1</v>
      </c>
      <c r="S910">
        <f t="shared" si="72"/>
        <v>0</v>
      </c>
      <c r="T910" s="11">
        <f t="shared" si="73"/>
        <v>2018</v>
      </c>
      <c r="U910" s="11">
        <f t="shared" si="74"/>
        <v>40277</v>
      </c>
    </row>
    <row r="911" spans="1:21" x14ac:dyDescent="0.3">
      <c r="A911" t="s">
        <v>1503</v>
      </c>
      <c r="B911">
        <v>2018</v>
      </c>
      <c r="C911" t="s">
        <v>29</v>
      </c>
      <c r="D911" t="s">
        <v>32</v>
      </c>
      <c r="E911">
        <v>67374</v>
      </c>
      <c r="F911" t="s">
        <v>270</v>
      </c>
      <c r="G911">
        <v>90500</v>
      </c>
      <c r="H911" t="s">
        <v>53</v>
      </c>
      <c r="I911" t="s">
        <v>110</v>
      </c>
      <c r="J911" t="s">
        <v>1504</v>
      </c>
      <c r="K911" t="s">
        <v>23</v>
      </c>
      <c r="L911" t="s">
        <v>197</v>
      </c>
      <c r="M911" t="s">
        <v>198</v>
      </c>
      <c r="N911" t="s">
        <v>26</v>
      </c>
      <c r="O911" t="s">
        <v>27</v>
      </c>
      <c r="P911" s="1">
        <v>44786</v>
      </c>
      <c r="Q911">
        <f t="shared" si="70"/>
        <v>0</v>
      </c>
      <c r="R911">
        <f t="shared" si="71"/>
        <v>1</v>
      </c>
      <c r="S911">
        <f t="shared" si="72"/>
        <v>0</v>
      </c>
      <c r="T911" s="11">
        <f t="shared" si="73"/>
        <v>2018</v>
      </c>
      <c r="U911" s="11">
        <f t="shared" si="74"/>
        <v>67374</v>
      </c>
    </row>
    <row r="912" spans="1:21" x14ac:dyDescent="0.3">
      <c r="A912" t="s">
        <v>1505</v>
      </c>
      <c r="B912">
        <v>2021</v>
      </c>
      <c r="C912" t="s">
        <v>17</v>
      </c>
      <c r="D912" t="s">
        <v>32</v>
      </c>
      <c r="E912">
        <v>15311</v>
      </c>
      <c r="F912" t="s">
        <v>189</v>
      </c>
      <c r="G912">
        <v>77600</v>
      </c>
      <c r="H912" t="s">
        <v>77</v>
      </c>
      <c r="I912" t="s">
        <v>39</v>
      </c>
      <c r="J912" t="s">
        <v>1088</v>
      </c>
      <c r="K912" t="s">
        <v>23</v>
      </c>
      <c r="L912" t="s">
        <v>197</v>
      </c>
      <c r="M912" t="s">
        <v>198</v>
      </c>
      <c r="N912" t="s">
        <v>26</v>
      </c>
      <c r="O912" t="s">
        <v>27</v>
      </c>
      <c r="P912" s="1">
        <v>44786</v>
      </c>
      <c r="Q912">
        <f t="shared" si="70"/>
        <v>0</v>
      </c>
      <c r="R912">
        <f t="shared" si="71"/>
        <v>0</v>
      </c>
      <c r="S912">
        <f t="shared" si="72"/>
        <v>1</v>
      </c>
      <c r="T912" s="11">
        <f t="shared" si="73"/>
        <v>2021</v>
      </c>
      <c r="U912" s="11">
        <f t="shared" si="74"/>
        <v>15311</v>
      </c>
    </row>
    <row r="913" spans="1:21" x14ac:dyDescent="0.3">
      <c r="A913" t="s">
        <v>1506</v>
      </c>
      <c r="B913">
        <v>2021</v>
      </c>
      <c r="C913" t="s">
        <v>17</v>
      </c>
      <c r="D913" t="s">
        <v>53</v>
      </c>
      <c r="E913">
        <v>21276</v>
      </c>
      <c r="F913" t="s">
        <v>189</v>
      </c>
      <c r="G913">
        <v>78700</v>
      </c>
      <c r="H913" t="s">
        <v>77</v>
      </c>
      <c r="I913" t="s">
        <v>39</v>
      </c>
      <c r="J913" t="s">
        <v>273</v>
      </c>
      <c r="K913" t="s">
        <v>23</v>
      </c>
      <c r="L913" t="s">
        <v>175</v>
      </c>
      <c r="M913" t="s">
        <v>42</v>
      </c>
      <c r="N913" t="s">
        <v>26</v>
      </c>
      <c r="O913" t="s">
        <v>27</v>
      </c>
      <c r="P913" s="1">
        <v>44786</v>
      </c>
      <c r="Q913">
        <f t="shared" si="70"/>
        <v>0</v>
      </c>
      <c r="R913">
        <f t="shared" si="71"/>
        <v>0</v>
      </c>
      <c r="S913">
        <f t="shared" si="72"/>
        <v>1</v>
      </c>
      <c r="T913" s="11">
        <f t="shared" si="73"/>
        <v>2021</v>
      </c>
      <c r="U913" s="11">
        <f t="shared" si="74"/>
        <v>21276</v>
      </c>
    </row>
    <row r="914" spans="1:21" x14ac:dyDescent="0.3">
      <c r="A914" t="s">
        <v>1507</v>
      </c>
      <c r="B914">
        <v>2019</v>
      </c>
      <c r="C914" t="s">
        <v>56</v>
      </c>
      <c r="D914" t="s">
        <v>53</v>
      </c>
      <c r="E914">
        <v>33291</v>
      </c>
      <c r="F914" t="s">
        <v>57</v>
      </c>
      <c r="G914">
        <v>53600</v>
      </c>
      <c r="H914" t="s">
        <v>20</v>
      </c>
      <c r="I914" t="s">
        <v>58</v>
      </c>
      <c r="J914" t="s">
        <v>59</v>
      </c>
      <c r="K914" t="s">
        <v>23</v>
      </c>
      <c r="L914" t="s">
        <v>292</v>
      </c>
      <c r="M914" t="s">
        <v>172</v>
      </c>
      <c r="N914" t="s">
        <v>173</v>
      </c>
      <c r="O914" t="s">
        <v>27</v>
      </c>
      <c r="P914" s="1">
        <v>44786</v>
      </c>
      <c r="Q914">
        <f t="shared" si="70"/>
        <v>0</v>
      </c>
      <c r="R914">
        <f t="shared" si="71"/>
        <v>0</v>
      </c>
      <c r="S914">
        <f t="shared" si="72"/>
        <v>0</v>
      </c>
      <c r="T914" s="11">
        <f t="shared" si="73"/>
        <v>2019</v>
      </c>
      <c r="U914" s="11">
        <f t="shared" si="74"/>
        <v>33291</v>
      </c>
    </row>
    <row r="915" spans="1:21" x14ac:dyDescent="0.3">
      <c r="A915" t="s">
        <v>1508</v>
      </c>
      <c r="B915">
        <v>2021</v>
      </c>
      <c r="C915" t="s">
        <v>17</v>
      </c>
      <c r="D915" t="s">
        <v>32</v>
      </c>
      <c r="E915">
        <v>12368</v>
      </c>
      <c r="F915" t="s">
        <v>189</v>
      </c>
      <c r="G915">
        <v>79200</v>
      </c>
      <c r="H915" t="s">
        <v>77</v>
      </c>
      <c r="I915" t="s">
        <v>39</v>
      </c>
      <c r="J915" t="s">
        <v>1088</v>
      </c>
      <c r="K915" t="s">
        <v>23</v>
      </c>
      <c r="L915" t="s">
        <v>509</v>
      </c>
      <c r="N915" t="s">
        <v>26</v>
      </c>
      <c r="O915" t="s">
        <v>27</v>
      </c>
      <c r="P915" s="1">
        <v>44786</v>
      </c>
      <c r="Q915">
        <f t="shared" si="70"/>
        <v>0</v>
      </c>
      <c r="R915">
        <f t="shared" si="71"/>
        <v>0</v>
      </c>
      <c r="S915">
        <f t="shared" si="72"/>
        <v>1</v>
      </c>
      <c r="T915" s="11">
        <f t="shared" si="73"/>
        <v>2021</v>
      </c>
      <c r="U915" s="11">
        <f t="shared" si="74"/>
        <v>12368</v>
      </c>
    </row>
    <row r="916" spans="1:21" x14ac:dyDescent="0.3">
      <c r="A916" t="s">
        <v>1509</v>
      </c>
      <c r="B916">
        <v>2021</v>
      </c>
      <c r="C916" t="s">
        <v>56</v>
      </c>
      <c r="D916" t="s">
        <v>53</v>
      </c>
      <c r="E916">
        <v>16453</v>
      </c>
      <c r="F916" t="s">
        <v>57</v>
      </c>
      <c r="G916">
        <v>63200</v>
      </c>
      <c r="H916" t="s">
        <v>20</v>
      </c>
      <c r="I916" t="s">
        <v>58</v>
      </c>
      <c r="J916" t="s">
        <v>59</v>
      </c>
      <c r="K916" t="s">
        <v>23</v>
      </c>
      <c r="L916" t="s">
        <v>292</v>
      </c>
      <c r="M916" t="s">
        <v>172</v>
      </c>
      <c r="N916" t="s">
        <v>173</v>
      </c>
      <c r="O916" t="s">
        <v>27</v>
      </c>
      <c r="P916" s="1">
        <v>44786</v>
      </c>
      <c r="Q916">
        <f t="shared" si="70"/>
        <v>0</v>
      </c>
      <c r="R916">
        <f t="shared" si="71"/>
        <v>0</v>
      </c>
      <c r="S916">
        <f t="shared" si="72"/>
        <v>0</v>
      </c>
      <c r="T916" s="11">
        <f t="shared" si="73"/>
        <v>2021</v>
      </c>
      <c r="U916" s="11">
        <f t="shared" si="74"/>
        <v>16453</v>
      </c>
    </row>
    <row r="917" spans="1:21" x14ac:dyDescent="0.3">
      <c r="A917" t="s">
        <v>1510</v>
      </c>
      <c r="B917">
        <v>2018</v>
      </c>
      <c r="C917" t="s">
        <v>37</v>
      </c>
      <c r="D917" t="s">
        <v>53</v>
      </c>
      <c r="E917">
        <v>41540</v>
      </c>
      <c r="F917" t="s">
        <v>104</v>
      </c>
      <c r="G917">
        <v>70800</v>
      </c>
      <c r="H917" t="s">
        <v>45</v>
      </c>
      <c r="I917" t="s">
        <v>39</v>
      </c>
      <c r="J917" t="s">
        <v>1511</v>
      </c>
      <c r="K917" t="s">
        <v>23</v>
      </c>
      <c r="N917" t="s">
        <v>127</v>
      </c>
      <c r="O917" t="s">
        <v>27</v>
      </c>
      <c r="P917" s="1">
        <v>44786</v>
      </c>
      <c r="Q917">
        <f t="shared" si="70"/>
        <v>1</v>
      </c>
      <c r="R917">
        <f t="shared" si="71"/>
        <v>0</v>
      </c>
      <c r="S917">
        <f t="shared" si="72"/>
        <v>0</v>
      </c>
      <c r="T917" s="11">
        <f t="shared" si="73"/>
        <v>2018</v>
      </c>
      <c r="U917" s="11">
        <f t="shared" si="74"/>
        <v>41540</v>
      </c>
    </row>
    <row r="918" spans="1:21" x14ac:dyDescent="0.3">
      <c r="A918" t="s">
        <v>1512</v>
      </c>
      <c r="B918">
        <v>2019</v>
      </c>
      <c r="C918" t="s">
        <v>29</v>
      </c>
      <c r="D918" t="s">
        <v>30</v>
      </c>
      <c r="E918">
        <v>12035</v>
      </c>
      <c r="F918" t="s">
        <v>177</v>
      </c>
      <c r="G918">
        <v>101500</v>
      </c>
      <c r="H918" t="s">
        <v>53</v>
      </c>
      <c r="I918" t="s">
        <v>21</v>
      </c>
      <c r="J918" t="s">
        <v>1513</v>
      </c>
      <c r="K918" t="s">
        <v>23</v>
      </c>
      <c r="N918" t="s">
        <v>127</v>
      </c>
      <c r="O918" t="s">
        <v>27</v>
      </c>
      <c r="P918" s="1">
        <v>44786</v>
      </c>
      <c r="Q918">
        <f t="shared" si="70"/>
        <v>0</v>
      </c>
      <c r="R918">
        <f t="shared" si="71"/>
        <v>1</v>
      </c>
      <c r="S918">
        <f t="shared" si="72"/>
        <v>0</v>
      </c>
      <c r="T918" s="11">
        <f t="shared" si="73"/>
        <v>2019</v>
      </c>
      <c r="U918" s="11">
        <f t="shared" si="74"/>
        <v>12035</v>
      </c>
    </row>
    <row r="919" spans="1:21" x14ac:dyDescent="0.3">
      <c r="A919" t="s">
        <v>1514</v>
      </c>
      <c r="B919">
        <v>2021</v>
      </c>
      <c r="C919" t="s">
        <v>37</v>
      </c>
      <c r="D919" t="s">
        <v>51</v>
      </c>
      <c r="E919">
        <v>10486</v>
      </c>
      <c r="F919" t="s">
        <v>131</v>
      </c>
      <c r="G919">
        <v>118200</v>
      </c>
      <c r="H919" t="s">
        <v>53</v>
      </c>
      <c r="I919" t="s">
        <v>39</v>
      </c>
      <c r="J919" t="s">
        <v>557</v>
      </c>
      <c r="K919" t="s">
        <v>23</v>
      </c>
      <c r="N919" t="s">
        <v>127</v>
      </c>
      <c r="O919" t="s">
        <v>27</v>
      </c>
      <c r="P919" s="1">
        <v>44786</v>
      </c>
      <c r="Q919">
        <f t="shared" si="70"/>
        <v>1</v>
      </c>
      <c r="R919">
        <f t="shared" si="71"/>
        <v>0</v>
      </c>
      <c r="S919">
        <f t="shared" si="72"/>
        <v>0</v>
      </c>
      <c r="T919" s="11">
        <f t="shared" si="73"/>
        <v>2021</v>
      </c>
      <c r="U919" s="11">
        <f t="shared" si="74"/>
        <v>10486</v>
      </c>
    </row>
    <row r="920" spans="1:21" x14ac:dyDescent="0.3">
      <c r="A920" t="s">
        <v>1515</v>
      </c>
      <c r="B920">
        <v>2019</v>
      </c>
      <c r="C920" t="s">
        <v>56</v>
      </c>
      <c r="D920" t="s">
        <v>93</v>
      </c>
      <c r="E920">
        <v>30176</v>
      </c>
      <c r="F920" t="s">
        <v>57</v>
      </c>
      <c r="G920">
        <v>48000</v>
      </c>
      <c r="H920" t="s">
        <v>20</v>
      </c>
      <c r="I920" t="s">
        <v>58</v>
      </c>
      <c r="J920" t="s">
        <v>842</v>
      </c>
      <c r="K920" t="s">
        <v>23</v>
      </c>
      <c r="L920" t="s">
        <v>147</v>
      </c>
      <c r="M920" t="s">
        <v>148</v>
      </c>
      <c r="N920" t="s">
        <v>149</v>
      </c>
      <c r="O920" t="s">
        <v>27</v>
      </c>
      <c r="P920" s="1">
        <v>44786</v>
      </c>
      <c r="Q920">
        <f t="shared" si="70"/>
        <v>0</v>
      </c>
      <c r="R920">
        <f t="shared" si="71"/>
        <v>0</v>
      </c>
      <c r="S920">
        <f t="shared" si="72"/>
        <v>0</v>
      </c>
      <c r="T920" s="11">
        <f t="shared" si="73"/>
        <v>2019</v>
      </c>
      <c r="U920" s="11">
        <f t="shared" si="74"/>
        <v>30176</v>
      </c>
    </row>
    <row r="921" spans="1:21" x14ac:dyDescent="0.3">
      <c r="A921" t="s">
        <v>1516</v>
      </c>
      <c r="B921">
        <v>2022</v>
      </c>
      <c r="C921" t="s">
        <v>37</v>
      </c>
      <c r="D921" t="s">
        <v>53</v>
      </c>
      <c r="E921">
        <v>6148</v>
      </c>
      <c r="F921" t="s">
        <v>131</v>
      </c>
      <c r="G921">
        <v>132000</v>
      </c>
      <c r="H921" t="s">
        <v>32</v>
      </c>
      <c r="I921" t="s">
        <v>39</v>
      </c>
      <c r="J921" t="s">
        <v>828</v>
      </c>
      <c r="K921" t="s">
        <v>23</v>
      </c>
      <c r="N921" t="s">
        <v>127</v>
      </c>
      <c r="O921" t="s">
        <v>27</v>
      </c>
      <c r="P921" s="1">
        <v>44786</v>
      </c>
      <c r="Q921">
        <f t="shared" si="70"/>
        <v>1</v>
      </c>
      <c r="R921">
        <f t="shared" si="71"/>
        <v>0</v>
      </c>
      <c r="S921">
        <f t="shared" si="72"/>
        <v>0</v>
      </c>
      <c r="T921" s="11">
        <f t="shared" si="73"/>
        <v>2022</v>
      </c>
      <c r="U921" s="11">
        <f t="shared" si="74"/>
        <v>6148</v>
      </c>
    </row>
    <row r="922" spans="1:21" x14ac:dyDescent="0.3">
      <c r="A922" t="s">
        <v>1517</v>
      </c>
      <c r="B922">
        <v>2016</v>
      </c>
      <c r="C922" t="s">
        <v>29</v>
      </c>
      <c r="D922" t="s">
        <v>53</v>
      </c>
      <c r="E922">
        <v>72170</v>
      </c>
      <c r="F922" t="s">
        <v>104</v>
      </c>
      <c r="G922">
        <v>66600</v>
      </c>
      <c r="H922" t="s">
        <v>32</v>
      </c>
      <c r="I922" t="s">
        <v>21</v>
      </c>
      <c r="J922" t="s">
        <v>1518</v>
      </c>
      <c r="K922" t="s">
        <v>23</v>
      </c>
      <c r="L922" t="s">
        <v>278</v>
      </c>
      <c r="M922" t="s">
        <v>148</v>
      </c>
      <c r="N922" t="s">
        <v>149</v>
      </c>
      <c r="O922" t="s">
        <v>27</v>
      </c>
      <c r="P922" s="1">
        <v>44786</v>
      </c>
      <c r="Q922">
        <f t="shared" si="70"/>
        <v>0</v>
      </c>
      <c r="R922">
        <f t="shared" si="71"/>
        <v>1</v>
      </c>
      <c r="S922">
        <f t="shared" si="72"/>
        <v>0</v>
      </c>
      <c r="T922" s="11">
        <f t="shared" si="73"/>
        <v>2016</v>
      </c>
      <c r="U922" s="11">
        <f t="shared" si="74"/>
        <v>72170</v>
      </c>
    </row>
    <row r="923" spans="1:21" x14ac:dyDescent="0.3">
      <c r="A923" t="s">
        <v>1519</v>
      </c>
      <c r="B923">
        <v>2018</v>
      </c>
      <c r="C923" t="s">
        <v>56</v>
      </c>
      <c r="D923" t="s">
        <v>32</v>
      </c>
      <c r="E923">
        <v>28524</v>
      </c>
      <c r="F923" t="s">
        <v>57</v>
      </c>
      <c r="G923">
        <v>47300</v>
      </c>
      <c r="H923" t="s">
        <v>20</v>
      </c>
      <c r="I923" t="s">
        <v>78</v>
      </c>
      <c r="J923" t="s">
        <v>275</v>
      </c>
      <c r="K923" t="s">
        <v>23</v>
      </c>
      <c r="L923" t="s">
        <v>147</v>
      </c>
      <c r="M923" t="s">
        <v>148</v>
      </c>
      <c r="N923" t="s">
        <v>149</v>
      </c>
      <c r="O923" t="s">
        <v>27</v>
      </c>
      <c r="P923" s="1">
        <v>44786</v>
      </c>
      <c r="Q923">
        <f t="shared" si="70"/>
        <v>0</v>
      </c>
      <c r="R923">
        <f t="shared" si="71"/>
        <v>0</v>
      </c>
      <c r="S923">
        <f t="shared" si="72"/>
        <v>0</v>
      </c>
      <c r="T923" s="11">
        <f t="shared" si="73"/>
        <v>2018</v>
      </c>
      <c r="U923" s="11">
        <f t="shared" si="74"/>
        <v>28524</v>
      </c>
    </row>
    <row r="924" spans="1:21" x14ac:dyDescent="0.3">
      <c r="A924" t="s">
        <v>1520</v>
      </c>
      <c r="B924">
        <v>2019</v>
      </c>
      <c r="C924" t="s">
        <v>56</v>
      </c>
      <c r="D924" t="s">
        <v>53</v>
      </c>
      <c r="E924">
        <v>21412</v>
      </c>
      <c r="F924" t="s">
        <v>57</v>
      </c>
      <c r="G924">
        <v>53900</v>
      </c>
      <c r="H924" t="s">
        <v>77</v>
      </c>
      <c r="I924" t="s">
        <v>78</v>
      </c>
      <c r="J924" t="s">
        <v>638</v>
      </c>
      <c r="K924" t="s">
        <v>23</v>
      </c>
      <c r="L924" t="s">
        <v>494</v>
      </c>
      <c r="M924" t="s">
        <v>113</v>
      </c>
      <c r="N924" t="s">
        <v>114</v>
      </c>
      <c r="O924" t="s">
        <v>27</v>
      </c>
      <c r="P924" s="1">
        <v>44786</v>
      </c>
      <c r="Q924">
        <f t="shared" si="70"/>
        <v>0</v>
      </c>
      <c r="R924">
        <f t="shared" si="71"/>
        <v>0</v>
      </c>
      <c r="S924">
        <f t="shared" si="72"/>
        <v>0</v>
      </c>
      <c r="T924" s="11">
        <f t="shared" si="73"/>
        <v>2019</v>
      </c>
      <c r="U924" s="11">
        <f t="shared" si="74"/>
        <v>21412</v>
      </c>
    </row>
    <row r="925" spans="1:21" x14ac:dyDescent="0.3">
      <c r="A925" t="s">
        <v>1521</v>
      </c>
      <c r="B925">
        <v>2021</v>
      </c>
      <c r="C925" t="s">
        <v>17</v>
      </c>
      <c r="D925" t="s">
        <v>32</v>
      </c>
      <c r="E925">
        <v>15748</v>
      </c>
      <c r="F925" t="s">
        <v>189</v>
      </c>
      <c r="G925">
        <v>74600</v>
      </c>
      <c r="H925" t="s">
        <v>77</v>
      </c>
      <c r="I925" t="s">
        <v>39</v>
      </c>
      <c r="J925" t="s">
        <v>1088</v>
      </c>
      <c r="K925" t="s">
        <v>23</v>
      </c>
      <c r="L925" t="s">
        <v>494</v>
      </c>
      <c r="M925" t="s">
        <v>113</v>
      </c>
      <c r="N925" t="s">
        <v>114</v>
      </c>
      <c r="O925" t="s">
        <v>27</v>
      </c>
      <c r="P925" s="1">
        <v>44786</v>
      </c>
      <c r="Q925">
        <f t="shared" si="70"/>
        <v>0</v>
      </c>
      <c r="R925">
        <f t="shared" si="71"/>
        <v>0</v>
      </c>
      <c r="S925">
        <f t="shared" si="72"/>
        <v>1</v>
      </c>
      <c r="T925" s="11">
        <f t="shared" si="73"/>
        <v>2021</v>
      </c>
      <c r="U925" s="11">
        <f t="shared" si="74"/>
        <v>15748</v>
      </c>
    </row>
    <row r="926" spans="1:21" x14ac:dyDescent="0.3">
      <c r="A926" t="s">
        <v>1522</v>
      </c>
      <c r="B926">
        <v>2020</v>
      </c>
      <c r="C926" t="s">
        <v>56</v>
      </c>
      <c r="D926" t="s">
        <v>32</v>
      </c>
      <c r="E926">
        <v>12078</v>
      </c>
      <c r="F926" t="s">
        <v>65</v>
      </c>
      <c r="G926">
        <v>51900</v>
      </c>
      <c r="H926" t="s">
        <v>20</v>
      </c>
      <c r="I926" t="s">
        <v>78</v>
      </c>
      <c r="J926" t="s">
        <v>317</v>
      </c>
      <c r="K926" t="s">
        <v>23</v>
      </c>
      <c r="L926" t="s">
        <v>95</v>
      </c>
      <c r="M926" t="s">
        <v>96</v>
      </c>
      <c r="N926" t="s">
        <v>89</v>
      </c>
      <c r="O926" t="s">
        <v>27</v>
      </c>
      <c r="P926" s="1">
        <v>44786</v>
      </c>
      <c r="Q926">
        <f t="shared" si="70"/>
        <v>0</v>
      </c>
      <c r="R926">
        <f t="shared" si="71"/>
        <v>0</v>
      </c>
      <c r="S926">
        <f t="shared" si="72"/>
        <v>0</v>
      </c>
      <c r="T926" s="11">
        <f t="shared" si="73"/>
        <v>2020</v>
      </c>
      <c r="U926" s="11">
        <f t="shared" si="74"/>
        <v>12078</v>
      </c>
    </row>
    <row r="927" spans="1:21" x14ac:dyDescent="0.3">
      <c r="A927" t="s">
        <v>1523</v>
      </c>
      <c r="B927">
        <v>2021</v>
      </c>
      <c r="C927" t="s">
        <v>37</v>
      </c>
      <c r="D927" t="s">
        <v>30</v>
      </c>
      <c r="E927">
        <v>10431</v>
      </c>
      <c r="F927" t="s">
        <v>131</v>
      </c>
      <c r="G927">
        <v>126300</v>
      </c>
      <c r="H927" t="s">
        <v>45</v>
      </c>
      <c r="I927" t="s">
        <v>39</v>
      </c>
      <c r="J927" t="s">
        <v>420</v>
      </c>
      <c r="K927" t="s">
        <v>23</v>
      </c>
      <c r="L927" t="s">
        <v>129</v>
      </c>
      <c r="M927" t="s">
        <v>113</v>
      </c>
      <c r="N927" t="s">
        <v>114</v>
      </c>
      <c r="O927" t="s">
        <v>27</v>
      </c>
      <c r="P927" s="1">
        <v>44786</v>
      </c>
      <c r="Q927">
        <f t="shared" si="70"/>
        <v>1</v>
      </c>
      <c r="R927">
        <f t="shared" si="71"/>
        <v>0</v>
      </c>
      <c r="S927">
        <f t="shared" si="72"/>
        <v>0</v>
      </c>
      <c r="T927" s="11">
        <f t="shared" si="73"/>
        <v>2021</v>
      </c>
      <c r="U927" s="11">
        <f t="shared" si="74"/>
        <v>10431</v>
      </c>
    </row>
    <row r="928" spans="1:21" x14ac:dyDescent="0.3">
      <c r="A928" t="s">
        <v>1524</v>
      </c>
      <c r="B928">
        <v>2018</v>
      </c>
      <c r="C928" t="s">
        <v>37</v>
      </c>
      <c r="D928" t="s">
        <v>76</v>
      </c>
      <c r="E928">
        <v>18730</v>
      </c>
      <c r="F928" t="s">
        <v>104</v>
      </c>
      <c r="G928">
        <v>74200</v>
      </c>
      <c r="H928" t="s">
        <v>32</v>
      </c>
      <c r="I928" t="s">
        <v>78</v>
      </c>
      <c r="J928" t="s">
        <v>1525</v>
      </c>
      <c r="K928" t="s">
        <v>23</v>
      </c>
      <c r="L928" t="s">
        <v>47</v>
      </c>
      <c r="M928" t="s">
        <v>48</v>
      </c>
      <c r="N928" t="s">
        <v>49</v>
      </c>
      <c r="O928" t="s">
        <v>27</v>
      </c>
      <c r="P928" s="1">
        <v>44786</v>
      </c>
      <c r="Q928">
        <f t="shared" si="70"/>
        <v>1</v>
      </c>
      <c r="R928">
        <f t="shared" si="71"/>
        <v>0</v>
      </c>
      <c r="S928">
        <f t="shared" si="72"/>
        <v>0</v>
      </c>
      <c r="T928" s="11">
        <f t="shared" si="73"/>
        <v>2018</v>
      </c>
      <c r="U928" s="11">
        <f t="shared" si="74"/>
        <v>18730</v>
      </c>
    </row>
    <row r="929" spans="1:21" x14ac:dyDescent="0.3">
      <c r="A929" t="s">
        <v>1526</v>
      </c>
      <c r="B929">
        <v>2019</v>
      </c>
      <c r="C929" t="s">
        <v>56</v>
      </c>
      <c r="D929" t="s">
        <v>76</v>
      </c>
      <c r="E929">
        <v>27617</v>
      </c>
      <c r="F929" t="s">
        <v>57</v>
      </c>
      <c r="G929">
        <v>50200</v>
      </c>
      <c r="H929" t="s">
        <v>20</v>
      </c>
      <c r="I929" t="s">
        <v>78</v>
      </c>
      <c r="J929" t="s">
        <v>347</v>
      </c>
      <c r="K929" t="s">
        <v>23</v>
      </c>
      <c r="L929" t="s">
        <v>122</v>
      </c>
      <c r="M929" t="s">
        <v>113</v>
      </c>
      <c r="N929" t="s">
        <v>114</v>
      </c>
      <c r="O929" t="s">
        <v>27</v>
      </c>
      <c r="P929" s="1">
        <v>44786</v>
      </c>
      <c r="Q929">
        <f t="shared" si="70"/>
        <v>0</v>
      </c>
      <c r="R929">
        <f t="shared" si="71"/>
        <v>0</v>
      </c>
      <c r="S929">
        <f t="shared" si="72"/>
        <v>0</v>
      </c>
      <c r="T929" s="11">
        <f t="shared" si="73"/>
        <v>2019</v>
      </c>
      <c r="U929" s="11">
        <f t="shared" si="74"/>
        <v>27617</v>
      </c>
    </row>
    <row r="930" spans="1:21" x14ac:dyDescent="0.3">
      <c r="A930" t="s">
        <v>1527</v>
      </c>
      <c r="B930">
        <v>2019</v>
      </c>
      <c r="C930" t="s">
        <v>37</v>
      </c>
      <c r="D930" t="s">
        <v>51</v>
      </c>
      <c r="E930">
        <v>30745</v>
      </c>
      <c r="F930" t="s">
        <v>52</v>
      </c>
      <c r="G930">
        <v>83400</v>
      </c>
      <c r="H930" t="s">
        <v>53</v>
      </c>
      <c r="I930" t="s">
        <v>39</v>
      </c>
      <c r="J930" t="s">
        <v>74</v>
      </c>
      <c r="K930" t="s">
        <v>23</v>
      </c>
      <c r="L930" t="s">
        <v>474</v>
      </c>
      <c r="M930" t="s">
        <v>255</v>
      </c>
      <c r="N930" t="s">
        <v>256</v>
      </c>
      <c r="O930" t="s">
        <v>27</v>
      </c>
      <c r="P930" s="1">
        <v>44786</v>
      </c>
      <c r="Q930">
        <f t="shared" si="70"/>
        <v>1</v>
      </c>
      <c r="R930">
        <f t="shared" si="71"/>
        <v>0</v>
      </c>
      <c r="S930">
        <f t="shared" si="72"/>
        <v>0</v>
      </c>
      <c r="T930" s="11">
        <f t="shared" si="73"/>
        <v>2019</v>
      </c>
      <c r="U930" s="11">
        <f t="shared" si="74"/>
        <v>30745</v>
      </c>
    </row>
    <row r="931" spans="1:21" x14ac:dyDescent="0.3">
      <c r="A931" t="s">
        <v>1528</v>
      </c>
      <c r="B931">
        <v>2020</v>
      </c>
      <c r="C931" t="s">
        <v>56</v>
      </c>
      <c r="D931" t="s">
        <v>30</v>
      </c>
      <c r="E931">
        <v>31942</v>
      </c>
      <c r="F931" t="s">
        <v>57</v>
      </c>
      <c r="G931">
        <v>51900</v>
      </c>
      <c r="H931" t="s">
        <v>20</v>
      </c>
      <c r="I931" t="s">
        <v>58</v>
      </c>
      <c r="J931" t="s">
        <v>413</v>
      </c>
      <c r="K931" t="s">
        <v>23</v>
      </c>
      <c r="L931" t="s">
        <v>122</v>
      </c>
      <c r="M931" t="s">
        <v>113</v>
      </c>
      <c r="N931" t="s">
        <v>114</v>
      </c>
      <c r="O931" t="s">
        <v>27</v>
      </c>
      <c r="P931" s="1">
        <v>44786</v>
      </c>
      <c r="Q931">
        <f t="shared" si="70"/>
        <v>0</v>
      </c>
      <c r="R931">
        <f t="shared" si="71"/>
        <v>0</v>
      </c>
      <c r="S931">
        <f t="shared" si="72"/>
        <v>0</v>
      </c>
      <c r="T931" s="11">
        <f t="shared" si="73"/>
        <v>2020</v>
      </c>
      <c r="U931" s="11">
        <f t="shared" si="74"/>
        <v>31942</v>
      </c>
    </row>
    <row r="932" spans="1:21" x14ac:dyDescent="0.3">
      <c r="A932" t="s">
        <v>1529</v>
      </c>
      <c r="B932">
        <v>2020</v>
      </c>
      <c r="C932" t="s">
        <v>37</v>
      </c>
      <c r="D932" t="s">
        <v>51</v>
      </c>
      <c r="E932">
        <v>7220</v>
      </c>
      <c r="F932" t="s">
        <v>98</v>
      </c>
      <c r="G932">
        <v>117900</v>
      </c>
      <c r="H932" t="s">
        <v>53</v>
      </c>
      <c r="I932" t="s">
        <v>78</v>
      </c>
      <c r="J932" t="s">
        <v>1530</v>
      </c>
      <c r="K932" t="s">
        <v>23</v>
      </c>
      <c r="L932" t="s">
        <v>474</v>
      </c>
      <c r="M932" t="s">
        <v>255</v>
      </c>
      <c r="N932" t="s">
        <v>256</v>
      </c>
      <c r="O932" t="s">
        <v>27</v>
      </c>
      <c r="P932" s="1">
        <v>44786</v>
      </c>
      <c r="Q932">
        <f t="shared" si="70"/>
        <v>1</v>
      </c>
      <c r="R932">
        <f t="shared" si="71"/>
        <v>0</v>
      </c>
      <c r="S932">
        <f t="shared" si="72"/>
        <v>0</v>
      </c>
      <c r="T932" s="11">
        <f t="shared" si="73"/>
        <v>2020</v>
      </c>
      <c r="U932" s="11">
        <f t="shared" si="74"/>
        <v>7220</v>
      </c>
    </row>
    <row r="933" spans="1:21" x14ac:dyDescent="0.3">
      <c r="A933" t="s">
        <v>1531</v>
      </c>
      <c r="B933">
        <v>2020</v>
      </c>
      <c r="C933" t="s">
        <v>56</v>
      </c>
      <c r="D933" t="s">
        <v>53</v>
      </c>
      <c r="E933">
        <v>37108</v>
      </c>
      <c r="F933" t="s">
        <v>65</v>
      </c>
      <c r="G933">
        <v>49000</v>
      </c>
      <c r="H933" t="s">
        <v>20</v>
      </c>
      <c r="I933" t="s">
        <v>58</v>
      </c>
      <c r="J933" t="s">
        <v>66</v>
      </c>
      <c r="K933" t="s">
        <v>23</v>
      </c>
      <c r="L933" t="s">
        <v>87</v>
      </c>
      <c r="M933" t="s">
        <v>88</v>
      </c>
      <c r="N933" t="s">
        <v>89</v>
      </c>
      <c r="O933" t="s">
        <v>27</v>
      </c>
      <c r="P933" s="1">
        <v>44786</v>
      </c>
      <c r="Q933">
        <f t="shared" si="70"/>
        <v>0</v>
      </c>
      <c r="R933">
        <f t="shared" si="71"/>
        <v>0</v>
      </c>
      <c r="S933">
        <f t="shared" si="72"/>
        <v>0</v>
      </c>
      <c r="T933" s="11">
        <f t="shared" si="73"/>
        <v>2020</v>
      </c>
      <c r="U933" s="11">
        <f t="shared" si="74"/>
        <v>37108</v>
      </c>
    </row>
    <row r="934" spans="1:21" x14ac:dyDescent="0.3">
      <c r="A934" t="s">
        <v>1532</v>
      </c>
      <c r="B934">
        <v>2022</v>
      </c>
      <c r="C934" t="s">
        <v>37</v>
      </c>
      <c r="D934" t="s">
        <v>53</v>
      </c>
      <c r="E934">
        <v>625</v>
      </c>
      <c r="F934" t="s">
        <v>131</v>
      </c>
      <c r="G934">
        <v>131800</v>
      </c>
      <c r="H934" t="s">
        <v>32</v>
      </c>
      <c r="I934" t="s">
        <v>78</v>
      </c>
      <c r="J934" t="s">
        <v>1152</v>
      </c>
      <c r="K934" t="s">
        <v>23</v>
      </c>
      <c r="L934" t="s">
        <v>84</v>
      </c>
      <c r="M934" t="s">
        <v>48</v>
      </c>
      <c r="N934" t="s">
        <v>69</v>
      </c>
      <c r="O934" t="s">
        <v>27</v>
      </c>
      <c r="P934" s="1">
        <v>44786</v>
      </c>
      <c r="Q934">
        <f t="shared" si="70"/>
        <v>1</v>
      </c>
      <c r="R934">
        <f t="shared" si="71"/>
        <v>0</v>
      </c>
      <c r="S934">
        <f t="shared" si="72"/>
        <v>0</v>
      </c>
      <c r="T934" s="11">
        <f t="shared" si="73"/>
        <v>2022</v>
      </c>
      <c r="U934" s="11">
        <f t="shared" si="74"/>
        <v>625</v>
      </c>
    </row>
    <row r="935" spans="1:21" x14ac:dyDescent="0.3">
      <c r="A935" t="s">
        <v>1533</v>
      </c>
      <c r="B935">
        <v>2020</v>
      </c>
      <c r="C935" t="s">
        <v>56</v>
      </c>
      <c r="D935" t="s">
        <v>53</v>
      </c>
      <c r="E935">
        <v>23252</v>
      </c>
      <c r="F935" t="s">
        <v>65</v>
      </c>
      <c r="G935">
        <v>50800</v>
      </c>
      <c r="H935" t="s">
        <v>20</v>
      </c>
      <c r="I935" t="s">
        <v>58</v>
      </c>
      <c r="J935" t="s">
        <v>66</v>
      </c>
      <c r="K935" t="s">
        <v>23</v>
      </c>
      <c r="L935" t="s">
        <v>95</v>
      </c>
      <c r="M935" t="s">
        <v>96</v>
      </c>
      <c r="N935" t="s">
        <v>89</v>
      </c>
      <c r="O935" t="s">
        <v>27</v>
      </c>
      <c r="P935" s="1">
        <v>44786</v>
      </c>
      <c r="Q935">
        <f t="shared" si="70"/>
        <v>0</v>
      </c>
      <c r="R935">
        <f t="shared" si="71"/>
        <v>0</v>
      </c>
      <c r="S935">
        <f t="shared" si="72"/>
        <v>0</v>
      </c>
      <c r="T935" s="11">
        <f t="shared" si="73"/>
        <v>2020</v>
      </c>
      <c r="U935" s="11">
        <f t="shared" si="74"/>
        <v>23252</v>
      </c>
    </row>
    <row r="936" spans="1:21" x14ac:dyDescent="0.3">
      <c r="A936" t="s">
        <v>1534</v>
      </c>
      <c r="B936">
        <v>2019</v>
      </c>
      <c r="C936" t="s">
        <v>56</v>
      </c>
      <c r="D936" t="s">
        <v>53</v>
      </c>
      <c r="E936">
        <v>57852</v>
      </c>
      <c r="F936" t="s">
        <v>57</v>
      </c>
      <c r="G936">
        <v>45400</v>
      </c>
      <c r="H936" t="s">
        <v>20</v>
      </c>
      <c r="I936" t="s">
        <v>58</v>
      </c>
      <c r="J936" t="s">
        <v>59</v>
      </c>
      <c r="K936" t="s">
        <v>23</v>
      </c>
      <c r="L936" t="s">
        <v>47</v>
      </c>
      <c r="M936" t="s">
        <v>48</v>
      </c>
      <c r="N936" t="s">
        <v>49</v>
      </c>
      <c r="O936" t="s">
        <v>27</v>
      </c>
      <c r="P936" s="1">
        <v>44786</v>
      </c>
      <c r="Q936">
        <f t="shared" si="70"/>
        <v>0</v>
      </c>
      <c r="R936">
        <f t="shared" si="71"/>
        <v>0</v>
      </c>
      <c r="S936">
        <f t="shared" si="72"/>
        <v>0</v>
      </c>
      <c r="T936" s="11">
        <f t="shared" si="73"/>
        <v>2019</v>
      </c>
      <c r="U936" s="11">
        <f t="shared" si="74"/>
        <v>57852</v>
      </c>
    </row>
    <row r="937" spans="1:21" x14ac:dyDescent="0.3">
      <c r="A937" t="s">
        <v>1535</v>
      </c>
      <c r="B937">
        <v>2018</v>
      </c>
      <c r="C937" t="s">
        <v>37</v>
      </c>
      <c r="D937" t="s">
        <v>53</v>
      </c>
      <c r="E937">
        <v>41566</v>
      </c>
      <c r="F937" t="s">
        <v>104</v>
      </c>
      <c r="G937">
        <v>65800</v>
      </c>
      <c r="H937" t="s">
        <v>105</v>
      </c>
      <c r="I937" t="s">
        <v>78</v>
      </c>
      <c r="J937" t="s">
        <v>1536</v>
      </c>
      <c r="K937" t="s">
        <v>23</v>
      </c>
      <c r="L937" t="s">
        <v>768</v>
      </c>
      <c r="M937" t="s">
        <v>68</v>
      </c>
      <c r="N937" t="s">
        <v>69</v>
      </c>
      <c r="O937" t="s">
        <v>27</v>
      </c>
      <c r="P937" s="1">
        <v>44786</v>
      </c>
      <c r="Q937">
        <f t="shared" si="70"/>
        <v>1</v>
      </c>
      <c r="R937">
        <f t="shared" si="71"/>
        <v>0</v>
      </c>
      <c r="S937">
        <f t="shared" si="72"/>
        <v>0</v>
      </c>
      <c r="T937" s="11">
        <f t="shared" si="73"/>
        <v>2018</v>
      </c>
      <c r="U937" s="11">
        <f t="shared" si="74"/>
        <v>41566</v>
      </c>
    </row>
    <row r="938" spans="1:21" x14ac:dyDescent="0.3">
      <c r="A938" t="s">
        <v>1537</v>
      </c>
      <c r="B938">
        <v>2019</v>
      </c>
      <c r="C938" t="s">
        <v>56</v>
      </c>
      <c r="D938" t="s">
        <v>53</v>
      </c>
      <c r="E938">
        <v>41311</v>
      </c>
      <c r="F938" t="s">
        <v>57</v>
      </c>
      <c r="G938">
        <v>47800</v>
      </c>
      <c r="H938" t="s">
        <v>20</v>
      </c>
      <c r="I938" t="s">
        <v>58</v>
      </c>
      <c r="J938" t="s">
        <v>59</v>
      </c>
      <c r="K938" t="s">
        <v>23</v>
      </c>
      <c r="L938" t="s">
        <v>47</v>
      </c>
      <c r="M938" t="s">
        <v>48</v>
      </c>
      <c r="N938" t="s">
        <v>49</v>
      </c>
      <c r="O938" t="s">
        <v>27</v>
      </c>
      <c r="P938" s="1">
        <v>44786</v>
      </c>
      <c r="Q938">
        <f t="shared" si="70"/>
        <v>0</v>
      </c>
      <c r="R938">
        <f t="shared" si="71"/>
        <v>0</v>
      </c>
      <c r="S938">
        <f t="shared" si="72"/>
        <v>0</v>
      </c>
      <c r="T938" s="11">
        <f t="shared" si="73"/>
        <v>2019</v>
      </c>
      <c r="U938" s="11">
        <f t="shared" si="74"/>
        <v>41311</v>
      </c>
    </row>
    <row r="939" spans="1:21" x14ac:dyDescent="0.3">
      <c r="A939" t="s">
        <v>1538</v>
      </c>
      <c r="B939">
        <v>2018</v>
      </c>
      <c r="C939" t="s">
        <v>56</v>
      </c>
      <c r="D939" t="s">
        <v>93</v>
      </c>
      <c r="E939">
        <v>72163</v>
      </c>
      <c r="F939" t="s">
        <v>234</v>
      </c>
      <c r="G939">
        <v>46100</v>
      </c>
      <c r="H939" t="s">
        <v>20</v>
      </c>
      <c r="I939" t="s">
        <v>78</v>
      </c>
      <c r="J939" t="s">
        <v>290</v>
      </c>
      <c r="K939" t="s">
        <v>23</v>
      </c>
      <c r="L939" t="s">
        <v>84</v>
      </c>
      <c r="M939" t="s">
        <v>48</v>
      </c>
      <c r="N939" t="s">
        <v>69</v>
      </c>
      <c r="O939" t="s">
        <v>27</v>
      </c>
      <c r="P939" s="1">
        <v>44786</v>
      </c>
      <c r="Q939">
        <f t="shared" si="70"/>
        <v>0</v>
      </c>
      <c r="R939">
        <f t="shared" si="71"/>
        <v>0</v>
      </c>
      <c r="S939">
        <f t="shared" si="72"/>
        <v>0</v>
      </c>
      <c r="T939" s="11">
        <f t="shared" si="73"/>
        <v>2018</v>
      </c>
      <c r="U939" s="11">
        <f t="shared" si="74"/>
        <v>72163</v>
      </c>
    </row>
    <row r="940" spans="1:21" x14ac:dyDescent="0.3">
      <c r="A940" t="s">
        <v>1539</v>
      </c>
      <c r="B940">
        <v>2018</v>
      </c>
      <c r="C940" t="s">
        <v>56</v>
      </c>
      <c r="D940" t="s">
        <v>53</v>
      </c>
      <c r="E940">
        <v>45225</v>
      </c>
      <c r="F940" t="s">
        <v>57</v>
      </c>
      <c r="G940">
        <v>49400</v>
      </c>
      <c r="H940" t="s">
        <v>20</v>
      </c>
      <c r="I940" t="s">
        <v>78</v>
      </c>
      <c r="J940" t="s">
        <v>564</v>
      </c>
      <c r="K940" t="s">
        <v>23</v>
      </c>
      <c r="L940" t="s">
        <v>345</v>
      </c>
      <c r="M940" t="s">
        <v>48</v>
      </c>
      <c r="N940" t="s">
        <v>69</v>
      </c>
      <c r="O940" t="s">
        <v>27</v>
      </c>
      <c r="P940" s="1">
        <v>44786</v>
      </c>
      <c r="Q940">
        <f t="shared" si="70"/>
        <v>0</v>
      </c>
      <c r="R940">
        <f t="shared" si="71"/>
        <v>0</v>
      </c>
      <c r="S940">
        <f t="shared" si="72"/>
        <v>0</v>
      </c>
      <c r="T940" s="11">
        <f t="shared" si="73"/>
        <v>2018</v>
      </c>
      <c r="U940" s="11">
        <f t="shared" si="74"/>
        <v>45225</v>
      </c>
    </row>
    <row r="941" spans="1:21" x14ac:dyDescent="0.3">
      <c r="A941" t="s">
        <v>1540</v>
      </c>
      <c r="B941">
        <v>2018</v>
      </c>
      <c r="C941" t="s">
        <v>56</v>
      </c>
      <c r="D941" t="s">
        <v>53</v>
      </c>
      <c r="E941">
        <v>48440</v>
      </c>
      <c r="F941" t="s">
        <v>234</v>
      </c>
      <c r="G941">
        <v>49400</v>
      </c>
      <c r="H941" t="s">
        <v>20</v>
      </c>
      <c r="I941" t="s">
        <v>58</v>
      </c>
      <c r="J941" t="s">
        <v>579</v>
      </c>
      <c r="K941" t="s">
        <v>23</v>
      </c>
      <c r="L941" t="s">
        <v>84</v>
      </c>
      <c r="M941" t="s">
        <v>48</v>
      </c>
      <c r="N941" t="s">
        <v>69</v>
      </c>
      <c r="O941" t="s">
        <v>27</v>
      </c>
      <c r="P941" s="1">
        <v>44786</v>
      </c>
      <c r="Q941">
        <f t="shared" si="70"/>
        <v>0</v>
      </c>
      <c r="R941">
        <f t="shared" si="71"/>
        <v>0</v>
      </c>
      <c r="S941">
        <f t="shared" si="72"/>
        <v>0</v>
      </c>
      <c r="T941" s="11">
        <f t="shared" si="73"/>
        <v>2018</v>
      </c>
      <c r="U941" s="11">
        <f t="shared" si="74"/>
        <v>48440</v>
      </c>
    </row>
    <row r="942" spans="1:21" x14ac:dyDescent="0.3">
      <c r="A942" t="s">
        <v>1541</v>
      </c>
      <c r="B942">
        <v>2020</v>
      </c>
      <c r="C942" t="s">
        <v>56</v>
      </c>
      <c r="D942" t="s">
        <v>93</v>
      </c>
      <c r="E942">
        <v>27106</v>
      </c>
      <c r="F942" t="s">
        <v>57</v>
      </c>
      <c r="G942">
        <v>52200</v>
      </c>
      <c r="H942" t="s">
        <v>20</v>
      </c>
      <c r="I942" t="s">
        <v>78</v>
      </c>
      <c r="J942" t="s">
        <v>218</v>
      </c>
      <c r="K942" t="s">
        <v>23</v>
      </c>
      <c r="L942" t="s">
        <v>84</v>
      </c>
      <c r="M942" t="s">
        <v>48</v>
      </c>
      <c r="N942" t="s">
        <v>69</v>
      </c>
      <c r="O942" t="s">
        <v>27</v>
      </c>
      <c r="P942" s="1">
        <v>44786</v>
      </c>
      <c r="Q942">
        <f t="shared" si="70"/>
        <v>0</v>
      </c>
      <c r="R942">
        <f t="shared" si="71"/>
        <v>0</v>
      </c>
      <c r="S942">
        <f t="shared" si="72"/>
        <v>0</v>
      </c>
      <c r="T942" s="11">
        <f t="shared" si="73"/>
        <v>2020</v>
      </c>
      <c r="U942" s="11">
        <f t="shared" si="74"/>
        <v>27106</v>
      </c>
    </row>
    <row r="943" spans="1:21" x14ac:dyDescent="0.3">
      <c r="A943" t="s">
        <v>1542</v>
      </c>
      <c r="B943">
        <v>2020</v>
      </c>
      <c r="C943" t="s">
        <v>56</v>
      </c>
      <c r="D943" t="s">
        <v>93</v>
      </c>
      <c r="E943">
        <v>22107</v>
      </c>
      <c r="F943" t="s">
        <v>57</v>
      </c>
      <c r="G943">
        <v>50500</v>
      </c>
      <c r="H943" t="s">
        <v>77</v>
      </c>
      <c r="I943" t="s">
        <v>78</v>
      </c>
      <c r="J943" t="s">
        <v>280</v>
      </c>
      <c r="K943" t="s">
        <v>23</v>
      </c>
      <c r="L943" t="s">
        <v>247</v>
      </c>
      <c r="M943" t="s">
        <v>248</v>
      </c>
      <c r="N943" t="s">
        <v>249</v>
      </c>
      <c r="O943" t="s">
        <v>27</v>
      </c>
      <c r="P943" s="1">
        <v>44786</v>
      </c>
      <c r="Q943">
        <f t="shared" si="70"/>
        <v>0</v>
      </c>
      <c r="R943">
        <f t="shared" si="71"/>
        <v>0</v>
      </c>
      <c r="S943">
        <f t="shared" si="72"/>
        <v>0</v>
      </c>
      <c r="T943" s="11">
        <f t="shared" si="73"/>
        <v>2020</v>
      </c>
      <c r="U943" s="11">
        <f t="shared" si="74"/>
        <v>22107</v>
      </c>
    </row>
    <row r="944" spans="1:21" x14ac:dyDescent="0.3">
      <c r="A944" t="s">
        <v>1543</v>
      </c>
      <c r="B944">
        <v>2020</v>
      </c>
      <c r="C944" t="s">
        <v>56</v>
      </c>
      <c r="D944" t="s">
        <v>32</v>
      </c>
      <c r="E944">
        <v>29923</v>
      </c>
      <c r="F944" t="s">
        <v>57</v>
      </c>
      <c r="G944">
        <v>54500</v>
      </c>
      <c r="H944" t="s">
        <v>20</v>
      </c>
      <c r="I944" t="s">
        <v>58</v>
      </c>
      <c r="J944" t="s">
        <v>168</v>
      </c>
      <c r="K944" t="s">
        <v>23</v>
      </c>
      <c r="L944" t="s">
        <v>371</v>
      </c>
      <c r="M944" t="s">
        <v>48</v>
      </c>
      <c r="N944" t="s">
        <v>49</v>
      </c>
      <c r="O944" t="s">
        <v>27</v>
      </c>
      <c r="P944" s="1">
        <v>44786</v>
      </c>
      <c r="Q944">
        <f t="shared" si="70"/>
        <v>0</v>
      </c>
      <c r="R944">
        <f t="shared" si="71"/>
        <v>0</v>
      </c>
      <c r="S944">
        <f t="shared" si="72"/>
        <v>0</v>
      </c>
      <c r="T944" s="11">
        <f t="shared" si="73"/>
        <v>2020</v>
      </c>
      <c r="U944" s="11">
        <f t="shared" si="74"/>
        <v>29923</v>
      </c>
    </row>
    <row r="945" spans="1:21" x14ac:dyDescent="0.3">
      <c r="A945" t="s">
        <v>1544</v>
      </c>
      <c r="B945">
        <v>2021</v>
      </c>
      <c r="C945" t="s">
        <v>37</v>
      </c>
      <c r="D945" t="s">
        <v>32</v>
      </c>
      <c r="E945">
        <v>4992</v>
      </c>
      <c r="F945" t="s">
        <v>131</v>
      </c>
      <c r="G945">
        <v>120900</v>
      </c>
      <c r="H945" t="s">
        <v>32</v>
      </c>
      <c r="I945" t="s">
        <v>39</v>
      </c>
      <c r="J945" t="s">
        <v>679</v>
      </c>
      <c r="K945" t="s">
        <v>23</v>
      </c>
      <c r="L945" t="s">
        <v>342</v>
      </c>
      <c r="M945" t="s">
        <v>244</v>
      </c>
      <c r="N945" t="s">
        <v>245</v>
      </c>
      <c r="O945" t="s">
        <v>27</v>
      </c>
      <c r="P945" s="1">
        <v>44786</v>
      </c>
      <c r="Q945">
        <f t="shared" si="70"/>
        <v>1</v>
      </c>
      <c r="R945">
        <f t="shared" si="71"/>
        <v>0</v>
      </c>
      <c r="S945">
        <f t="shared" si="72"/>
        <v>0</v>
      </c>
      <c r="T945" s="11">
        <f t="shared" si="73"/>
        <v>2021</v>
      </c>
      <c r="U945" s="11">
        <f t="shared" si="74"/>
        <v>4992</v>
      </c>
    </row>
    <row r="946" spans="1:21" x14ac:dyDescent="0.3">
      <c r="A946" t="s">
        <v>1545</v>
      </c>
      <c r="B946">
        <v>2019</v>
      </c>
      <c r="C946" t="s">
        <v>56</v>
      </c>
      <c r="D946" t="s">
        <v>53</v>
      </c>
      <c r="E946">
        <v>19277</v>
      </c>
      <c r="F946" t="s">
        <v>57</v>
      </c>
      <c r="G946">
        <v>54800</v>
      </c>
      <c r="H946" t="s">
        <v>20</v>
      </c>
      <c r="I946" t="s">
        <v>78</v>
      </c>
      <c r="J946" t="s">
        <v>564</v>
      </c>
      <c r="K946" t="s">
        <v>23</v>
      </c>
      <c r="L946" t="s">
        <v>345</v>
      </c>
      <c r="M946" t="s">
        <v>48</v>
      </c>
      <c r="N946" t="s">
        <v>69</v>
      </c>
      <c r="O946" t="s">
        <v>27</v>
      </c>
      <c r="P946" s="1">
        <v>44786</v>
      </c>
      <c r="Q946">
        <f t="shared" si="70"/>
        <v>0</v>
      </c>
      <c r="R946">
        <f t="shared" si="71"/>
        <v>0</v>
      </c>
      <c r="S946">
        <f t="shared" si="72"/>
        <v>0</v>
      </c>
      <c r="T946" s="11">
        <f t="shared" si="73"/>
        <v>2019</v>
      </c>
      <c r="U946" s="11">
        <f t="shared" si="74"/>
        <v>19277</v>
      </c>
    </row>
    <row r="947" spans="1:21" x14ac:dyDescent="0.3">
      <c r="A947" t="s">
        <v>1546</v>
      </c>
      <c r="B947">
        <v>2022</v>
      </c>
      <c r="C947" t="s">
        <v>37</v>
      </c>
      <c r="D947" t="s">
        <v>32</v>
      </c>
      <c r="E947">
        <v>5782</v>
      </c>
      <c r="F947" t="s">
        <v>131</v>
      </c>
      <c r="G947">
        <v>129600</v>
      </c>
      <c r="H947" t="s">
        <v>32</v>
      </c>
      <c r="I947" t="s">
        <v>78</v>
      </c>
      <c r="J947" t="s">
        <v>1547</v>
      </c>
      <c r="K947" t="s">
        <v>23</v>
      </c>
      <c r="L947" t="s">
        <v>342</v>
      </c>
      <c r="M947" t="s">
        <v>244</v>
      </c>
      <c r="N947" t="s">
        <v>245</v>
      </c>
      <c r="O947" t="s">
        <v>27</v>
      </c>
      <c r="P947" s="1">
        <v>44786</v>
      </c>
      <c r="Q947">
        <f t="shared" si="70"/>
        <v>1</v>
      </c>
      <c r="R947">
        <f t="shared" si="71"/>
        <v>0</v>
      </c>
      <c r="S947">
        <f t="shared" si="72"/>
        <v>0</v>
      </c>
      <c r="T947" s="11">
        <f t="shared" si="73"/>
        <v>2022</v>
      </c>
      <c r="U947" s="11">
        <f t="shared" si="74"/>
        <v>5782</v>
      </c>
    </row>
    <row r="948" spans="1:21" x14ac:dyDescent="0.3">
      <c r="A948" t="s">
        <v>1548</v>
      </c>
      <c r="B948">
        <v>2021</v>
      </c>
      <c r="C948" t="s">
        <v>56</v>
      </c>
      <c r="D948" t="s">
        <v>30</v>
      </c>
      <c r="E948">
        <v>15870</v>
      </c>
      <c r="F948" t="s">
        <v>57</v>
      </c>
      <c r="G948">
        <v>60700</v>
      </c>
      <c r="H948" t="s">
        <v>20</v>
      </c>
      <c r="I948" t="s">
        <v>58</v>
      </c>
      <c r="J948" t="s">
        <v>413</v>
      </c>
      <c r="K948" t="s">
        <v>23</v>
      </c>
      <c r="L948" t="s">
        <v>34</v>
      </c>
      <c r="N948" t="s">
        <v>35</v>
      </c>
      <c r="O948" t="s">
        <v>27</v>
      </c>
      <c r="P948" s="1">
        <v>44786</v>
      </c>
      <c r="Q948">
        <f t="shared" si="70"/>
        <v>0</v>
      </c>
      <c r="R948">
        <f t="shared" si="71"/>
        <v>0</v>
      </c>
      <c r="S948">
        <f t="shared" si="72"/>
        <v>0</v>
      </c>
      <c r="T948" s="11">
        <f t="shared" si="73"/>
        <v>2021</v>
      </c>
      <c r="U948" s="11">
        <f t="shared" si="74"/>
        <v>15870</v>
      </c>
    </row>
    <row r="949" spans="1:21" x14ac:dyDescent="0.3">
      <c r="A949" t="s">
        <v>1549</v>
      </c>
      <c r="B949">
        <v>2019</v>
      </c>
      <c r="C949" t="s">
        <v>56</v>
      </c>
      <c r="D949" t="s">
        <v>32</v>
      </c>
      <c r="E949">
        <v>24161</v>
      </c>
      <c r="F949" t="s">
        <v>57</v>
      </c>
      <c r="G949">
        <v>54900</v>
      </c>
      <c r="H949" t="s">
        <v>20</v>
      </c>
      <c r="I949" t="s">
        <v>58</v>
      </c>
      <c r="J949" t="s">
        <v>168</v>
      </c>
      <c r="K949" t="s">
        <v>23</v>
      </c>
      <c r="L949" t="s">
        <v>363</v>
      </c>
      <c r="M949" t="s">
        <v>364</v>
      </c>
      <c r="N949" t="s">
        <v>245</v>
      </c>
      <c r="O949" t="s">
        <v>27</v>
      </c>
      <c r="P949" s="1">
        <v>44786</v>
      </c>
      <c r="Q949">
        <f t="shared" si="70"/>
        <v>0</v>
      </c>
      <c r="R949">
        <f t="shared" si="71"/>
        <v>0</v>
      </c>
      <c r="S949">
        <f t="shared" si="72"/>
        <v>0</v>
      </c>
      <c r="T949" s="11">
        <f t="shared" si="73"/>
        <v>2019</v>
      </c>
      <c r="U949" s="11">
        <f t="shared" si="74"/>
        <v>24161</v>
      </c>
    </row>
    <row r="950" spans="1:21" x14ac:dyDescent="0.3">
      <c r="A950" t="s">
        <v>1550</v>
      </c>
      <c r="B950">
        <v>2020</v>
      </c>
      <c r="C950" t="s">
        <v>17</v>
      </c>
      <c r="D950" t="s">
        <v>18</v>
      </c>
      <c r="E950">
        <v>22728</v>
      </c>
      <c r="F950" t="s">
        <v>156</v>
      </c>
      <c r="G950">
        <v>69900</v>
      </c>
      <c r="H950" t="s">
        <v>20</v>
      </c>
      <c r="I950" t="s">
        <v>39</v>
      </c>
      <c r="J950" t="s">
        <v>157</v>
      </c>
      <c r="K950" t="s">
        <v>23</v>
      </c>
      <c r="L950" t="s">
        <v>60</v>
      </c>
      <c r="M950" t="s">
        <v>48</v>
      </c>
      <c r="N950" t="s">
        <v>49</v>
      </c>
      <c r="O950" t="s">
        <v>27</v>
      </c>
      <c r="P950" s="1">
        <v>44786</v>
      </c>
      <c r="Q950">
        <f t="shared" si="70"/>
        <v>0</v>
      </c>
      <c r="R950">
        <f t="shared" si="71"/>
        <v>0</v>
      </c>
      <c r="S950">
        <f t="shared" si="72"/>
        <v>1</v>
      </c>
      <c r="T950" s="11">
        <f t="shared" si="73"/>
        <v>2020</v>
      </c>
      <c r="U950" s="11">
        <f t="shared" si="74"/>
        <v>22728</v>
      </c>
    </row>
    <row r="951" spans="1:21" x14ac:dyDescent="0.3">
      <c r="A951" t="s">
        <v>1551</v>
      </c>
      <c r="B951">
        <v>2021</v>
      </c>
      <c r="C951" t="s">
        <v>37</v>
      </c>
      <c r="D951" t="s">
        <v>76</v>
      </c>
      <c r="E951">
        <v>5592</v>
      </c>
      <c r="F951" t="s">
        <v>131</v>
      </c>
      <c r="G951">
        <v>124400</v>
      </c>
      <c r="H951" t="s">
        <v>32</v>
      </c>
      <c r="I951" t="s">
        <v>39</v>
      </c>
      <c r="J951" t="s">
        <v>1552</v>
      </c>
      <c r="K951" t="s">
        <v>23</v>
      </c>
      <c r="L951" t="s">
        <v>363</v>
      </c>
      <c r="M951" t="s">
        <v>364</v>
      </c>
      <c r="N951" t="s">
        <v>245</v>
      </c>
      <c r="O951" t="s">
        <v>27</v>
      </c>
      <c r="P951" s="1">
        <v>44786</v>
      </c>
      <c r="Q951">
        <f t="shared" si="70"/>
        <v>1</v>
      </c>
      <c r="R951">
        <f t="shared" si="71"/>
        <v>0</v>
      </c>
      <c r="S951">
        <f t="shared" si="72"/>
        <v>0</v>
      </c>
      <c r="T951" s="11">
        <f t="shared" si="73"/>
        <v>2021</v>
      </c>
      <c r="U951" s="11">
        <f t="shared" si="74"/>
        <v>5592</v>
      </c>
    </row>
    <row r="952" spans="1:21" x14ac:dyDescent="0.3">
      <c r="A952" t="s">
        <v>1553</v>
      </c>
      <c r="B952">
        <v>2022</v>
      </c>
      <c r="C952" t="s">
        <v>17</v>
      </c>
      <c r="D952" t="s">
        <v>18</v>
      </c>
      <c r="E952">
        <v>3257</v>
      </c>
      <c r="F952" t="s">
        <v>189</v>
      </c>
      <c r="G952">
        <v>80600</v>
      </c>
      <c r="H952" t="s">
        <v>20</v>
      </c>
      <c r="I952" t="s">
        <v>39</v>
      </c>
      <c r="J952" t="s">
        <v>315</v>
      </c>
      <c r="K952" t="s">
        <v>23</v>
      </c>
      <c r="L952" t="s">
        <v>363</v>
      </c>
      <c r="M952" t="s">
        <v>364</v>
      </c>
      <c r="N952" t="s">
        <v>245</v>
      </c>
      <c r="O952" t="s">
        <v>27</v>
      </c>
      <c r="P952" s="1">
        <v>44786</v>
      </c>
      <c r="Q952">
        <f t="shared" si="70"/>
        <v>0</v>
      </c>
      <c r="R952">
        <f t="shared" si="71"/>
        <v>0</v>
      </c>
      <c r="S952">
        <f t="shared" si="72"/>
        <v>1</v>
      </c>
      <c r="T952" s="11">
        <f t="shared" si="73"/>
        <v>2022</v>
      </c>
      <c r="U952" s="11">
        <f t="shared" si="74"/>
        <v>3257</v>
      </c>
    </row>
    <row r="953" spans="1:21" x14ac:dyDescent="0.3">
      <c r="A953" t="s">
        <v>1554</v>
      </c>
      <c r="B953">
        <v>2019</v>
      </c>
      <c r="C953" t="s">
        <v>56</v>
      </c>
      <c r="D953" t="s">
        <v>53</v>
      </c>
      <c r="E953">
        <v>21733</v>
      </c>
      <c r="F953" t="s">
        <v>65</v>
      </c>
      <c r="G953">
        <v>47400</v>
      </c>
      <c r="H953" t="s">
        <v>20</v>
      </c>
      <c r="I953" t="s">
        <v>78</v>
      </c>
      <c r="J953" t="s">
        <v>534</v>
      </c>
      <c r="K953" t="s">
        <v>23</v>
      </c>
      <c r="L953" t="s">
        <v>768</v>
      </c>
      <c r="M953" t="s">
        <v>68</v>
      </c>
      <c r="N953" t="s">
        <v>69</v>
      </c>
      <c r="O953" t="s">
        <v>27</v>
      </c>
      <c r="P953" s="1">
        <v>44785</v>
      </c>
      <c r="Q953">
        <f t="shared" si="70"/>
        <v>0</v>
      </c>
      <c r="R953">
        <f t="shared" si="71"/>
        <v>0</v>
      </c>
      <c r="S953">
        <f t="shared" si="72"/>
        <v>0</v>
      </c>
      <c r="T953" s="11">
        <f t="shared" si="73"/>
        <v>2019</v>
      </c>
      <c r="U953" s="11">
        <f t="shared" si="74"/>
        <v>21733</v>
      </c>
    </row>
    <row r="954" spans="1:21" x14ac:dyDescent="0.3">
      <c r="A954" t="s">
        <v>1555</v>
      </c>
      <c r="B954">
        <v>2020</v>
      </c>
      <c r="C954" t="s">
        <v>17</v>
      </c>
      <c r="D954" t="s">
        <v>32</v>
      </c>
      <c r="E954">
        <v>22774</v>
      </c>
      <c r="F954" t="s">
        <v>207</v>
      </c>
      <c r="G954">
        <v>67800</v>
      </c>
      <c r="H954" t="s">
        <v>20</v>
      </c>
      <c r="I954" t="s">
        <v>21</v>
      </c>
      <c r="J954" t="s">
        <v>429</v>
      </c>
      <c r="K954" t="s">
        <v>23</v>
      </c>
      <c r="L954" t="s">
        <v>84</v>
      </c>
      <c r="M954" t="s">
        <v>48</v>
      </c>
      <c r="N954" t="s">
        <v>69</v>
      </c>
      <c r="O954" t="s">
        <v>27</v>
      </c>
      <c r="P954" s="1">
        <v>44785</v>
      </c>
      <c r="Q954">
        <f t="shared" si="70"/>
        <v>0</v>
      </c>
      <c r="R954">
        <f t="shared" si="71"/>
        <v>0</v>
      </c>
      <c r="S954">
        <f t="shared" si="72"/>
        <v>1</v>
      </c>
      <c r="T954" s="11">
        <f t="shared" si="73"/>
        <v>2020</v>
      </c>
      <c r="U954" s="11">
        <f t="shared" si="74"/>
        <v>22774</v>
      </c>
    </row>
    <row r="955" spans="1:21" x14ac:dyDescent="0.3">
      <c r="A955" t="s">
        <v>1556</v>
      </c>
      <c r="B955">
        <v>2019</v>
      </c>
      <c r="C955" t="s">
        <v>56</v>
      </c>
      <c r="D955" t="s">
        <v>32</v>
      </c>
      <c r="E955">
        <v>20068</v>
      </c>
      <c r="F955" t="s">
        <v>65</v>
      </c>
      <c r="G955">
        <v>46300</v>
      </c>
      <c r="H955" t="s">
        <v>20</v>
      </c>
      <c r="I955" t="s">
        <v>58</v>
      </c>
      <c r="J955" t="s">
        <v>192</v>
      </c>
      <c r="K955" t="s">
        <v>23</v>
      </c>
      <c r="L955" t="s">
        <v>84</v>
      </c>
      <c r="M955" t="s">
        <v>48</v>
      </c>
      <c r="N955" t="s">
        <v>69</v>
      </c>
      <c r="O955" t="s">
        <v>27</v>
      </c>
      <c r="P955" s="1">
        <v>44785</v>
      </c>
      <c r="Q955">
        <f t="shared" si="70"/>
        <v>0</v>
      </c>
      <c r="R955">
        <f t="shared" si="71"/>
        <v>0</v>
      </c>
      <c r="S955">
        <f t="shared" si="72"/>
        <v>0</v>
      </c>
      <c r="T955" s="11">
        <f t="shared" si="73"/>
        <v>2019</v>
      </c>
      <c r="U955" s="11">
        <f t="shared" si="74"/>
        <v>20068</v>
      </c>
    </row>
    <row r="956" spans="1:21" x14ac:dyDescent="0.3">
      <c r="A956" t="s">
        <v>1557</v>
      </c>
      <c r="B956">
        <v>2020</v>
      </c>
      <c r="C956" t="s">
        <v>17</v>
      </c>
      <c r="D956" t="s">
        <v>32</v>
      </c>
      <c r="E956">
        <v>22947</v>
      </c>
      <c r="F956" t="s">
        <v>207</v>
      </c>
      <c r="G956">
        <v>66100</v>
      </c>
      <c r="H956" t="s">
        <v>20</v>
      </c>
      <c r="I956" t="s">
        <v>78</v>
      </c>
      <c r="J956" t="s">
        <v>200</v>
      </c>
      <c r="K956" t="s">
        <v>23</v>
      </c>
      <c r="L956" t="s">
        <v>60</v>
      </c>
      <c r="M956" t="s">
        <v>48</v>
      </c>
      <c r="N956" t="s">
        <v>49</v>
      </c>
      <c r="O956" t="s">
        <v>27</v>
      </c>
      <c r="P956" s="1">
        <v>44785</v>
      </c>
      <c r="Q956">
        <f t="shared" si="70"/>
        <v>0</v>
      </c>
      <c r="R956">
        <f t="shared" si="71"/>
        <v>0</v>
      </c>
      <c r="S956">
        <f t="shared" si="72"/>
        <v>1</v>
      </c>
      <c r="T956" s="11">
        <f t="shared" si="73"/>
        <v>2020</v>
      </c>
      <c r="U956" s="11">
        <f t="shared" si="74"/>
        <v>22947</v>
      </c>
    </row>
    <row r="957" spans="1:21" x14ac:dyDescent="0.3">
      <c r="A957" t="s">
        <v>1558</v>
      </c>
      <c r="B957">
        <v>2021</v>
      </c>
      <c r="C957" t="s">
        <v>56</v>
      </c>
      <c r="D957" t="s">
        <v>30</v>
      </c>
      <c r="E957">
        <v>4737</v>
      </c>
      <c r="F957" t="s">
        <v>143</v>
      </c>
      <c r="G957">
        <v>73500</v>
      </c>
      <c r="H957" t="s">
        <v>20</v>
      </c>
      <c r="J957" t="s">
        <v>144</v>
      </c>
      <c r="K957" t="s">
        <v>23</v>
      </c>
      <c r="L957" t="s">
        <v>680</v>
      </c>
      <c r="M957" t="s">
        <v>113</v>
      </c>
      <c r="N957" t="s">
        <v>114</v>
      </c>
      <c r="O957" t="s">
        <v>27</v>
      </c>
      <c r="P957" s="1">
        <v>44785</v>
      </c>
      <c r="Q957">
        <f t="shared" si="70"/>
        <v>0</v>
      </c>
      <c r="R957">
        <f t="shared" si="71"/>
        <v>0</v>
      </c>
      <c r="S957">
        <f t="shared" si="72"/>
        <v>0</v>
      </c>
      <c r="T957" s="11">
        <f t="shared" si="73"/>
        <v>2021</v>
      </c>
      <c r="U957" s="11">
        <f t="shared" si="74"/>
        <v>4737</v>
      </c>
    </row>
    <row r="958" spans="1:21" x14ac:dyDescent="0.3">
      <c r="A958" t="s">
        <v>1559</v>
      </c>
      <c r="B958">
        <v>2017</v>
      </c>
      <c r="C958" t="s">
        <v>29</v>
      </c>
      <c r="D958" t="s">
        <v>76</v>
      </c>
      <c r="E958">
        <v>25559</v>
      </c>
      <c r="F958" t="s">
        <v>104</v>
      </c>
      <c r="G958">
        <v>84600</v>
      </c>
      <c r="H958" t="s">
        <v>53</v>
      </c>
      <c r="I958" t="s">
        <v>21</v>
      </c>
      <c r="J958" t="s">
        <v>1560</v>
      </c>
      <c r="K958" t="s">
        <v>23</v>
      </c>
      <c r="L958" t="s">
        <v>34</v>
      </c>
      <c r="N958" t="s">
        <v>35</v>
      </c>
      <c r="O958" t="s">
        <v>27</v>
      </c>
      <c r="P958" s="1">
        <v>44785</v>
      </c>
      <c r="Q958">
        <f t="shared" si="70"/>
        <v>0</v>
      </c>
      <c r="R958">
        <f t="shared" si="71"/>
        <v>1</v>
      </c>
      <c r="S958">
        <f t="shared" si="72"/>
        <v>0</v>
      </c>
      <c r="T958" s="11">
        <f t="shared" si="73"/>
        <v>2017</v>
      </c>
      <c r="U958" s="11">
        <f t="shared" si="74"/>
        <v>25559</v>
      </c>
    </row>
    <row r="959" spans="1:21" x14ac:dyDescent="0.3">
      <c r="A959" t="s">
        <v>1561</v>
      </c>
      <c r="B959">
        <v>2020</v>
      </c>
      <c r="C959" t="s">
        <v>56</v>
      </c>
      <c r="D959" t="s">
        <v>53</v>
      </c>
      <c r="E959">
        <v>14348</v>
      </c>
      <c r="F959" t="s">
        <v>57</v>
      </c>
      <c r="G959">
        <v>57800</v>
      </c>
      <c r="H959" t="s">
        <v>20</v>
      </c>
      <c r="I959" t="s">
        <v>78</v>
      </c>
      <c r="J959" t="s">
        <v>564</v>
      </c>
      <c r="K959" t="s">
        <v>23</v>
      </c>
      <c r="L959" t="s">
        <v>122</v>
      </c>
      <c r="M959" t="s">
        <v>113</v>
      </c>
      <c r="N959" t="s">
        <v>114</v>
      </c>
      <c r="O959" t="s">
        <v>27</v>
      </c>
      <c r="P959" s="1">
        <v>44785</v>
      </c>
      <c r="Q959">
        <f t="shared" si="70"/>
        <v>0</v>
      </c>
      <c r="R959">
        <f t="shared" si="71"/>
        <v>0</v>
      </c>
      <c r="S959">
        <f t="shared" si="72"/>
        <v>0</v>
      </c>
      <c r="T959" s="11">
        <f t="shared" si="73"/>
        <v>2020</v>
      </c>
      <c r="U959" s="11">
        <f t="shared" si="74"/>
        <v>14348</v>
      </c>
    </row>
    <row r="960" spans="1:21" x14ac:dyDescent="0.3">
      <c r="A960" t="s">
        <v>1562</v>
      </c>
      <c r="B960">
        <v>2020</v>
      </c>
      <c r="C960" t="s">
        <v>56</v>
      </c>
      <c r="D960" t="s">
        <v>93</v>
      </c>
      <c r="E960">
        <v>29848</v>
      </c>
      <c r="F960" t="s">
        <v>71</v>
      </c>
      <c r="G960">
        <v>61300</v>
      </c>
      <c r="H960" t="s">
        <v>20</v>
      </c>
      <c r="I960" t="s">
        <v>21</v>
      </c>
      <c r="J960" t="s">
        <v>668</v>
      </c>
      <c r="K960" t="s">
        <v>23</v>
      </c>
      <c r="L960" t="s">
        <v>47</v>
      </c>
      <c r="M960" t="s">
        <v>48</v>
      </c>
      <c r="N960" t="s">
        <v>49</v>
      </c>
      <c r="O960" t="s">
        <v>27</v>
      </c>
      <c r="P960" s="1">
        <v>44785</v>
      </c>
      <c r="Q960">
        <f t="shared" si="70"/>
        <v>0</v>
      </c>
      <c r="R960">
        <f t="shared" si="71"/>
        <v>0</v>
      </c>
      <c r="S960">
        <f t="shared" si="72"/>
        <v>0</v>
      </c>
      <c r="T960" s="11">
        <f t="shared" si="73"/>
        <v>2020</v>
      </c>
      <c r="U960" s="11">
        <f t="shared" si="74"/>
        <v>29848</v>
      </c>
    </row>
    <row r="961" spans="1:21" x14ac:dyDescent="0.3">
      <c r="A961" t="s">
        <v>1563</v>
      </c>
      <c r="B961">
        <v>2018</v>
      </c>
      <c r="C961" t="s">
        <v>29</v>
      </c>
      <c r="D961" t="s">
        <v>76</v>
      </c>
      <c r="E961">
        <v>72770</v>
      </c>
      <c r="F961" t="s">
        <v>52</v>
      </c>
      <c r="G961">
        <v>77600</v>
      </c>
      <c r="H961" t="s">
        <v>32</v>
      </c>
      <c r="I961" t="s">
        <v>21</v>
      </c>
      <c r="J961" t="s">
        <v>1564</v>
      </c>
      <c r="K961" t="s">
        <v>23</v>
      </c>
      <c r="L961" t="s">
        <v>494</v>
      </c>
      <c r="M961" t="s">
        <v>113</v>
      </c>
      <c r="N961" t="s">
        <v>114</v>
      </c>
      <c r="O961" t="s">
        <v>27</v>
      </c>
      <c r="P961" s="1">
        <v>44785</v>
      </c>
      <c r="Q961">
        <f t="shared" si="70"/>
        <v>0</v>
      </c>
      <c r="R961">
        <f t="shared" si="71"/>
        <v>1</v>
      </c>
      <c r="S961">
        <f t="shared" si="72"/>
        <v>0</v>
      </c>
      <c r="T961" s="11">
        <f t="shared" si="73"/>
        <v>2018</v>
      </c>
      <c r="U961" s="11">
        <f t="shared" si="74"/>
        <v>72770</v>
      </c>
    </row>
    <row r="962" spans="1:21" x14ac:dyDescent="0.3">
      <c r="A962" t="s">
        <v>1565</v>
      </c>
      <c r="B962">
        <v>2019</v>
      </c>
      <c r="C962" t="s">
        <v>56</v>
      </c>
      <c r="D962" t="s">
        <v>32</v>
      </c>
      <c r="E962">
        <v>21837</v>
      </c>
      <c r="F962" t="s">
        <v>57</v>
      </c>
      <c r="G962">
        <v>49800</v>
      </c>
      <c r="H962" t="s">
        <v>77</v>
      </c>
      <c r="I962" t="s">
        <v>58</v>
      </c>
      <c r="J962" t="s">
        <v>411</v>
      </c>
      <c r="K962" t="s">
        <v>23</v>
      </c>
      <c r="L962" t="s">
        <v>84</v>
      </c>
      <c r="M962" t="s">
        <v>48</v>
      </c>
      <c r="N962" t="s">
        <v>69</v>
      </c>
      <c r="O962" t="s">
        <v>27</v>
      </c>
      <c r="P962" s="1">
        <v>44785</v>
      </c>
      <c r="Q962">
        <f t="shared" ref="Q962:Q1025" si="75">--(C962="ms")</f>
        <v>0</v>
      </c>
      <c r="R962">
        <f t="shared" ref="R962:R1025" si="76">--(C962="mx")</f>
        <v>0</v>
      </c>
      <c r="S962">
        <f t="shared" ref="S962:S1025" si="77">--(C962="my")</f>
        <v>0</v>
      </c>
      <c r="T962" s="11">
        <f t="shared" ref="T962:T1025" si="78">B962</f>
        <v>2019</v>
      </c>
      <c r="U962" s="11">
        <f t="shared" ref="U962:U1025" si="79">E962</f>
        <v>21837</v>
      </c>
    </row>
    <row r="963" spans="1:21" x14ac:dyDescent="0.3">
      <c r="A963" t="s">
        <v>1566</v>
      </c>
      <c r="B963">
        <v>2019</v>
      </c>
      <c r="C963" t="s">
        <v>56</v>
      </c>
      <c r="D963" t="s">
        <v>32</v>
      </c>
      <c r="E963">
        <v>27834</v>
      </c>
      <c r="F963" t="s">
        <v>71</v>
      </c>
      <c r="G963">
        <v>57400</v>
      </c>
      <c r="H963" t="s">
        <v>20</v>
      </c>
      <c r="I963" t="s">
        <v>21</v>
      </c>
      <c r="J963" t="s">
        <v>72</v>
      </c>
      <c r="K963" t="s">
        <v>23</v>
      </c>
      <c r="L963" t="s">
        <v>494</v>
      </c>
      <c r="M963" t="s">
        <v>113</v>
      </c>
      <c r="N963" t="s">
        <v>114</v>
      </c>
      <c r="O963" t="s">
        <v>27</v>
      </c>
      <c r="P963" s="1">
        <v>44785</v>
      </c>
      <c r="Q963">
        <f t="shared" si="75"/>
        <v>0</v>
      </c>
      <c r="R963">
        <f t="shared" si="76"/>
        <v>0</v>
      </c>
      <c r="S963">
        <f t="shared" si="77"/>
        <v>0</v>
      </c>
      <c r="T963" s="11">
        <f t="shared" si="78"/>
        <v>2019</v>
      </c>
      <c r="U963" s="11">
        <f t="shared" si="79"/>
        <v>27834</v>
      </c>
    </row>
    <row r="964" spans="1:21" x14ac:dyDescent="0.3">
      <c r="A964" t="s">
        <v>1567</v>
      </c>
      <c r="B964">
        <v>2019</v>
      </c>
      <c r="C964" t="s">
        <v>56</v>
      </c>
      <c r="D964" t="s">
        <v>32</v>
      </c>
      <c r="E964">
        <v>30275</v>
      </c>
      <c r="F964" t="s">
        <v>57</v>
      </c>
      <c r="G964">
        <v>49000</v>
      </c>
      <c r="H964" t="s">
        <v>20</v>
      </c>
      <c r="I964" t="s">
        <v>58</v>
      </c>
      <c r="J964" t="s">
        <v>168</v>
      </c>
      <c r="K964" t="s">
        <v>23</v>
      </c>
      <c r="L964" t="s">
        <v>84</v>
      </c>
      <c r="M964" t="s">
        <v>48</v>
      </c>
      <c r="N964" t="s">
        <v>69</v>
      </c>
      <c r="O964" t="s">
        <v>27</v>
      </c>
      <c r="P964" s="1">
        <v>44785</v>
      </c>
      <c r="Q964">
        <f t="shared" si="75"/>
        <v>0</v>
      </c>
      <c r="R964">
        <f t="shared" si="76"/>
        <v>0</v>
      </c>
      <c r="S964">
        <f t="shared" si="77"/>
        <v>0</v>
      </c>
      <c r="T964" s="11">
        <f t="shared" si="78"/>
        <v>2019</v>
      </c>
      <c r="U964" s="11">
        <f t="shared" si="79"/>
        <v>30275</v>
      </c>
    </row>
    <row r="965" spans="1:21" x14ac:dyDescent="0.3">
      <c r="A965" t="s">
        <v>1568</v>
      </c>
      <c r="B965">
        <v>2018</v>
      </c>
      <c r="C965" t="s">
        <v>56</v>
      </c>
      <c r="D965" t="s">
        <v>32</v>
      </c>
      <c r="E965">
        <v>30886</v>
      </c>
      <c r="F965" t="s">
        <v>71</v>
      </c>
      <c r="G965">
        <v>54100</v>
      </c>
      <c r="H965" t="s">
        <v>77</v>
      </c>
      <c r="I965" t="s">
        <v>21</v>
      </c>
      <c r="J965" t="s">
        <v>121</v>
      </c>
      <c r="K965" t="s">
        <v>23</v>
      </c>
      <c r="N965" t="s">
        <v>127</v>
      </c>
      <c r="O965" t="s">
        <v>27</v>
      </c>
      <c r="P965" s="1">
        <v>44785</v>
      </c>
      <c r="Q965">
        <f t="shared" si="75"/>
        <v>0</v>
      </c>
      <c r="R965">
        <f t="shared" si="76"/>
        <v>0</v>
      </c>
      <c r="S965">
        <f t="shared" si="77"/>
        <v>0</v>
      </c>
      <c r="T965" s="11">
        <f t="shared" si="78"/>
        <v>2018</v>
      </c>
      <c r="U965" s="11">
        <f t="shared" si="79"/>
        <v>30886</v>
      </c>
    </row>
    <row r="966" spans="1:21" x14ac:dyDescent="0.3">
      <c r="A966" t="s">
        <v>1569</v>
      </c>
      <c r="B966">
        <v>2018</v>
      </c>
      <c r="C966" t="s">
        <v>56</v>
      </c>
      <c r="D966" t="s">
        <v>32</v>
      </c>
      <c r="E966">
        <v>19276</v>
      </c>
      <c r="F966" t="s">
        <v>57</v>
      </c>
      <c r="G966">
        <v>48900</v>
      </c>
      <c r="H966" t="s">
        <v>20</v>
      </c>
      <c r="I966" t="s">
        <v>78</v>
      </c>
      <c r="J966" t="s">
        <v>275</v>
      </c>
      <c r="K966" t="s">
        <v>23</v>
      </c>
      <c r="L966" t="s">
        <v>1570</v>
      </c>
      <c r="M966" t="s">
        <v>255</v>
      </c>
      <c r="N966" t="s">
        <v>256</v>
      </c>
      <c r="O966" t="s">
        <v>27</v>
      </c>
      <c r="P966" s="1">
        <v>44785</v>
      </c>
      <c r="Q966">
        <f t="shared" si="75"/>
        <v>0</v>
      </c>
      <c r="R966">
        <f t="shared" si="76"/>
        <v>0</v>
      </c>
      <c r="S966">
        <f t="shared" si="77"/>
        <v>0</v>
      </c>
      <c r="T966" s="11">
        <f t="shared" si="78"/>
        <v>2018</v>
      </c>
      <c r="U966" s="11">
        <f t="shared" si="79"/>
        <v>19276</v>
      </c>
    </row>
    <row r="967" spans="1:21" x14ac:dyDescent="0.3">
      <c r="A967" t="s">
        <v>1571</v>
      </c>
      <c r="B967">
        <v>2021</v>
      </c>
      <c r="C967" t="s">
        <v>56</v>
      </c>
      <c r="D967" t="s">
        <v>93</v>
      </c>
      <c r="E967">
        <v>21757</v>
      </c>
      <c r="F967" t="s">
        <v>143</v>
      </c>
      <c r="G967">
        <v>66200</v>
      </c>
      <c r="H967" t="s">
        <v>77</v>
      </c>
      <c r="J967" t="s">
        <v>670</v>
      </c>
      <c r="K967" t="s">
        <v>23</v>
      </c>
      <c r="L967" t="s">
        <v>292</v>
      </c>
      <c r="M967" t="s">
        <v>172</v>
      </c>
      <c r="N967" t="s">
        <v>173</v>
      </c>
      <c r="O967" t="s">
        <v>27</v>
      </c>
      <c r="P967" s="1">
        <v>44785</v>
      </c>
      <c r="Q967">
        <f t="shared" si="75"/>
        <v>0</v>
      </c>
      <c r="R967">
        <f t="shared" si="76"/>
        <v>0</v>
      </c>
      <c r="S967">
        <f t="shared" si="77"/>
        <v>0</v>
      </c>
      <c r="T967" s="11">
        <f t="shared" si="78"/>
        <v>2021</v>
      </c>
      <c r="U967" s="11">
        <f t="shared" si="79"/>
        <v>21757</v>
      </c>
    </row>
    <row r="968" spans="1:21" x14ac:dyDescent="0.3">
      <c r="A968" t="s">
        <v>1572</v>
      </c>
      <c r="B968">
        <v>2019</v>
      </c>
      <c r="C968" t="s">
        <v>56</v>
      </c>
      <c r="D968" t="s">
        <v>30</v>
      </c>
      <c r="E968">
        <v>28750</v>
      </c>
      <c r="F968" t="s">
        <v>65</v>
      </c>
      <c r="G968">
        <v>44700</v>
      </c>
      <c r="H968" t="s">
        <v>20</v>
      </c>
      <c r="I968" t="s">
        <v>58</v>
      </c>
      <c r="J968" t="s">
        <v>774</v>
      </c>
      <c r="K968" t="s">
        <v>23</v>
      </c>
      <c r="L968" t="s">
        <v>1570</v>
      </c>
      <c r="M968" t="s">
        <v>255</v>
      </c>
      <c r="N968" t="s">
        <v>256</v>
      </c>
      <c r="O968" t="s">
        <v>27</v>
      </c>
      <c r="P968" s="1">
        <v>44785</v>
      </c>
      <c r="Q968">
        <f t="shared" si="75"/>
        <v>0</v>
      </c>
      <c r="R968">
        <f t="shared" si="76"/>
        <v>0</v>
      </c>
      <c r="S968">
        <f t="shared" si="77"/>
        <v>0</v>
      </c>
      <c r="T968" s="11">
        <f t="shared" si="78"/>
        <v>2019</v>
      </c>
      <c r="U968" s="11">
        <f t="shared" si="79"/>
        <v>28750</v>
      </c>
    </row>
    <row r="969" spans="1:21" x14ac:dyDescent="0.3">
      <c r="A969" t="s">
        <v>1573</v>
      </c>
      <c r="B969">
        <v>2020</v>
      </c>
      <c r="C969" t="s">
        <v>56</v>
      </c>
      <c r="D969" t="s">
        <v>93</v>
      </c>
      <c r="E969">
        <v>18527</v>
      </c>
      <c r="F969" t="s">
        <v>71</v>
      </c>
      <c r="G969">
        <v>62600</v>
      </c>
      <c r="H969" t="s">
        <v>20</v>
      </c>
      <c r="I969" t="s">
        <v>21</v>
      </c>
      <c r="J969" t="s">
        <v>668</v>
      </c>
      <c r="K969" t="s">
        <v>23</v>
      </c>
      <c r="L969" t="s">
        <v>163</v>
      </c>
      <c r="M969" t="s">
        <v>164</v>
      </c>
      <c r="N969" t="s">
        <v>26</v>
      </c>
      <c r="O969" t="s">
        <v>27</v>
      </c>
      <c r="P969" s="1">
        <v>44785</v>
      </c>
      <c r="Q969">
        <f t="shared" si="75"/>
        <v>0</v>
      </c>
      <c r="R969">
        <f t="shared" si="76"/>
        <v>0</v>
      </c>
      <c r="S969">
        <f t="shared" si="77"/>
        <v>0</v>
      </c>
      <c r="T969" s="11">
        <f t="shared" si="78"/>
        <v>2020</v>
      </c>
      <c r="U969" s="11">
        <f t="shared" si="79"/>
        <v>18527</v>
      </c>
    </row>
    <row r="970" spans="1:21" x14ac:dyDescent="0.3">
      <c r="A970" t="s">
        <v>1574</v>
      </c>
      <c r="B970">
        <v>2021</v>
      </c>
      <c r="C970" t="s">
        <v>37</v>
      </c>
      <c r="D970" t="s">
        <v>76</v>
      </c>
      <c r="E970">
        <v>8548</v>
      </c>
      <c r="F970" t="s">
        <v>131</v>
      </c>
      <c r="G970">
        <v>121000</v>
      </c>
      <c r="H970" t="s">
        <v>53</v>
      </c>
      <c r="I970" t="s">
        <v>39</v>
      </c>
      <c r="J970" t="s">
        <v>1157</v>
      </c>
      <c r="K970" t="s">
        <v>23</v>
      </c>
      <c r="L970" t="s">
        <v>95</v>
      </c>
      <c r="M970" t="s">
        <v>96</v>
      </c>
      <c r="N970" t="s">
        <v>89</v>
      </c>
      <c r="O970" t="s">
        <v>27</v>
      </c>
      <c r="P970" s="1">
        <v>44785</v>
      </c>
      <c r="Q970">
        <f t="shared" si="75"/>
        <v>1</v>
      </c>
      <c r="R970">
        <f t="shared" si="76"/>
        <v>0</v>
      </c>
      <c r="S970">
        <f t="shared" si="77"/>
        <v>0</v>
      </c>
      <c r="T970" s="11">
        <f t="shared" si="78"/>
        <v>2021</v>
      </c>
      <c r="U970" s="11">
        <f t="shared" si="79"/>
        <v>8548</v>
      </c>
    </row>
    <row r="971" spans="1:21" x14ac:dyDescent="0.3">
      <c r="A971" t="s">
        <v>1575</v>
      </c>
      <c r="B971">
        <v>2018</v>
      </c>
      <c r="C971" t="s">
        <v>29</v>
      </c>
      <c r="D971" t="s">
        <v>30</v>
      </c>
      <c r="E971">
        <v>36788</v>
      </c>
      <c r="F971" t="s">
        <v>52</v>
      </c>
      <c r="G971">
        <v>88500</v>
      </c>
      <c r="H971" t="s">
        <v>53</v>
      </c>
      <c r="I971" t="s">
        <v>21</v>
      </c>
      <c r="J971" t="s">
        <v>1576</v>
      </c>
      <c r="K971" t="s">
        <v>23</v>
      </c>
      <c r="L971" t="s">
        <v>456</v>
      </c>
      <c r="M971" t="s">
        <v>164</v>
      </c>
      <c r="N971" t="s">
        <v>26</v>
      </c>
      <c r="O971" t="s">
        <v>27</v>
      </c>
      <c r="P971" s="1">
        <v>44785</v>
      </c>
      <c r="Q971">
        <f t="shared" si="75"/>
        <v>0</v>
      </c>
      <c r="R971">
        <f t="shared" si="76"/>
        <v>1</v>
      </c>
      <c r="S971">
        <f t="shared" si="77"/>
        <v>0</v>
      </c>
      <c r="T971" s="11">
        <f t="shared" si="78"/>
        <v>2018</v>
      </c>
      <c r="U971" s="11">
        <f t="shared" si="79"/>
        <v>36788</v>
      </c>
    </row>
    <row r="972" spans="1:21" x14ac:dyDescent="0.3">
      <c r="A972" t="s">
        <v>1577</v>
      </c>
      <c r="B972">
        <v>2020</v>
      </c>
      <c r="C972" t="s">
        <v>29</v>
      </c>
      <c r="D972" t="s">
        <v>32</v>
      </c>
      <c r="E972">
        <v>20657</v>
      </c>
      <c r="F972" t="s">
        <v>177</v>
      </c>
      <c r="G972">
        <v>106000</v>
      </c>
      <c r="H972" t="s">
        <v>45</v>
      </c>
      <c r="I972" t="s">
        <v>110</v>
      </c>
      <c r="J972" t="s">
        <v>1578</v>
      </c>
      <c r="K972" t="s">
        <v>23</v>
      </c>
      <c r="L972" t="s">
        <v>117</v>
      </c>
      <c r="M972" t="s">
        <v>118</v>
      </c>
      <c r="N972" t="s">
        <v>119</v>
      </c>
      <c r="O972" t="s">
        <v>27</v>
      </c>
      <c r="P972" s="1">
        <v>44785</v>
      </c>
      <c r="Q972">
        <f t="shared" si="75"/>
        <v>0</v>
      </c>
      <c r="R972">
        <f t="shared" si="76"/>
        <v>1</v>
      </c>
      <c r="S972">
        <f t="shared" si="77"/>
        <v>0</v>
      </c>
      <c r="T972" s="11">
        <f t="shared" si="78"/>
        <v>2020</v>
      </c>
      <c r="U972" s="11">
        <f t="shared" si="79"/>
        <v>20657</v>
      </c>
    </row>
    <row r="973" spans="1:21" x14ac:dyDescent="0.3">
      <c r="A973" t="s">
        <v>1579</v>
      </c>
      <c r="B973">
        <v>2020</v>
      </c>
      <c r="C973" t="s">
        <v>56</v>
      </c>
      <c r="D973" t="s">
        <v>93</v>
      </c>
      <c r="E973">
        <v>24188</v>
      </c>
      <c r="F973" t="s">
        <v>57</v>
      </c>
      <c r="G973">
        <v>58200</v>
      </c>
      <c r="H973" t="s">
        <v>20</v>
      </c>
      <c r="I973" t="s">
        <v>78</v>
      </c>
      <c r="J973" t="s">
        <v>218</v>
      </c>
      <c r="K973" t="s">
        <v>23</v>
      </c>
      <c r="L973" t="s">
        <v>24</v>
      </c>
      <c r="M973" t="s">
        <v>25</v>
      </c>
      <c r="N973" t="s">
        <v>26</v>
      </c>
      <c r="O973" t="s">
        <v>27</v>
      </c>
      <c r="P973" s="1">
        <v>44785</v>
      </c>
      <c r="Q973">
        <f t="shared" si="75"/>
        <v>0</v>
      </c>
      <c r="R973">
        <f t="shared" si="76"/>
        <v>0</v>
      </c>
      <c r="S973">
        <f t="shared" si="77"/>
        <v>0</v>
      </c>
      <c r="T973" s="11">
        <f t="shared" si="78"/>
        <v>2020</v>
      </c>
      <c r="U973" s="11">
        <f t="shared" si="79"/>
        <v>24188</v>
      </c>
    </row>
    <row r="974" spans="1:21" x14ac:dyDescent="0.3">
      <c r="A974" t="s">
        <v>1580</v>
      </c>
      <c r="B974">
        <v>2018</v>
      </c>
      <c r="C974" t="s">
        <v>56</v>
      </c>
      <c r="D974" t="s">
        <v>93</v>
      </c>
      <c r="E974">
        <v>25339</v>
      </c>
      <c r="F974" t="s">
        <v>71</v>
      </c>
      <c r="G974">
        <v>55200</v>
      </c>
      <c r="H974" t="s">
        <v>20</v>
      </c>
      <c r="I974" t="s">
        <v>21</v>
      </c>
      <c r="J974" t="s">
        <v>332</v>
      </c>
      <c r="K974" t="s">
        <v>23</v>
      </c>
      <c r="L974" t="s">
        <v>1119</v>
      </c>
      <c r="M974" t="s">
        <v>1120</v>
      </c>
      <c r="N974" t="s">
        <v>119</v>
      </c>
      <c r="O974" t="s">
        <v>27</v>
      </c>
      <c r="P974" s="1">
        <v>44785</v>
      </c>
      <c r="Q974">
        <f t="shared" si="75"/>
        <v>0</v>
      </c>
      <c r="R974">
        <f t="shared" si="76"/>
        <v>0</v>
      </c>
      <c r="S974">
        <f t="shared" si="77"/>
        <v>0</v>
      </c>
      <c r="T974" s="11">
        <f t="shared" si="78"/>
        <v>2018</v>
      </c>
      <c r="U974" s="11">
        <f t="shared" si="79"/>
        <v>25339</v>
      </c>
    </row>
    <row r="975" spans="1:21" x14ac:dyDescent="0.3">
      <c r="A975" t="s">
        <v>1581</v>
      </c>
      <c r="B975">
        <v>2019</v>
      </c>
      <c r="C975" t="s">
        <v>56</v>
      </c>
      <c r="D975" t="s">
        <v>53</v>
      </c>
      <c r="E975">
        <v>17676</v>
      </c>
      <c r="F975" t="s">
        <v>71</v>
      </c>
      <c r="G975">
        <v>57100</v>
      </c>
      <c r="H975" t="s">
        <v>20</v>
      </c>
      <c r="I975" t="s">
        <v>21</v>
      </c>
      <c r="J975" t="s">
        <v>376</v>
      </c>
      <c r="K975" t="s">
        <v>23</v>
      </c>
      <c r="L975" t="s">
        <v>205</v>
      </c>
      <c r="M975" t="s">
        <v>42</v>
      </c>
      <c r="N975" t="s">
        <v>26</v>
      </c>
      <c r="O975" t="s">
        <v>27</v>
      </c>
      <c r="P975" s="1">
        <v>44785</v>
      </c>
      <c r="Q975">
        <f t="shared" si="75"/>
        <v>0</v>
      </c>
      <c r="R975">
        <f t="shared" si="76"/>
        <v>0</v>
      </c>
      <c r="S975">
        <f t="shared" si="77"/>
        <v>0</v>
      </c>
      <c r="T975" s="11">
        <f t="shared" si="78"/>
        <v>2019</v>
      </c>
      <c r="U975" s="11">
        <f t="shared" si="79"/>
        <v>17676</v>
      </c>
    </row>
    <row r="976" spans="1:21" x14ac:dyDescent="0.3">
      <c r="A976" t="s">
        <v>1582</v>
      </c>
      <c r="B976">
        <v>2020</v>
      </c>
      <c r="C976" t="s">
        <v>17</v>
      </c>
      <c r="D976" t="s">
        <v>32</v>
      </c>
      <c r="E976">
        <v>19559</v>
      </c>
      <c r="F976" t="s">
        <v>207</v>
      </c>
      <c r="G976">
        <v>67900</v>
      </c>
      <c r="H976" t="s">
        <v>20</v>
      </c>
      <c r="I976" t="s">
        <v>21</v>
      </c>
      <c r="J976" t="s">
        <v>429</v>
      </c>
      <c r="K976" t="s">
        <v>23</v>
      </c>
      <c r="L976" t="s">
        <v>122</v>
      </c>
      <c r="M976" t="s">
        <v>113</v>
      </c>
      <c r="N976" t="s">
        <v>114</v>
      </c>
      <c r="O976" t="s">
        <v>27</v>
      </c>
      <c r="P976" s="1">
        <v>44785</v>
      </c>
      <c r="Q976">
        <f t="shared" si="75"/>
        <v>0</v>
      </c>
      <c r="R976">
        <f t="shared" si="76"/>
        <v>0</v>
      </c>
      <c r="S976">
        <f t="shared" si="77"/>
        <v>1</v>
      </c>
      <c r="T976" s="11">
        <f t="shared" si="78"/>
        <v>2020</v>
      </c>
      <c r="U976" s="11">
        <f t="shared" si="79"/>
        <v>19559</v>
      </c>
    </row>
    <row r="977" spans="1:21" x14ac:dyDescent="0.3">
      <c r="A977" t="s">
        <v>1583</v>
      </c>
      <c r="B977">
        <v>2020</v>
      </c>
      <c r="C977" t="s">
        <v>56</v>
      </c>
      <c r="D977" t="s">
        <v>32</v>
      </c>
      <c r="E977">
        <v>12570</v>
      </c>
      <c r="F977" t="s">
        <v>65</v>
      </c>
      <c r="G977">
        <v>57000</v>
      </c>
      <c r="H977" t="s">
        <v>77</v>
      </c>
      <c r="I977" t="s">
        <v>78</v>
      </c>
      <c r="J977" t="s">
        <v>388</v>
      </c>
      <c r="K977" t="s">
        <v>23</v>
      </c>
      <c r="L977" t="s">
        <v>205</v>
      </c>
      <c r="M977" t="s">
        <v>42</v>
      </c>
      <c r="N977" t="s">
        <v>26</v>
      </c>
      <c r="O977" t="s">
        <v>27</v>
      </c>
      <c r="P977" s="1">
        <v>44785</v>
      </c>
      <c r="Q977">
        <f t="shared" si="75"/>
        <v>0</v>
      </c>
      <c r="R977">
        <f t="shared" si="76"/>
        <v>0</v>
      </c>
      <c r="S977">
        <f t="shared" si="77"/>
        <v>0</v>
      </c>
      <c r="T977" s="11">
        <f t="shared" si="78"/>
        <v>2020</v>
      </c>
      <c r="U977" s="11">
        <f t="shared" si="79"/>
        <v>12570</v>
      </c>
    </row>
    <row r="978" spans="1:21" x14ac:dyDescent="0.3">
      <c r="A978" t="s">
        <v>1584</v>
      </c>
      <c r="B978">
        <v>2021</v>
      </c>
      <c r="C978" t="s">
        <v>56</v>
      </c>
      <c r="D978" t="s">
        <v>32</v>
      </c>
      <c r="E978">
        <v>8930</v>
      </c>
      <c r="F978" t="s">
        <v>57</v>
      </c>
      <c r="G978">
        <v>64600</v>
      </c>
      <c r="H978" t="s">
        <v>20</v>
      </c>
      <c r="I978" t="s">
        <v>58</v>
      </c>
      <c r="J978" t="s">
        <v>168</v>
      </c>
      <c r="K978" t="s">
        <v>23</v>
      </c>
      <c r="L978" t="s">
        <v>122</v>
      </c>
      <c r="M978" t="s">
        <v>113</v>
      </c>
      <c r="N978" t="s">
        <v>114</v>
      </c>
      <c r="O978" t="s">
        <v>27</v>
      </c>
      <c r="P978" s="1">
        <v>44785</v>
      </c>
      <c r="Q978">
        <f t="shared" si="75"/>
        <v>0</v>
      </c>
      <c r="R978">
        <f t="shared" si="76"/>
        <v>0</v>
      </c>
      <c r="S978">
        <f t="shared" si="77"/>
        <v>0</v>
      </c>
      <c r="T978" s="11">
        <f t="shared" si="78"/>
        <v>2021</v>
      </c>
      <c r="U978" s="11">
        <f t="shared" si="79"/>
        <v>8930</v>
      </c>
    </row>
    <row r="979" spans="1:21" x14ac:dyDescent="0.3">
      <c r="A979" t="s">
        <v>1585</v>
      </c>
      <c r="B979">
        <v>2020</v>
      </c>
      <c r="C979" t="s">
        <v>56</v>
      </c>
      <c r="D979" t="s">
        <v>53</v>
      </c>
      <c r="E979">
        <v>20086</v>
      </c>
      <c r="F979" t="s">
        <v>57</v>
      </c>
      <c r="G979">
        <v>56400</v>
      </c>
      <c r="H979" t="s">
        <v>20</v>
      </c>
      <c r="I979" t="s">
        <v>58</v>
      </c>
      <c r="J979" t="s">
        <v>59</v>
      </c>
      <c r="K979" t="s">
        <v>23</v>
      </c>
      <c r="L979" t="s">
        <v>24</v>
      </c>
      <c r="M979" t="s">
        <v>25</v>
      </c>
      <c r="N979" t="s">
        <v>26</v>
      </c>
      <c r="O979" t="s">
        <v>27</v>
      </c>
      <c r="P979" s="1">
        <v>44785</v>
      </c>
      <c r="Q979">
        <f t="shared" si="75"/>
        <v>0</v>
      </c>
      <c r="R979">
        <f t="shared" si="76"/>
        <v>0</v>
      </c>
      <c r="S979">
        <f t="shared" si="77"/>
        <v>0</v>
      </c>
      <c r="T979" s="11">
        <f t="shared" si="78"/>
        <v>2020</v>
      </c>
      <c r="U979" s="11">
        <f t="shared" si="79"/>
        <v>20086</v>
      </c>
    </row>
    <row r="980" spans="1:21" x14ac:dyDescent="0.3">
      <c r="A980" t="s">
        <v>1586</v>
      </c>
      <c r="B980">
        <v>2020</v>
      </c>
      <c r="C980" t="s">
        <v>17</v>
      </c>
      <c r="D980" t="s">
        <v>32</v>
      </c>
      <c r="E980">
        <v>24039</v>
      </c>
      <c r="F980" t="s">
        <v>207</v>
      </c>
      <c r="G980">
        <v>69800</v>
      </c>
      <c r="H980" t="s">
        <v>77</v>
      </c>
      <c r="I980" t="s">
        <v>21</v>
      </c>
      <c r="J980" t="s">
        <v>476</v>
      </c>
      <c r="K980" t="s">
        <v>23</v>
      </c>
      <c r="L980" t="s">
        <v>543</v>
      </c>
      <c r="M980" t="s">
        <v>544</v>
      </c>
      <c r="N980" t="s">
        <v>545</v>
      </c>
      <c r="O980" t="s">
        <v>27</v>
      </c>
      <c r="P980" s="1">
        <v>44785</v>
      </c>
      <c r="Q980">
        <f t="shared" si="75"/>
        <v>0</v>
      </c>
      <c r="R980">
        <f t="shared" si="76"/>
        <v>0</v>
      </c>
      <c r="S980">
        <f t="shared" si="77"/>
        <v>1</v>
      </c>
      <c r="T980" s="11">
        <f t="shared" si="78"/>
        <v>2020</v>
      </c>
      <c r="U980" s="11">
        <f t="shared" si="79"/>
        <v>24039</v>
      </c>
    </row>
    <row r="981" spans="1:21" x14ac:dyDescent="0.3">
      <c r="A981" t="s">
        <v>1587</v>
      </c>
      <c r="B981">
        <v>2019</v>
      </c>
      <c r="C981" t="s">
        <v>56</v>
      </c>
      <c r="D981" t="s">
        <v>30</v>
      </c>
      <c r="E981">
        <v>20031</v>
      </c>
      <c r="F981" t="s">
        <v>71</v>
      </c>
      <c r="G981">
        <v>54900</v>
      </c>
      <c r="H981" t="s">
        <v>20</v>
      </c>
      <c r="I981" t="s">
        <v>21</v>
      </c>
      <c r="J981" t="s">
        <v>384</v>
      </c>
      <c r="K981" t="s">
        <v>23</v>
      </c>
      <c r="L981" t="s">
        <v>24</v>
      </c>
      <c r="M981" t="s">
        <v>25</v>
      </c>
      <c r="N981" t="s">
        <v>26</v>
      </c>
      <c r="O981" t="s">
        <v>27</v>
      </c>
      <c r="P981" s="1">
        <v>44785</v>
      </c>
      <c r="Q981">
        <f t="shared" si="75"/>
        <v>0</v>
      </c>
      <c r="R981">
        <f t="shared" si="76"/>
        <v>0</v>
      </c>
      <c r="S981">
        <f t="shared" si="77"/>
        <v>0</v>
      </c>
      <c r="T981" s="11">
        <f t="shared" si="78"/>
        <v>2019</v>
      </c>
      <c r="U981" s="11">
        <f t="shared" si="79"/>
        <v>20031</v>
      </c>
    </row>
    <row r="982" spans="1:21" x14ac:dyDescent="0.3">
      <c r="A982" t="s">
        <v>1588</v>
      </c>
      <c r="B982">
        <v>2019</v>
      </c>
      <c r="C982" t="s">
        <v>56</v>
      </c>
      <c r="D982" t="s">
        <v>32</v>
      </c>
      <c r="E982">
        <v>25954</v>
      </c>
      <c r="F982" t="s">
        <v>71</v>
      </c>
      <c r="G982">
        <v>55600</v>
      </c>
      <c r="H982" t="s">
        <v>20</v>
      </c>
      <c r="I982" t="s">
        <v>21</v>
      </c>
      <c r="J982" t="s">
        <v>72</v>
      </c>
      <c r="K982" t="s">
        <v>23</v>
      </c>
      <c r="L982" t="s">
        <v>494</v>
      </c>
      <c r="M982" t="s">
        <v>113</v>
      </c>
      <c r="N982" t="s">
        <v>114</v>
      </c>
      <c r="O982" t="s">
        <v>27</v>
      </c>
      <c r="P982" s="1">
        <v>44785</v>
      </c>
      <c r="Q982">
        <f t="shared" si="75"/>
        <v>0</v>
      </c>
      <c r="R982">
        <f t="shared" si="76"/>
        <v>0</v>
      </c>
      <c r="S982">
        <f t="shared" si="77"/>
        <v>0</v>
      </c>
      <c r="T982" s="11">
        <f t="shared" si="78"/>
        <v>2019</v>
      </c>
      <c r="U982" s="11">
        <f t="shared" si="79"/>
        <v>25954</v>
      </c>
    </row>
    <row r="983" spans="1:21" x14ac:dyDescent="0.3">
      <c r="A983" t="s">
        <v>1589</v>
      </c>
      <c r="B983">
        <v>2019</v>
      </c>
      <c r="C983" t="s">
        <v>56</v>
      </c>
      <c r="D983" t="s">
        <v>93</v>
      </c>
      <c r="E983">
        <v>35400</v>
      </c>
      <c r="F983" t="s">
        <v>71</v>
      </c>
      <c r="G983">
        <v>55300</v>
      </c>
      <c r="H983" t="s">
        <v>20</v>
      </c>
      <c r="I983" t="s">
        <v>21</v>
      </c>
      <c r="J983" t="s">
        <v>332</v>
      </c>
      <c r="K983" t="s">
        <v>23</v>
      </c>
      <c r="L983" t="s">
        <v>158</v>
      </c>
      <c r="M983" t="s">
        <v>42</v>
      </c>
      <c r="N983" t="s">
        <v>26</v>
      </c>
      <c r="O983" t="s">
        <v>27</v>
      </c>
      <c r="P983" s="1">
        <v>44785</v>
      </c>
      <c r="Q983">
        <f t="shared" si="75"/>
        <v>0</v>
      </c>
      <c r="R983">
        <f t="shared" si="76"/>
        <v>0</v>
      </c>
      <c r="S983">
        <f t="shared" si="77"/>
        <v>0</v>
      </c>
      <c r="T983" s="11">
        <f t="shared" si="78"/>
        <v>2019</v>
      </c>
      <c r="U983" s="11">
        <f t="shared" si="79"/>
        <v>35400</v>
      </c>
    </row>
    <row r="984" spans="1:21" x14ac:dyDescent="0.3">
      <c r="A984" t="s">
        <v>1590</v>
      </c>
      <c r="B984">
        <v>2019</v>
      </c>
      <c r="C984" t="s">
        <v>56</v>
      </c>
      <c r="D984" t="s">
        <v>53</v>
      </c>
      <c r="E984">
        <v>26572</v>
      </c>
      <c r="F984" t="s">
        <v>71</v>
      </c>
      <c r="G984">
        <v>55800</v>
      </c>
      <c r="H984" t="s">
        <v>77</v>
      </c>
      <c r="I984" t="s">
        <v>21</v>
      </c>
      <c r="J984" t="s">
        <v>496</v>
      </c>
      <c r="K984" t="s">
        <v>23</v>
      </c>
      <c r="N984" t="s">
        <v>127</v>
      </c>
      <c r="O984" t="s">
        <v>27</v>
      </c>
      <c r="P984" s="1">
        <v>44785</v>
      </c>
      <c r="Q984">
        <f t="shared" si="75"/>
        <v>0</v>
      </c>
      <c r="R984">
        <f t="shared" si="76"/>
        <v>0</v>
      </c>
      <c r="S984">
        <f t="shared" si="77"/>
        <v>0</v>
      </c>
      <c r="T984" s="11">
        <f t="shared" si="78"/>
        <v>2019</v>
      </c>
      <c r="U984" s="11">
        <f t="shared" si="79"/>
        <v>26572</v>
      </c>
    </row>
    <row r="985" spans="1:21" x14ac:dyDescent="0.3">
      <c r="A985" t="s">
        <v>1591</v>
      </c>
      <c r="B985">
        <v>2018</v>
      </c>
      <c r="C985" t="s">
        <v>56</v>
      </c>
      <c r="D985" t="s">
        <v>53</v>
      </c>
      <c r="E985">
        <v>31909</v>
      </c>
      <c r="F985" t="s">
        <v>71</v>
      </c>
      <c r="G985">
        <v>54800</v>
      </c>
      <c r="H985" t="s">
        <v>20</v>
      </c>
      <c r="I985" t="s">
        <v>21</v>
      </c>
      <c r="J985" t="s">
        <v>376</v>
      </c>
      <c r="K985" t="s">
        <v>23</v>
      </c>
      <c r="L985" t="s">
        <v>197</v>
      </c>
      <c r="M985" t="s">
        <v>198</v>
      </c>
      <c r="N985" t="s">
        <v>26</v>
      </c>
      <c r="O985" t="s">
        <v>27</v>
      </c>
      <c r="P985" s="1">
        <v>44785</v>
      </c>
      <c r="Q985">
        <f t="shared" si="75"/>
        <v>0</v>
      </c>
      <c r="R985">
        <f t="shared" si="76"/>
        <v>0</v>
      </c>
      <c r="S985">
        <f t="shared" si="77"/>
        <v>0</v>
      </c>
      <c r="T985" s="11">
        <f t="shared" si="78"/>
        <v>2018</v>
      </c>
      <c r="U985" s="11">
        <f t="shared" si="79"/>
        <v>31909</v>
      </c>
    </row>
    <row r="986" spans="1:21" x14ac:dyDescent="0.3">
      <c r="A986" t="s">
        <v>1592</v>
      </c>
      <c r="B986">
        <v>2020</v>
      </c>
      <c r="C986" t="s">
        <v>56</v>
      </c>
      <c r="D986" t="s">
        <v>32</v>
      </c>
      <c r="E986">
        <v>33792</v>
      </c>
      <c r="F986" t="s">
        <v>65</v>
      </c>
      <c r="G986">
        <v>48200</v>
      </c>
      <c r="H986" t="s">
        <v>20</v>
      </c>
      <c r="I986" t="s">
        <v>58</v>
      </c>
      <c r="J986" t="s">
        <v>192</v>
      </c>
      <c r="K986" t="s">
        <v>23</v>
      </c>
      <c r="L986" t="s">
        <v>292</v>
      </c>
      <c r="M986" t="s">
        <v>172</v>
      </c>
      <c r="N986" t="s">
        <v>173</v>
      </c>
      <c r="O986" t="s">
        <v>27</v>
      </c>
      <c r="P986" s="1">
        <v>44785</v>
      </c>
      <c r="Q986">
        <f t="shared" si="75"/>
        <v>0</v>
      </c>
      <c r="R986">
        <f t="shared" si="76"/>
        <v>0</v>
      </c>
      <c r="S986">
        <f t="shared" si="77"/>
        <v>0</v>
      </c>
      <c r="T986" s="11">
        <f t="shared" si="78"/>
        <v>2020</v>
      </c>
      <c r="U986" s="11">
        <f t="shared" si="79"/>
        <v>33792</v>
      </c>
    </row>
    <row r="987" spans="1:21" x14ac:dyDescent="0.3">
      <c r="A987" t="s">
        <v>1593</v>
      </c>
      <c r="B987">
        <v>2019</v>
      </c>
      <c r="C987" t="s">
        <v>56</v>
      </c>
      <c r="D987" t="s">
        <v>93</v>
      </c>
      <c r="E987">
        <v>24063</v>
      </c>
      <c r="F987" t="s">
        <v>71</v>
      </c>
      <c r="G987">
        <v>54000</v>
      </c>
      <c r="H987" t="s">
        <v>20</v>
      </c>
      <c r="I987" t="s">
        <v>58</v>
      </c>
      <c r="J987" t="s">
        <v>541</v>
      </c>
      <c r="K987" t="s">
        <v>23</v>
      </c>
      <c r="L987" t="s">
        <v>205</v>
      </c>
      <c r="M987" t="s">
        <v>42</v>
      </c>
      <c r="N987" t="s">
        <v>26</v>
      </c>
      <c r="O987" t="s">
        <v>27</v>
      </c>
      <c r="P987" s="1">
        <v>44785</v>
      </c>
      <c r="Q987">
        <f t="shared" si="75"/>
        <v>0</v>
      </c>
      <c r="R987">
        <f t="shared" si="76"/>
        <v>0</v>
      </c>
      <c r="S987">
        <f t="shared" si="77"/>
        <v>0</v>
      </c>
      <c r="T987" s="11">
        <f t="shared" si="78"/>
        <v>2019</v>
      </c>
      <c r="U987" s="11">
        <f t="shared" si="79"/>
        <v>24063</v>
      </c>
    </row>
    <row r="988" spans="1:21" x14ac:dyDescent="0.3">
      <c r="A988" t="s">
        <v>1594</v>
      </c>
      <c r="B988">
        <v>2022</v>
      </c>
      <c r="C988" t="s">
        <v>56</v>
      </c>
      <c r="D988" t="s">
        <v>32</v>
      </c>
      <c r="E988">
        <v>8449</v>
      </c>
      <c r="F988" t="s">
        <v>508</v>
      </c>
      <c r="G988">
        <v>64100</v>
      </c>
      <c r="H988" t="s">
        <v>20</v>
      </c>
      <c r="I988" t="s">
        <v>58</v>
      </c>
      <c r="J988" t="s">
        <v>168</v>
      </c>
      <c r="K988" t="s">
        <v>23</v>
      </c>
      <c r="L988" t="s">
        <v>609</v>
      </c>
      <c r="N988" t="s">
        <v>139</v>
      </c>
      <c r="O988" t="s">
        <v>27</v>
      </c>
      <c r="P988" s="1">
        <v>44785</v>
      </c>
      <c r="Q988">
        <f t="shared" si="75"/>
        <v>0</v>
      </c>
      <c r="R988">
        <f t="shared" si="76"/>
        <v>0</v>
      </c>
      <c r="S988">
        <f t="shared" si="77"/>
        <v>0</v>
      </c>
      <c r="T988" s="11">
        <f t="shared" si="78"/>
        <v>2022</v>
      </c>
      <c r="U988" s="11">
        <f t="shared" si="79"/>
        <v>8449</v>
      </c>
    </row>
    <row r="989" spans="1:21" x14ac:dyDescent="0.3">
      <c r="A989" t="s">
        <v>1595</v>
      </c>
      <c r="B989">
        <v>2019</v>
      </c>
      <c r="C989" t="s">
        <v>56</v>
      </c>
      <c r="D989" t="s">
        <v>53</v>
      </c>
      <c r="E989">
        <v>29713</v>
      </c>
      <c r="F989" t="s">
        <v>65</v>
      </c>
      <c r="G989">
        <v>50000</v>
      </c>
      <c r="H989" t="s">
        <v>20</v>
      </c>
      <c r="I989" t="s">
        <v>58</v>
      </c>
      <c r="J989" t="s">
        <v>66</v>
      </c>
      <c r="K989" t="s">
        <v>23</v>
      </c>
      <c r="L989" t="s">
        <v>205</v>
      </c>
      <c r="M989" t="s">
        <v>42</v>
      </c>
      <c r="N989" t="s">
        <v>26</v>
      </c>
      <c r="O989" t="s">
        <v>27</v>
      </c>
      <c r="P989" s="1">
        <v>44785</v>
      </c>
      <c r="Q989">
        <f t="shared" si="75"/>
        <v>0</v>
      </c>
      <c r="R989">
        <f t="shared" si="76"/>
        <v>0</v>
      </c>
      <c r="S989">
        <f t="shared" si="77"/>
        <v>0</v>
      </c>
      <c r="T989" s="11">
        <f t="shared" si="78"/>
        <v>2019</v>
      </c>
      <c r="U989" s="11">
        <f t="shared" si="79"/>
        <v>29713</v>
      </c>
    </row>
    <row r="990" spans="1:21" x14ac:dyDescent="0.3">
      <c r="A990" t="s">
        <v>1596</v>
      </c>
      <c r="B990">
        <v>2020</v>
      </c>
      <c r="C990" t="s">
        <v>56</v>
      </c>
      <c r="D990" t="s">
        <v>93</v>
      </c>
      <c r="E990">
        <v>42708</v>
      </c>
      <c r="F990" t="s">
        <v>71</v>
      </c>
      <c r="G990">
        <v>56200</v>
      </c>
      <c r="H990" t="s">
        <v>20</v>
      </c>
      <c r="I990" t="s">
        <v>21</v>
      </c>
      <c r="J990" t="s">
        <v>668</v>
      </c>
      <c r="K990" t="s">
        <v>23</v>
      </c>
      <c r="L990" t="s">
        <v>205</v>
      </c>
      <c r="M990" t="s">
        <v>42</v>
      </c>
      <c r="N990" t="s">
        <v>26</v>
      </c>
      <c r="O990" t="s">
        <v>27</v>
      </c>
      <c r="P990" s="1">
        <v>44785</v>
      </c>
      <c r="Q990">
        <f t="shared" si="75"/>
        <v>0</v>
      </c>
      <c r="R990">
        <f t="shared" si="76"/>
        <v>0</v>
      </c>
      <c r="S990">
        <f t="shared" si="77"/>
        <v>0</v>
      </c>
      <c r="T990" s="11">
        <f t="shared" si="78"/>
        <v>2020</v>
      </c>
      <c r="U990" s="11">
        <f t="shared" si="79"/>
        <v>42708</v>
      </c>
    </row>
    <row r="991" spans="1:21" x14ac:dyDescent="0.3">
      <c r="A991" t="s">
        <v>1597</v>
      </c>
      <c r="B991">
        <v>2019</v>
      </c>
      <c r="C991" t="s">
        <v>56</v>
      </c>
      <c r="D991" t="s">
        <v>53</v>
      </c>
      <c r="E991">
        <v>37198</v>
      </c>
      <c r="F991" t="s">
        <v>65</v>
      </c>
      <c r="G991">
        <v>46900</v>
      </c>
      <c r="H991" t="s">
        <v>20</v>
      </c>
      <c r="I991" t="s">
        <v>58</v>
      </c>
      <c r="J991" t="s">
        <v>66</v>
      </c>
      <c r="K991" t="s">
        <v>23</v>
      </c>
      <c r="L991" t="s">
        <v>205</v>
      </c>
      <c r="M991" t="s">
        <v>42</v>
      </c>
      <c r="N991" t="s">
        <v>26</v>
      </c>
      <c r="O991" t="s">
        <v>27</v>
      </c>
      <c r="P991" s="1">
        <v>44785</v>
      </c>
      <c r="Q991">
        <f t="shared" si="75"/>
        <v>0</v>
      </c>
      <c r="R991">
        <f t="shared" si="76"/>
        <v>0</v>
      </c>
      <c r="S991">
        <f t="shared" si="77"/>
        <v>0</v>
      </c>
      <c r="T991" s="11">
        <f t="shared" si="78"/>
        <v>2019</v>
      </c>
      <c r="U991" s="11">
        <f t="shared" si="79"/>
        <v>37198</v>
      </c>
    </row>
    <row r="992" spans="1:21" x14ac:dyDescent="0.3">
      <c r="A992" t="s">
        <v>1598</v>
      </c>
      <c r="B992">
        <v>2019</v>
      </c>
      <c r="C992" t="s">
        <v>56</v>
      </c>
      <c r="D992" t="s">
        <v>32</v>
      </c>
      <c r="E992">
        <v>23531</v>
      </c>
      <c r="F992" t="s">
        <v>71</v>
      </c>
      <c r="G992">
        <v>55600</v>
      </c>
      <c r="H992" t="s">
        <v>77</v>
      </c>
      <c r="I992" t="s">
        <v>21</v>
      </c>
      <c r="J992" t="s">
        <v>121</v>
      </c>
      <c r="K992" t="s">
        <v>23</v>
      </c>
      <c r="L992" t="s">
        <v>205</v>
      </c>
      <c r="M992" t="s">
        <v>42</v>
      </c>
      <c r="N992" t="s">
        <v>26</v>
      </c>
      <c r="O992" t="s">
        <v>27</v>
      </c>
      <c r="P992" s="1">
        <v>44785</v>
      </c>
      <c r="Q992">
        <f t="shared" si="75"/>
        <v>0</v>
      </c>
      <c r="R992">
        <f t="shared" si="76"/>
        <v>0</v>
      </c>
      <c r="S992">
        <f t="shared" si="77"/>
        <v>0</v>
      </c>
      <c r="T992" s="11">
        <f t="shared" si="78"/>
        <v>2019</v>
      </c>
      <c r="U992" s="11">
        <f t="shared" si="79"/>
        <v>23531</v>
      </c>
    </row>
    <row r="993" spans="1:21" x14ac:dyDescent="0.3">
      <c r="A993" t="s">
        <v>1599</v>
      </c>
      <c r="B993">
        <v>2019</v>
      </c>
      <c r="C993" t="s">
        <v>29</v>
      </c>
      <c r="D993" t="s">
        <v>51</v>
      </c>
      <c r="E993">
        <v>49836</v>
      </c>
      <c r="F993" t="s">
        <v>177</v>
      </c>
      <c r="G993">
        <v>90900</v>
      </c>
      <c r="H993" t="s">
        <v>53</v>
      </c>
      <c r="I993" t="s">
        <v>110</v>
      </c>
      <c r="J993" t="s">
        <v>1600</v>
      </c>
      <c r="K993" t="s">
        <v>23</v>
      </c>
      <c r="L993" t="s">
        <v>447</v>
      </c>
      <c r="N993" t="s">
        <v>203</v>
      </c>
      <c r="O993" t="s">
        <v>27</v>
      </c>
      <c r="P993" s="1">
        <v>44785</v>
      </c>
      <c r="Q993">
        <f t="shared" si="75"/>
        <v>0</v>
      </c>
      <c r="R993">
        <f t="shared" si="76"/>
        <v>1</v>
      </c>
      <c r="S993">
        <f t="shared" si="77"/>
        <v>0</v>
      </c>
      <c r="T993" s="11">
        <f t="shared" si="78"/>
        <v>2019</v>
      </c>
      <c r="U993" s="11">
        <f t="shared" si="79"/>
        <v>49836</v>
      </c>
    </row>
    <row r="994" spans="1:21" x14ac:dyDescent="0.3">
      <c r="A994" t="s">
        <v>1601</v>
      </c>
      <c r="B994">
        <v>2019</v>
      </c>
      <c r="C994" t="s">
        <v>56</v>
      </c>
      <c r="D994" t="s">
        <v>32</v>
      </c>
      <c r="E994">
        <v>29892</v>
      </c>
      <c r="F994" t="s">
        <v>71</v>
      </c>
      <c r="G994">
        <v>55000</v>
      </c>
      <c r="H994" t="s">
        <v>20</v>
      </c>
      <c r="I994" t="s">
        <v>21</v>
      </c>
      <c r="J994" t="s">
        <v>72</v>
      </c>
      <c r="K994" t="s">
        <v>23</v>
      </c>
      <c r="L994" t="s">
        <v>24</v>
      </c>
      <c r="M994" t="s">
        <v>25</v>
      </c>
      <c r="N994" t="s">
        <v>26</v>
      </c>
      <c r="O994" t="s">
        <v>27</v>
      </c>
      <c r="P994" s="1">
        <v>44785</v>
      </c>
      <c r="Q994">
        <f t="shared" si="75"/>
        <v>0</v>
      </c>
      <c r="R994">
        <f t="shared" si="76"/>
        <v>0</v>
      </c>
      <c r="S994">
        <f t="shared" si="77"/>
        <v>0</v>
      </c>
      <c r="T994" s="11">
        <f t="shared" si="78"/>
        <v>2019</v>
      </c>
      <c r="U994" s="11">
        <f t="shared" si="79"/>
        <v>29892</v>
      </c>
    </row>
    <row r="995" spans="1:21" x14ac:dyDescent="0.3">
      <c r="A995" t="s">
        <v>1602</v>
      </c>
      <c r="B995">
        <v>2019</v>
      </c>
      <c r="C995" t="s">
        <v>56</v>
      </c>
      <c r="D995" t="s">
        <v>76</v>
      </c>
      <c r="E995">
        <v>16894</v>
      </c>
      <c r="F995" t="s">
        <v>71</v>
      </c>
      <c r="G995">
        <v>58200</v>
      </c>
      <c r="H995" t="s">
        <v>20</v>
      </c>
      <c r="I995" t="s">
        <v>21</v>
      </c>
      <c r="J995" t="s">
        <v>1603</v>
      </c>
      <c r="K995" t="s">
        <v>23</v>
      </c>
      <c r="L995" t="s">
        <v>447</v>
      </c>
      <c r="N995" t="s">
        <v>203</v>
      </c>
      <c r="O995" t="s">
        <v>27</v>
      </c>
      <c r="P995" s="1">
        <v>44785</v>
      </c>
      <c r="Q995">
        <f t="shared" si="75"/>
        <v>0</v>
      </c>
      <c r="R995">
        <f t="shared" si="76"/>
        <v>0</v>
      </c>
      <c r="S995">
        <f t="shared" si="77"/>
        <v>0</v>
      </c>
      <c r="T995" s="11">
        <f t="shared" si="78"/>
        <v>2019</v>
      </c>
      <c r="U995" s="11">
        <f t="shared" si="79"/>
        <v>16894</v>
      </c>
    </row>
    <row r="996" spans="1:21" x14ac:dyDescent="0.3">
      <c r="A996" t="s">
        <v>1604</v>
      </c>
      <c r="B996">
        <v>2020</v>
      </c>
      <c r="C996" t="s">
        <v>56</v>
      </c>
      <c r="D996" t="s">
        <v>32</v>
      </c>
      <c r="E996">
        <v>26889</v>
      </c>
      <c r="F996" t="s">
        <v>57</v>
      </c>
      <c r="G996">
        <v>54300</v>
      </c>
      <c r="H996" t="s">
        <v>20</v>
      </c>
      <c r="I996" t="s">
        <v>78</v>
      </c>
      <c r="J996" t="s">
        <v>275</v>
      </c>
      <c r="K996" t="s">
        <v>23</v>
      </c>
      <c r="L996" t="s">
        <v>600</v>
      </c>
      <c r="N996" t="s">
        <v>26</v>
      </c>
      <c r="O996" t="s">
        <v>27</v>
      </c>
      <c r="P996" s="1">
        <v>44785</v>
      </c>
      <c r="Q996">
        <f t="shared" si="75"/>
        <v>0</v>
      </c>
      <c r="R996">
        <f t="shared" si="76"/>
        <v>0</v>
      </c>
      <c r="S996">
        <f t="shared" si="77"/>
        <v>0</v>
      </c>
      <c r="T996" s="11">
        <f t="shared" si="78"/>
        <v>2020</v>
      </c>
      <c r="U996" s="11">
        <f t="shared" si="79"/>
        <v>26889</v>
      </c>
    </row>
    <row r="997" spans="1:21" x14ac:dyDescent="0.3">
      <c r="A997" t="s">
        <v>1605</v>
      </c>
      <c r="B997">
        <v>2019</v>
      </c>
      <c r="C997" t="s">
        <v>56</v>
      </c>
      <c r="D997" t="s">
        <v>93</v>
      </c>
      <c r="E997">
        <v>20862</v>
      </c>
      <c r="F997" t="s">
        <v>65</v>
      </c>
      <c r="G997">
        <v>47500</v>
      </c>
      <c r="H997" t="s">
        <v>77</v>
      </c>
      <c r="I997" t="s">
        <v>78</v>
      </c>
      <c r="J997" t="s">
        <v>697</v>
      </c>
      <c r="K997" t="s">
        <v>23</v>
      </c>
      <c r="L997" t="s">
        <v>47</v>
      </c>
      <c r="M997" t="s">
        <v>48</v>
      </c>
      <c r="N997" t="s">
        <v>49</v>
      </c>
      <c r="O997" t="s">
        <v>27</v>
      </c>
      <c r="P997" s="1">
        <v>44785</v>
      </c>
      <c r="Q997">
        <f t="shared" si="75"/>
        <v>0</v>
      </c>
      <c r="R997">
        <f t="shared" si="76"/>
        <v>0</v>
      </c>
      <c r="S997">
        <f t="shared" si="77"/>
        <v>0</v>
      </c>
      <c r="T997" s="11">
        <f t="shared" si="78"/>
        <v>2019</v>
      </c>
      <c r="U997" s="11">
        <f t="shared" si="79"/>
        <v>20862</v>
      </c>
    </row>
    <row r="998" spans="1:21" x14ac:dyDescent="0.3">
      <c r="A998" t="s">
        <v>1606</v>
      </c>
      <c r="B998">
        <v>2019</v>
      </c>
      <c r="C998" t="s">
        <v>56</v>
      </c>
      <c r="D998" t="s">
        <v>53</v>
      </c>
      <c r="E998">
        <v>28951</v>
      </c>
      <c r="F998" t="s">
        <v>71</v>
      </c>
      <c r="G998">
        <v>55600</v>
      </c>
      <c r="H998" t="s">
        <v>77</v>
      </c>
      <c r="I998" t="s">
        <v>21</v>
      </c>
      <c r="J998" t="s">
        <v>496</v>
      </c>
      <c r="K998" t="s">
        <v>23</v>
      </c>
      <c r="L998" t="s">
        <v>456</v>
      </c>
      <c r="M998" t="s">
        <v>164</v>
      </c>
      <c r="N998" t="s">
        <v>26</v>
      </c>
      <c r="O998" t="s">
        <v>27</v>
      </c>
      <c r="P998" s="1">
        <v>44785</v>
      </c>
      <c r="Q998">
        <f t="shared" si="75"/>
        <v>0</v>
      </c>
      <c r="R998">
        <f t="shared" si="76"/>
        <v>0</v>
      </c>
      <c r="S998">
        <f t="shared" si="77"/>
        <v>0</v>
      </c>
      <c r="T998" s="11">
        <f t="shared" si="78"/>
        <v>2019</v>
      </c>
      <c r="U998" s="11">
        <f t="shared" si="79"/>
        <v>28951</v>
      </c>
    </row>
    <row r="999" spans="1:21" x14ac:dyDescent="0.3">
      <c r="A999" t="s">
        <v>1607</v>
      </c>
      <c r="B999">
        <v>2019</v>
      </c>
      <c r="C999" t="s">
        <v>56</v>
      </c>
      <c r="D999" t="s">
        <v>93</v>
      </c>
      <c r="E999">
        <v>46766</v>
      </c>
      <c r="F999" t="s">
        <v>57</v>
      </c>
      <c r="G999">
        <v>50100</v>
      </c>
      <c r="H999" t="s">
        <v>77</v>
      </c>
      <c r="I999" t="s">
        <v>58</v>
      </c>
      <c r="J999" t="s">
        <v>232</v>
      </c>
      <c r="K999" t="s">
        <v>23</v>
      </c>
      <c r="L999" t="s">
        <v>779</v>
      </c>
      <c r="M999" t="s">
        <v>780</v>
      </c>
      <c r="N999" t="s">
        <v>256</v>
      </c>
      <c r="O999" t="s">
        <v>27</v>
      </c>
      <c r="P999" s="1">
        <v>44785</v>
      </c>
      <c r="Q999">
        <f t="shared" si="75"/>
        <v>0</v>
      </c>
      <c r="R999">
        <f t="shared" si="76"/>
        <v>0</v>
      </c>
      <c r="S999">
        <f t="shared" si="77"/>
        <v>0</v>
      </c>
      <c r="T999" s="11">
        <f t="shared" si="78"/>
        <v>2019</v>
      </c>
      <c r="U999" s="11">
        <f t="shared" si="79"/>
        <v>46766</v>
      </c>
    </row>
    <row r="1000" spans="1:21" x14ac:dyDescent="0.3">
      <c r="A1000" t="s">
        <v>1608</v>
      </c>
      <c r="B1000">
        <v>2019</v>
      </c>
      <c r="C1000" t="s">
        <v>56</v>
      </c>
      <c r="D1000" t="s">
        <v>53</v>
      </c>
      <c r="E1000">
        <v>24088</v>
      </c>
      <c r="F1000" t="s">
        <v>65</v>
      </c>
      <c r="G1000">
        <v>51200</v>
      </c>
      <c r="H1000" t="s">
        <v>77</v>
      </c>
      <c r="I1000" t="s">
        <v>58</v>
      </c>
      <c r="J1000" t="s">
        <v>126</v>
      </c>
      <c r="K1000" t="s">
        <v>23</v>
      </c>
      <c r="L1000" t="s">
        <v>513</v>
      </c>
      <c r="M1000" t="s">
        <v>42</v>
      </c>
      <c r="N1000" t="s">
        <v>26</v>
      </c>
      <c r="O1000" t="s">
        <v>27</v>
      </c>
      <c r="P1000" s="1">
        <v>44785</v>
      </c>
      <c r="Q1000">
        <f t="shared" si="75"/>
        <v>0</v>
      </c>
      <c r="R1000">
        <f t="shared" si="76"/>
        <v>0</v>
      </c>
      <c r="S1000">
        <f t="shared" si="77"/>
        <v>0</v>
      </c>
      <c r="T1000" s="11">
        <f t="shared" si="78"/>
        <v>2019</v>
      </c>
      <c r="U1000" s="11">
        <f t="shared" si="79"/>
        <v>24088</v>
      </c>
    </row>
    <row r="1001" spans="1:21" x14ac:dyDescent="0.3">
      <c r="A1001" t="s">
        <v>1609</v>
      </c>
      <c r="B1001">
        <v>2020</v>
      </c>
      <c r="C1001" t="s">
        <v>56</v>
      </c>
      <c r="D1001" t="s">
        <v>32</v>
      </c>
      <c r="E1001">
        <v>21459</v>
      </c>
      <c r="F1001" t="s">
        <v>65</v>
      </c>
      <c r="G1001">
        <v>50500</v>
      </c>
      <c r="H1001" t="s">
        <v>20</v>
      </c>
      <c r="I1001" t="s">
        <v>58</v>
      </c>
      <c r="J1001" t="s">
        <v>192</v>
      </c>
      <c r="K1001" t="s">
        <v>23</v>
      </c>
      <c r="L1001" t="s">
        <v>47</v>
      </c>
      <c r="M1001" t="s">
        <v>48</v>
      </c>
      <c r="N1001" t="s">
        <v>49</v>
      </c>
      <c r="O1001" t="s">
        <v>27</v>
      </c>
      <c r="P1001" s="1">
        <v>44785</v>
      </c>
      <c r="Q1001">
        <f t="shared" si="75"/>
        <v>0</v>
      </c>
      <c r="R1001">
        <f t="shared" si="76"/>
        <v>0</v>
      </c>
      <c r="S1001">
        <f t="shared" si="77"/>
        <v>0</v>
      </c>
      <c r="T1001" s="11">
        <f t="shared" si="78"/>
        <v>2020</v>
      </c>
      <c r="U1001" s="11">
        <f t="shared" si="79"/>
        <v>21459</v>
      </c>
    </row>
    <row r="1002" spans="1:21" x14ac:dyDescent="0.3">
      <c r="A1002" t="s">
        <v>1610</v>
      </c>
      <c r="B1002">
        <v>2019</v>
      </c>
      <c r="C1002" t="s">
        <v>56</v>
      </c>
      <c r="D1002" t="s">
        <v>76</v>
      </c>
      <c r="E1002">
        <v>14970</v>
      </c>
      <c r="F1002" t="s">
        <v>65</v>
      </c>
      <c r="G1002">
        <v>47900</v>
      </c>
      <c r="H1002" t="s">
        <v>20</v>
      </c>
      <c r="I1002" t="s">
        <v>78</v>
      </c>
      <c r="J1002" t="s">
        <v>895</v>
      </c>
      <c r="K1002" t="s">
        <v>23</v>
      </c>
      <c r="L1002" t="s">
        <v>456</v>
      </c>
      <c r="M1002" t="s">
        <v>164</v>
      </c>
      <c r="N1002" t="s">
        <v>26</v>
      </c>
      <c r="O1002" t="s">
        <v>27</v>
      </c>
      <c r="P1002" s="1">
        <v>44785</v>
      </c>
      <c r="Q1002">
        <f t="shared" si="75"/>
        <v>0</v>
      </c>
      <c r="R1002">
        <f t="shared" si="76"/>
        <v>0</v>
      </c>
      <c r="S1002">
        <f t="shared" si="77"/>
        <v>0</v>
      </c>
      <c r="T1002" s="11">
        <f t="shared" si="78"/>
        <v>2019</v>
      </c>
      <c r="U1002" s="11">
        <f t="shared" si="79"/>
        <v>14970</v>
      </c>
    </row>
    <row r="1003" spans="1:21" x14ac:dyDescent="0.3">
      <c r="A1003" t="s">
        <v>1611</v>
      </c>
      <c r="B1003">
        <v>2019</v>
      </c>
      <c r="C1003" t="s">
        <v>56</v>
      </c>
      <c r="D1003" t="s">
        <v>93</v>
      </c>
      <c r="E1003">
        <v>19130</v>
      </c>
      <c r="F1003" t="s">
        <v>57</v>
      </c>
      <c r="G1003">
        <v>50800</v>
      </c>
      <c r="H1003" t="s">
        <v>20</v>
      </c>
      <c r="I1003" t="s">
        <v>58</v>
      </c>
      <c r="J1003" t="s">
        <v>842</v>
      </c>
      <c r="K1003" t="s">
        <v>23</v>
      </c>
      <c r="L1003" t="s">
        <v>84</v>
      </c>
      <c r="M1003" t="s">
        <v>48</v>
      </c>
      <c r="N1003" t="s">
        <v>69</v>
      </c>
      <c r="O1003" t="s">
        <v>27</v>
      </c>
      <c r="P1003" s="1">
        <v>44785</v>
      </c>
      <c r="Q1003">
        <f t="shared" si="75"/>
        <v>0</v>
      </c>
      <c r="R1003">
        <f t="shared" si="76"/>
        <v>0</v>
      </c>
      <c r="S1003">
        <f t="shared" si="77"/>
        <v>0</v>
      </c>
      <c r="T1003" s="11">
        <f t="shared" si="78"/>
        <v>2019</v>
      </c>
      <c r="U1003" s="11">
        <f t="shared" si="79"/>
        <v>19130</v>
      </c>
    </row>
    <row r="1004" spans="1:21" x14ac:dyDescent="0.3">
      <c r="A1004" t="s">
        <v>1612</v>
      </c>
      <c r="B1004">
        <v>2020</v>
      </c>
      <c r="C1004" t="s">
        <v>56</v>
      </c>
      <c r="D1004" t="s">
        <v>32</v>
      </c>
      <c r="E1004">
        <v>44376</v>
      </c>
      <c r="F1004" t="s">
        <v>57</v>
      </c>
      <c r="G1004">
        <v>60000</v>
      </c>
      <c r="H1004" t="s">
        <v>77</v>
      </c>
      <c r="I1004" t="s">
        <v>78</v>
      </c>
      <c r="J1004" t="s">
        <v>650</v>
      </c>
      <c r="K1004" t="s">
        <v>23</v>
      </c>
      <c r="L1004" t="s">
        <v>183</v>
      </c>
      <c r="M1004" t="s">
        <v>25</v>
      </c>
      <c r="N1004" t="s">
        <v>26</v>
      </c>
      <c r="O1004" t="s">
        <v>27</v>
      </c>
      <c r="P1004" s="1">
        <v>44785</v>
      </c>
      <c r="Q1004">
        <f t="shared" si="75"/>
        <v>0</v>
      </c>
      <c r="R1004">
        <f t="shared" si="76"/>
        <v>0</v>
      </c>
      <c r="S1004">
        <f t="shared" si="77"/>
        <v>0</v>
      </c>
      <c r="T1004" s="11">
        <f t="shared" si="78"/>
        <v>2020</v>
      </c>
      <c r="U1004" s="11">
        <f t="shared" si="79"/>
        <v>44376</v>
      </c>
    </row>
    <row r="1005" spans="1:21" x14ac:dyDescent="0.3">
      <c r="A1005" t="s">
        <v>1613</v>
      </c>
      <c r="B1005">
        <v>2019</v>
      </c>
      <c r="C1005" t="s">
        <v>56</v>
      </c>
      <c r="D1005" t="s">
        <v>93</v>
      </c>
      <c r="E1005">
        <v>23158</v>
      </c>
      <c r="F1005" t="s">
        <v>57</v>
      </c>
      <c r="G1005">
        <v>50900</v>
      </c>
      <c r="H1005" t="s">
        <v>77</v>
      </c>
      <c r="I1005" t="s">
        <v>78</v>
      </c>
      <c r="J1005" t="s">
        <v>280</v>
      </c>
      <c r="K1005" t="s">
        <v>23</v>
      </c>
      <c r="L1005" t="s">
        <v>47</v>
      </c>
      <c r="M1005" t="s">
        <v>48</v>
      </c>
      <c r="N1005" t="s">
        <v>49</v>
      </c>
      <c r="O1005" t="s">
        <v>27</v>
      </c>
      <c r="P1005" s="1">
        <v>44785</v>
      </c>
      <c r="Q1005">
        <f t="shared" si="75"/>
        <v>0</v>
      </c>
      <c r="R1005">
        <f t="shared" si="76"/>
        <v>0</v>
      </c>
      <c r="S1005">
        <f t="shared" si="77"/>
        <v>0</v>
      </c>
      <c r="T1005" s="11">
        <f t="shared" si="78"/>
        <v>2019</v>
      </c>
      <c r="U1005" s="11">
        <f t="shared" si="79"/>
        <v>23158</v>
      </c>
    </row>
    <row r="1006" spans="1:21" x14ac:dyDescent="0.3">
      <c r="A1006" t="s">
        <v>1614</v>
      </c>
      <c r="B1006">
        <v>2019</v>
      </c>
      <c r="C1006" t="s">
        <v>56</v>
      </c>
      <c r="D1006" t="s">
        <v>53</v>
      </c>
      <c r="E1006">
        <v>23089</v>
      </c>
      <c r="F1006" t="s">
        <v>65</v>
      </c>
      <c r="G1006">
        <v>46500</v>
      </c>
      <c r="H1006" t="s">
        <v>77</v>
      </c>
      <c r="I1006" t="s">
        <v>58</v>
      </c>
      <c r="J1006" t="s">
        <v>126</v>
      </c>
      <c r="K1006" t="s">
        <v>23</v>
      </c>
      <c r="L1006" t="s">
        <v>183</v>
      </c>
      <c r="M1006" t="s">
        <v>25</v>
      </c>
      <c r="N1006" t="s">
        <v>26</v>
      </c>
      <c r="O1006" t="s">
        <v>27</v>
      </c>
      <c r="P1006" s="1">
        <v>44785</v>
      </c>
      <c r="Q1006">
        <f t="shared" si="75"/>
        <v>0</v>
      </c>
      <c r="R1006">
        <f t="shared" si="76"/>
        <v>0</v>
      </c>
      <c r="S1006">
        <f t="shared" si="77"/>
        <v>0</v>
      </c>
      <c r="T1006" s="11">
        <f t="shared" si="78"/>
        <v>2019</v>
      </c>
      <c r="U1006" s="11">
        <f t="shared" si="79"/>
        <v>23089</v>
      </c>
    </row>
    <row r="1007" spans="1:21" x14ac:dyDescent="0.3">
      <c r="A1007" t="s">
        <v>1615</v>
      </c>
      <c r="B1007">
        <v>2019</v>
      </c>
      <c r="C1007" t="s">
        <v>56</v>
      </c>
      <c r="D1007" t="s">
        <v>32</v>
      </c>
      <c r="E1007">
        <v>39431</v>
      </c>
      <c r="F1007" t="s">
        <v>57</v>
      </c>
      <c r="G1007">
        <v>52100</v>
      </c>
      <c r="H1007" t="s">
        <v>20</v>
      </c>
      <c r="I1007" t="s">
        <v>58</v>
      </c>
      <c r="J1007" t="s">
        <v>168</v>
      </c>
      <c r="K1007" t="s">
        <v>23</v>
      </c>
      <c r="L1007" t="s">
        <v>84</v>
      </c>
      <c r="M1007" t="s">
        <v>48</v>
      </c>
      <c r="N1007" t="s">
        <v>69</v>
      </c>
      <c r="O1007" t="s">
        <v>27</v>
      </c>
      <c r="P1007" s="1">
        <v>44785</v>
      </c>
      <c r="Q1007">
        <f t="shared" si="75"/>
        <v>0</v>
      </c>
      <c r="R1007">
        <f t="shared" si="76"/>
        <v>0</v>
      </c>
      <c r="S1007">
        <f t="shared" si="77"/>
        <v>0</v>
      </c>
      <c r="T1007" s="11">
        <f t="shared" si="78"/>
        <v>2019</v>
      </c>
      <c r="U1007" s="11">
        <f t="shared" si="79"/>
        <v>39431</v>
      </c>
    </row>
    <row r="1008" spans="1:21" x14ac:dyDescent="0.3">
      <c r="A1008" t="s">
        <v>1616</v>
      </c>
      <c r="B1008">
        <v>2021</v>
      </c>
      <c r="C1008" t="s">
        <v>56</v>
      </c>
      <c r="D1008" t="s">
        <v>53</v>
      </c>
      <c r="E1008">
        <v>21727</v>
      </c>
      <c r="F1008" t="s">
        <v>143</v>
      </c>
      <c r="G1008">
        <v>69600</v>
      </c>
      <c r="H1008" t="s">
        <v>20</v>
      </c>
      <c r="J1008" t="s">
        <v>223</v>
      </c>
      <c r="K1008" t="s">
        <v>23</v>
      </c>
      <c r="L1008" t="s">
        <v>363</v>
      </c>
      <c r="M1008" t="s">
        <v>364</v>
      </c>
      <c r="N1008" t="s">
        <v>245</v>
      </c>
      <c r="O1008" t="s">
        <v>27</v>
      </c>
      <c r="P1008" s="1">
        <v>44785</v>
      </c>
      <c r="Q1008">
        <f t="shared" si="75"/>
        <v>0</v>
      </c>
      <c r="R1008">
        <f t="shared" si="76"/>
        <v>0</v>
      </c>
      <c r="S1008">
        <f t="shared" si="77"/>
        <v>0</v>
      </c>
      <c r="T1008" s="11">
        <f t="shared" si="78"/>
        <v>2021</v>
      </c>
      <c r="U1008" s="11">
        <f t="shared" si="79"/>
        <v>21727</v>
      </c>
    </row>
    <row r="1009" spans="1:21" x14ac:dyDescent="0.3">
      <c r="A1009" t="s">
        <v>1617</v>
      </c>
      <c r="B1009">
        <v>2020</v>
      </c>
      <c r="C1009" t="s">
        <v>56</v>
      </c>
      <c r="D1009" t="s">
        <v>32</v>
      </c>
      <c r="E1009">
        <v>43879</v>
      </c>
      <c r="F1009" t="s">
        <v>71</v>
      </c>
      <c r="G1009">
        <v>53000</v>
      </c>
      <c r="H1009" t="s">
        <v>20</v>
      </c>
      <c r="I1009" t="s">
        <v>58</v>
      </c>
      <c r="J1009" t="s">
        <v>373</v>
      </c>
      <c r="K1009" t="s">
        <v>23</v>
      </c>
      <c r="L1009" t="s">
        <v>1380</v>
      </c>
      <c r="M1009" t="s">
        <v>1381</v>
      </c>
      <c r="N1009" t="s">
        <v>102</v>
      </c>
      <c r="O1009" t="s">
        <v>27</v>
      </c>
      <c r="P1009" s="1">
        <v>44785</v>
      </c>
      <c r="Q1009">
        <f t="shared" si="75"/>
        <v>0</v>
      </c>
      <c r="R1009">
        <f t="shared" si="76"/>
        <v>0</v>
      </c>
      <c r="S1009">
        <f t="shared" si="77"/>
        <v>0</v>
      </c>
      <c r="T1009" s="11">
        <f t="shared" si="78"/>
        <v>2020</v>
      </c>
      <c r="U1009" s="11">
        <f t="shared" si="79"/>
        <v>43879</v>
      </c>
    </row>
    <row r="1010" spans="1:21" x14ac:dyDescent="0.3">
      <c r="A1010" t="s">
        <v>1618</v>
      </c>
      <c r="B1010">
        <v>2021</v>
      </c>
      <c r="C1010" t="s">
        <v>17</v>
      </c>
      <c r="D1010" t="s">
        <v>30</v>
      </c>
      <c r="E1010">
        <v>28490</v>
      </c>
      <c r="F1010" t="s">
        <v>189</v>
      </c>
      <c r="G1010">
        <v>73000</v>
      </c>
      <c r="H1010" t="s">
        <v>77</v>
      </c>
      <c r="I1010" t="s">
        <v>39</v>
      </c>
      <c r="J1010" t="s">
        <v>1619</v>
      </c>
      <c r="K1010" t="s">
        <v>23</v>
      </c>
      <c r="L1010" t="s">
        <v>60</v>
      </c>
      <c r="M1010" t="s">
        <v>48</v>
      </c>
      <c r="N1010" t="s">
        <v>49</v>
      </c>
      <c r="O1010" t="s">
        <v>27</v>
      </c>
      <c r="P1010" s="1">
        <v>44785</v>
      </c>
      <c r="Q1010">
        <f t="shared" si="75"/>
        <v>0</v>
      </c>
      <c r="R1010">
        <f t="shared" si="76"/>
        <v>0</v>
      </c>
      <c r="S1010">
        <f t="shared" si="77"/>
        <v>1</v>
      </c>
      <c r="T1010" s="11">
        <f t="shared" si="78"/>
        <v>2021</v>
      </c>
      <c r="U1010" s="11">
        <f t="shared" si="79"/>
        <v>28490</v>
      </c>
    </row>
    <row r="1011" spans="1:21" x14ac:dyDescent="0.3">
      <c r="A1011" t="s">
        <v>1620</v>
      </c>
      <c r="B1011">
        <v>2021</v>
      </c>
      <c r="C1011" t="s">
        <v>17</v>
      </c>
      <c r="D1011" t="s">
        <v>32</v>
      </c>
      <c r="E1011">
        <v>17258</v>
      </c>
      <c r="F1011" t="s">
        <v>19</v>
      </c>
      <c r="G1011">
        <v>75700</v>
      </c>
      <c r="H1011" t="s">
        <v>20</v>
      </c>
      <c r="I1011" t="s">
        <v>21</v>
      </c>
      <c r="J1011" t="s">
        <v>429</v>
      </c>
      <c r="K1011" t="s">
        <v>23</v>
      </c>
      <c r="L1011" t="s">
        <v>197</v>
      </c>
      <c r="M1011" t="s">
        <v>198</v>
      </c>
      <c r="N1011" t="s">
        <v>26</v>
      </c>
      <c r="O1011" t="s">
        <v>27</v>
      </c>
      <c r="P1011" s="1">
        <v>44784</v>
      </c>
      <c r="Q1011">
        <f t="shared" si="75"/>
        <v>0</v>
      </c>
      <c r="R1011">
        <f t="shared" si="76"/>
        <v>0</v>
      </c>
      <c r="S1011">
        <f t="shared" si="77"/>
        <v>1</v>
      </c>
      <c r="T1011" s="11">
        <f t="shared" si="78"/>
        <v>2021</v>
      </c>
      <c r="U1011" s="11">
        <f t="shared" si="79"/>
        <v>17258</v>
      </c>
    </row>
    <row r="1012" spans="1:21" x14ac:dyDescent="0.3">
      <c r="A1012" t="s">
        <v>1621</v>
      </c>
      <c r="B1012">
        <v>2020</v>
      </c>
      <c r="C1012" t="s">
        <v>29</v>
      </c>
      <c r="D1012" t="s">
        <v>32</v>
      </c>
      <c r="E1012">
        <v>20481</v>
      </c>
      <c r="F1012" t="s">
        <v>31</v>
      </c>
      <c r="G1012">
        <v>119400</v>
      </c>
      <c r="H1012" t="s">
        <v>32</v>
      </c>
      <c r="I1012" t="s">
        <v>110</v>
      </c>
      <c r="J1012" t="s">
        <v>111</v>
      </c>
      <c r="K1012" t="s">
        <v>23</v>
      </c>
      <c r="L1012" t="s">
        <v>509</v>
      </c>
      <c r="N1012" t="s">
        <v>26</v>
      </c>
      <c r="O1012" t="s">
        <v>27</v>
      </c>
      <c r="P1012" s="1">
        <v>44784</v>
      </c>
      <c r="Q1012">
        <f t="shared" si="75"/>
        <v>0</v>
      </c>
      <c r="R1012">
        <f t="shared" si="76"/>
        <v>1</v>
      </c>
      <c r="S1012">
        <f t="shared" si="77"/>
        <v>0</v>
      </c>
      <c r="T1012" s="11">
        <f t="shared" si="78"/>
        <v>2020</v>
      </c>
      <c r="U1012" s="11">
        <f t="shared" si="79"/>
        <v>20481</v>
      </c>
    </row>
    <row r="1013" spans="1:21" x14ac:dyDescent="0.3">
      <c r="A1013" t="s">
        <v>1622</v>
      </c>
      <c r="B1013">
        <v>2018</v>
      </c>
      <c r="C1013" t="s">
        <v>29</v>
      </c>
      <c r="D1013" t="s">
        <v>51</v>
      </c>
      <c r="E1013">
        <v>42958</v>
      </c>
      <c r="F1013" t="s">
        <v>104</v>
      </c>
      <c r="G1013">
        <v>77900</v>
      </c>
      <c r="H1013" t="s">
        <v>53</v>
      </c>
      <c r="I1013" t="s">
        <v>21</v>
      </c>
      <c r="J1013" t="s">
        <v>1623</v>
      </c>
      <c r="K1013" t="s">
        <v>23</v>
      </c>
      <c r="L1013" t="s">
        <v>205</v>
      </c>
      <c r="M1013" t="s">
        <v>42</v>
      </c>
      <c r="N1013" t="s">
        <v>26</v>
      </c>
      <c r="O1013" t="s">
        <v>27</v>
      </c>
      <c r="P1013" s="1">
        <v>44784</v>
      </c>
      <c r="Q1013">
        <f t="shared" si="75"/>
        <v>0</v>
      </c>
      <c r="R1013">
        <f t="shared" si="76"/>
        <v>1</v>
      </c>
      <c r="S1013">
        <f t="shared" si="77"/>
        <v>0</v>
      </c>
      <c r="T1013" s="11">
        <f t="shared" si="78"/>
        <v>2018</v>
      </c>
      <c r="U1013" s="11">
        <f t="shared" si="79"/>
        <v>42958</v>
      </c>
    </row>
    <row r="1014" spans="1:21" x14ac:dyDescent="0.3">
      <c r="A1014" t="s">
        <v>1624</v>
      </c>
      <c r="B1014">
        <v>2019</v>
      </c>
      <c r="C1014" t="s">
        <v>56</v>
      </c>
      <c r="D1014" t="s">
        <v>93</v>
      </c>
      <c r="E1014">
        <v>39726</v>
      </c>
      <c r="F1014" t="s">
        <v>57</v>
      </c>
      <c r="G1014">
        <v>50200</v>
      </c>
      <c r="H1014" t="s">
        <v>77</v>
      </c>
      <c r="I1014" t="s">
        <v>58</v>
      </c>
      <c r="J1014" t="s">
        <v>232</v>
      </c>
      <c r="K1014" t="s">
        <v>23</v>
      </c>
      <c r="L1014" t="s">
        <v>197</v>
      </c>
      <c r="M1014" t="s">
        <v>198</v>
      </c>
      <c r="N1014" t="s">
        <v>26</v>
      </c>
      <c r="O1014" t="s">
        <v>27</v>
      </c>
      <c r="P1014" s="1">
        <v>44784</v>
      </c>
      <c r="Q1014">
        <f t="shared" si="75"/>
        <v>0</v>
      </c>
      <c r="R1014">
        <f t="shared" si="76"/>
        <v>0</v>
      </c>
      <c r="S1014">
        <f t="shared" si="77"/>
        <v>0</v>
      </c>
      <c r="T1014" s="11">
        <f t="shared" si="78"/>
        <v>2019</v>
      </c>
      <c r="U1014" s="11">
        <f t="shared" si="79"/>
        <v>39726</v>
      </c>
    </row>
    <row r="1015" spans="1:21" x14ac:dyDescent="0.3">
      <c r="A1015" t="s">
        <v>1625</v>
      </c>
      <c r="B1015">
        <v>2019</v>
      </c>
      <c r="C1015" t="s">
        <v>56</v>
      </c>
      <c r="D1015" t="s">
        <v>32</v>
      </c>
      <c r="E1015">
        <v>39183</v>
      </c>
      <c r="F1015" t="s">
        <v>57</v>
      </c>
      <c r="G1015">
        <v>49600</v>
      </c>
      <c r="H1015" t="s">
        <v>77</v>
      </c>
      <c r="I1015" t="s">
        <v>58</v>
      </c>
      <c r="J1015" t="s">
        <v>411</v>
      </c>
      <c r="K1015" t="s">
        <v>23</v>
      </c>
      <c r="L1015" t="s">
        <v>456</v>
      </c>
      <c r="M1015" t="s">
        <v>164</v>
      </c>
      <c r="N1015" t="s">
        <v>26</v>
      </c>
      <c r="O1015" t="s">
        <v>27</v>
      </c>
      <c r="P1015" s="1">
        <v>44784</v>
      </c>
      <c r="Q1015">
        <f t="shared" si="75"/>
        <v>0</v>
      </c>
      <c r="R1015">
        <f t="shared" si="76"/>
        <v>0</v>
      </c>
      <c r="S1015">
        <f t="shared" si="77"/>
        <v>0</v>
      </c>
      <c r="T1015" s="11">
        <f t="shared" si="78"/>
        <v>2019</v>
      </c>
      <c r="U1015" s="11">
        <f t="shared" si="79"/>
        <v>39183</v>
      </c>
    </row>
    <row r="1016" spans="1:21" x14ac:dyDescent="0.3">
      <c r="A1016" t="s">
        <v>1626</v>
      </c>
      <c r="B1016">
        <v>2019</v>
      </c>
      <c r="C1016" t="s">
        <v>37</v>
      </c>
      <c r="D1016" t="s">
        <v>51</v>
      </c>
      <c r="E1016">
        <v>8828</v>
      </c>
      <c r="F1016" t="s">
        <v>270</v>
      </c>
      <c r="G1016">
        <v>96100</v>
      </c>
      <c r="H1016" t="s">
        <v>53</v>
      </c>
      <c r="I1016" t="s">
        <v>39</v>
      </c>
      <c r="J1016" t="s">
        <v>1627</v>
      </c>
      <c r="K1016" t="s">
        <v>23</v>
      </c>
      <c r="L1016" t="s">
        <v>205</v>
      </c>
      <c r="M1016" t="s">
        <v>42</v>
      </c>
      <c r="N1016" t="s">
        <v>26</v>
      </c>
      <c r="O1016" t="s">
        <v>27</v>
      </c>
      <c r="P1016" s="1">
        <v>44784</v>
      </c>
      <c r="Q1016">
        <f t="shared" si="75"/>
        <v>1</v>
      </c>
      <c r="R1016">
        <f t="shared" si="76"/>
        <v>0</v>
      </c>
      <c r="S1016">
        <f t="shared" si="77"/>
        <v>0</v>
      </c>
      <c r="T1016" s="11">
        <f t="shared" si="78"/>
        <v>2019</v>
      </c>
      <c r="U1016" s="11">
        <f t="shared" si="79"/>
        <v>8828</v>
      </c>
    </row>
    <row r="1017" spans="1:21" x14ac:dyDescent="0.3">
      <c r="A1017" t="s">
        <v>1628</v>
      </c>
      <c r="B1017">
        <v>2018</v>
      </c>
      <c r="C1017" t="s">
        <v>37</v>
      </c>
      <c r="D1017" t="s">
        <v>32</v>
      </c>
      <c r="E1017">
        <v>53093</v>
      </c>
      <c r="F1017" t="s">
        <v>52</v>
      </c>
      <c r="G1017">
        <v>76600</v>
      </c>
      <c r="H1017" t="s">
        <v>53</v>
      </c>
      <c r="I1017" t="s">
        <v>78</v>
      </c>
      <c r="J1017" t="s">
        <v>440</v>
      </c>
      <c r="K1017" t="s">
        <v>23</v>
      </c>
      <c r="L1017" t="s">
        <v>197</v>
      </c>
      <c r="M1017" t="s">
        <v>198</v>
      </c>
      <c r="N1017" t="s">
        <v>26</v>
      </c>
      <c r="O1017" t="s">
        <v>27</v>
      </c>
      <c r="P1017" s="1">
        <v>44784</v>
      </c>
      <c r="Q1017">
        <f t="shared" si="75"/>
        <v>1</v>
      </c>
      <c r="R1017">
        <f t="shared" si="76"/>
        <v>0</v>
      </c>
      <c r="S1017">
        <f t="shared" si="77"/>
        <v>0</v>
      </c>
      <c r="T1017" s="11">
        <f t="shared" si="78"/>
        <v>2018</v>
      </c>
      <c r="U1017" s="11">
        <f t="shared" si="79"/>
        <v>53093</v>
      </c>
    </row>
    <row r="1018" spans="1:21" x14ac:dyDescent="0.3">
      <c r="A1018" t="s">
        <v>1629</v>
      </c>
      <c r="B1018">
        <v>2021</v>
      </c>
      <c r="C1018" t="s">
        <v>56</v>
      </c>
      <c r="D1018" t="s">
        <v>53</v>
      </c>
      <c r="E1018">
        <v>3692</v>
      </c>
      <c r="F1018" t="s">
        <v>57</v>
      </c>
      <c r="G1018">
        <v>68200</v>
      </c>
      <c r="H1018" t="s">
        <v>77</v>
      </c>
      <c r="I1018" t="s">
        <v>58</v>
      </c>
      <c r="J1018" t="s">
        <v>770</v>
      </c>
      <c r="K1018" t="s">
        <v>23</v>
      </c>
      <c r="L1018" t="s">
        <v>24</v>
      </c>
      <c r="M1018" t="s">
        <v>25</v>
      </c>
      <c r="N1018" t="s">
        <v>26</v>
      </c>
      <c r="O1018" t="s">
        <v>27</v>
      </c>
      <c r="P1018" s="1">
        <v>44784</v>
      </c>
      <c r="Q1018">
        <f t="shared" si="75"/>
        <v>0</v>
      </c>
      <c r="R1018">
        <f t="shared" si="76"/>
        <v>0</v>
      </c>
      <c r="S1018">
        <f t="shared" si="77"/>
        <v>0</v>
      </c>
      <c r="T1018" s="11">
        <f t="shared" si="78"/>
        <v>2021</v>
      </c>
      <c r="U1018" s="11">
        <f t="shared" si="79"/>
        <v>3692</v>
      </c>
    </row>
    <row r="1019" spans="1:21" x14ac:dyDescent="0.3">
      <c r="A1019" t="s">
        <v>1630</v>
      </c>
      <c r="B1019">
        <v>2018</v>
      </c>
      <c r="C1019" t="s">
        <v>56</v>
      </c>
      <c r="D1019" t="s">
        <v>32</v>
      </c>
      <c r="E1019">
        <v>30219</v>
      </c>
      <c r="F1019" t="s">
        <v>57</v>
      </c>
      <c r="G1019">
        <v>51500</v>
      </c>
      <c r="H1019" t="s">
        <v>20</v>
      </c>
      <c r="I1019" t="s">
        <v>58</v>
      </c>
      <c r="J1019" t="s">
        <v>168</v>
      </c>
      <c r="K1019" t="s">
        <v>23</v>
      </c>
      <c r="L1019" t="s">
        <v>236</v>
      </c>
      <c r="M1019" t="s">
        <v>25</v>
      </c>
      <c r="N1019" t="s">
        <v>26</v>
      </c>
      <c r="O1019" t="s">
        <v>27</v>
      </c>
      <c r="P1019" s="1">
        <v>44784</v>
      </c>
      <c r="Q1019">
        <f t="shared" si="75"/>
        <v>0</v>
      </c>
      <c r="R1019">
        <f t="shared" si="76"/>
        <v>0</v>
      </c>
      <c r="S1019">
        <f t="shared" si="77"/>
        <v>0</v>
      </c>
      <c r="T1019" s="11">
        <f t="shared" si="78"/>
        <v>2018</v>
      </c>
      <c r="U1019" s="11">
        <f t="shared" si="79"/>
        <v>30219</v>
      </c>
    </row>
    <row r="1020" spans="1:21" x14ac:dyDescent="0.3">
      <c r="A1020" t="s">
        <v>1631</v>
      </c>
      <c r="B1020">
        <v>2021</v>
      </c>
      <c r="C1020" t="s">
        <v>17</v>
      </c>
      <c r="D1020" t="s">
        <v>18</v>
      </c>
      <c r="E1020">
        <v>17099</v>
      </c>
      <c r="F1020" t="s">
        <v>207</v>
      </c>
      <c r="G1020">
        <v>70100</v>
      </c>
      <c r="H1020" t="s">
        <v>20</v>
      </c>
      <c r="I1020" t="s">
        <v>78</v>
      </c>
      <c r="J1020" t="s">
        <v>881</v>
      </c>
      <c r="K1020" t="s">
        <v>23</v>
      </c>
      <c r="L1020" t="s">
        <v>876</v>
      </c>
      <c r="M1020" t="s">
        <v>220</v>
      </c>
      <c r="N1020" t="s">
        <v>221</v>
      </c>
      <c r="O1020" t="s">
        <v>27</v>
      </c>
      <c r="P1020" s="1">
        <v>44784</v>
      </c>
      <c r="Q1020">
        <f t="shared" si="75"/>
        <v>0</v>
      </c>
      <c r="R1020">
        <f t="shared" si="76"/>
        <v>0</v>
      </c>
      <c r="S1020">
        <f t="shared" si="77"/>
        <v>1</v>
      </c>
      <c r="T1020" s="11">
        <f t="shared" si="78"/>
        <v>2021</v>
      </c>
      <c r="U1020" s="11">
        <f t="shared" si="79"/>
        <v>17099</v>
      </c>
    </row>
    <row r="1021" spans="1:21" x14ac:dyDescent="0.3">
      <c r="A1021" t="s">
        <v>1632</v>
      </c>
      <c r="B1021">
        <v>2020</v>
      </c>
      <c r="C1021" t="s">
        <v>17</v>
      </c>
      <c r="D1021" t="s">
        <v>32</v>
      </c>
      <c r="E1021">
        <v>16399</v>
      </c>
      <c r="F1021" t="s">
        <v>207</v>
      </c>
      <c r="G1021">
        <v>68100</v>
      </c>
      <c r="H1021" t="s">
        <v>20</v>
      </c>
      <c r="I1021" t="s">
        <v>78</v>
      </c>
      <c r="J1021" t="s">
        <v>200</v>
      </c>
      <c r="K1021" t="s">
        <v>23</v>
      </c>
      <c r="L1021" t="s">
        <v>447</v>
      </c>
      <c r="N1021" t="s">
        <v>203</v>
      </c>
      <c r="O1021" t="s">
        <v>27</v>
      </c>
      <c r="P1021" s="1">
        <v>44784</v>
      </c>
      <c r="Q1021">
        <f t="shared" si="75"/>
        <v>0</v>
      </c>
      <c r="R1021">
        <f t="shared" si="76"/>
        <v>0</v>
      </c>
      <c r="S1021">
        <f t="shared" si="77"/>
        <v>1</v>
      </c>
      <c r="T1021" s="11">
        <f t="shared" si="78"/>
        <v>2020</v>
      </c>
      <c r="U1021" s="11">
        <f t="shared" si="79"/>
        <v>16399</v>
      </c>
    </row>
    <row r="1022" spans="1:21" x14ac:dyDescent="0.3">
      <c r="A1022" t="s">
        <v>1633</v>
      </c>
      <c r="B1022">
        <v>2020</v>
      </c>
      <c r="C1022" t="s">
        <v>56</v>
      </c>
      <c r="D1022" t="s">
        <v>93</v>
      </c>
      <c r="E1022">
        <v>31096</v>
      </c>
      <c r="F1022" t="s">
        <v>57</v>
      </c>
      <c r="G1022">
        <v>56100</v>
      </c>
      <c r="H1022" t="s">
        <v>77</v>
      </c>
      <c r="I1022" t="s">
        <v>78</v>
      </c>
      <c r="J1022" t="s">
        <v>280</v>
      </c>
      <c r="K1022" t="s">
        <v>23</v>
      </c>
      <c r="L1022" t="s">
        <v>1160</v>
      </c>
      <c r="M1022" t="s">
        <v>202</v>
      </c>
      <c r="N1022" t="s">
        <v>203</v>
      </c>
      <c r="O1022" t="s">
        <v>27</v>
      </c>
      <c r="P1022" s="1">
        <v>44784</v>
      </c>
      <c r="Q1022">
        <f t="shared" si="75"/>
        <v>0</v>
      </c>
      <c r="R1022">
        <f t="shared" si="76"/>
        <v>0</v>
      </c>
      <c r="S1022">
        <f t="shared" si="77"/>
        <v>0</v>
      </c>
      <c r="T1022" s="11">
        <f t="shared" si="78"/>
        <v>2020</v>
      </c>
      <c r="U1022" s="11">
        <f t="shared" si="79"/>
        <v>31096</v>
      </c>
    </row>
    <row r="1023" spans="1:21" x14ac:dyDescent="0.3">
      <c r="A1023" t="s">
        <v>1634</v>
      </c>
      <c r="B1023">
        <v>2019</v>
      </c>
      <c r="C1023" t="s">
        <v>56</v>
      </c>
      <c r="D1023" t="s">
        <v>32</v>
      </c>
      <c r="E1023">
        <v>18019</v>
      </c>
      <c r="F1023" t="s">
        <v>57</v>
      </c>
      <c r="G1023">
        <v>51700</v>
      </c>
      <c r="H1023" t="s">
        <v>20</v>
      </c>
      <c r="I1023" t="s">
        <v>78</v>
      </c>
      <c r="J1023" t="s">
        <v>275</v>
      </c>
      <c r="K1023" t="s">
        <v>23</v>
      </c>
      <c r="L1023" t="s">
        <v>876</v>
      </c>
      <c r="M1023" t="s">
        <v>220</v>
      </c>
      <c r="N1023" t="s">
        <v>221</v>
      </c>
      <c r="O1023" t="s">
        <v>27</v>
      </c>
      <c r="P1023" s="1">
        <v>44784</v>
      </c>
      <c r="Q1023">
        <f t="shared" si="75"/>
        <v>0</v>
      </c>
      <c r="R1023">
        <f t="shared" si="76"/>
        <v>0</v>
      </c>
      <c r="S1023">
        <f t="shared" si="77"/>
        <v>0</v>
      </c>
      <c r="T1023" s="11">
        <f t="shared" si="78"/>
        <v>2019</v>
      </c>
      <c r="U1023" s="11">
        <f t="shared" si="79"/>
        <v>18019</v>
      </c>
    </row>
    <row r="1024" spans="1:21" x14ac:dyDescent="0.3">
      <c r="A1024" t="s">
        <v>1635</v>
      </c>
      <c r="B1024">
        <v>2020</v>
      </c>
      <c r="C1024" t="s">
        <v>56</v>
      </c>
      <c r="D1024" t="s">
        <v>32</v>
      </c>
      <c r="E1024">
        <v>19449</v>
      </c>
      <c r="F1024" t="s">
        <v>57</v>
      </c>
      <c r="G1024">
        <v>62600</v>
      </c>
      <c r="H1024" t="s">
        <v>77</v>
      </c>
      <c r="I1024" t="s">
        <v>78</v>
      </c>
      <c r="J1024" t="s">
        <v>650</v>
      </c>
      <c r="K1024" t="s">
        <v>23</v>
      </c>
      <c r="L1024" t="s">
        <v>363</v>
      </c>
      <c r="M1024" t="s">
        <v>364</v>
      </c>
      <c r="N1024" t="s">
        <v>245</v>
      </c>
      <c r="O1024" t="s">
        <v>27</v>
      </c>
      <c r="P1024" s="1">
        <v>44784</v>
      </c>
      <c r="Q1024">
        <f t="shared" si="75"/>
        <v>0</v>
      </c>
      <c r="R1024">
        <f t="shared" si="76"/>
        <v>0</v>
      </c>
      <c r="S1024">
        <f t="shared" si="77"/>
        <v>0</v>
      </c>
      <c r="T1024" s="11">
        <f t="shared" si="78"/>
        <v>2020</v>
      </c>
      <c r="U1024" s="11">
        <f t="shared" si="79"/>
        <v>19449</v>
      </c>
    </row>
    <row r="1025" spans="1:21" x14ac:dyDescent="0.3">
      <c r="A1025" t="s">
        <v>1636</v>
      </c>
      <c r="B1025">
        <v>2020</v>
      </c>
      <c r="C1025" t="s">
        <v>56</v>
      </c>
      <c r="D1025" t="s">
        <v>30</v>
      </c>
      <c r="E1025">
        <v>23722</v>
      </c>
      <c r="F1025" t="s">
        <v>71</v>
      </c>
      <c r="G1025">
        <v>62100</v>
      </c>
      <c r="H1025" t="s">
        <v>77</v>
      </c>
      <c r="I1025" t="s">
        <v>21</v>
      </c>
      <c r="J1025" t="s">
        <v>965</v>
      </c>
      <c r="K1025" t="s">
        <v>23</v>
      </c>
      <c r="L1025" t="s">
        <v>363</v>
      </c>
      <c r="M1025" t="s">
        <v>364</v>
      </c>
      <c r="N1025" t="s">
        <v>245</v>
      </c>
      <c r="O1025" t="s">
        <v>27</v>
      </c>
      <c r="P1025" s="1">
        <v>44784</v>
      </c>
      <c r="Q1025">
        <f t="shared" si="75"/>
        <v>0</v>
      </c>
      <c r="R1025">
        <f t="shared" si="76"/>
        <v>0</v>
      </c>
      <c r="S1025">
        <f t="shared" si="77"/>
        <v>0</v>
      </c>
      <c r="T1025" s="11">
        <f t="shared" si="78"/>
        <v>2020</v>
      </c>
      <c r="U1025" s="11">
        <f t="shared" si="79"/>
        <v>23722</v>
      </c>
    </row>
    <row r="1026" spans="1:21" x14ac:dyDescent="0.3">
      <c r="A1026" t="s">
        <v>1637</v>
      </c>
      <c r="B1026">
        <v>2020</v>
      </c>
      <c r="C1026" t="s">
        <v>17</v>
      </c>
      <c r="D1026" t="s">
        <v>32</v>
      </c>
      <c r="E1026">
        <v>25123</v>
      </c>
      <c r="F1026" t="s">
        <v>207</v>
      </c>
      <c r="G1026">
        <v>68600</v>
      </c>
      <c r="H1026" t="s">
        <v>20</v>
      </c>
      <c r="I1026" t="s">
        <v>21</v>
      </c>
      <c r="J1026" t="s">
        <v>429</v>
      </c>
      <c r="K1026" t="s">
        <v>23</v>
      </c>
      <c r="L1026" t="s">
        <v>345</v>
      </c>
      <c r="M1026" t="s">
        <v>48</v>
      </c>
      <c r="N1026" t="s">
        <v>69</v>
      </c>
      <c r="O1026" t="s">
        <v>27</v>
      </c>
      <c r="P1026" s="1">
        <v>44784</v>
      </c>
      <c r="Q1026">
        <f t="shared" ref="Q1026:Q1089" si="80">--(C1026="ms")</f>
        <v>0</v>
      </c>
      <c r="R1026">
        <f t="shared" ref="R1026:R1089" si="81">--(C1026="mx")</f>
        <v>0</v>
      </c>
      <c r="S1026">
        <f t="shared" ref="S1026:S1089" si="82">--(C1026="my")</f>
        <v>1</v>
      </c>
      <c r="T1026" s="11">
        <f t="shared" ref="T1026:T1089" si="83">B1026</f>
        <v>2020</v>
      </c>
      <c r="U1026" s="11">
        <f t="shared" ref="U1026:U1089" si="84">E1026</f>
        <v>25123</v>
      </c>
    </row>
    <row r="1027" spans="1:21" x14ac:dyDescent="0.3">
      <c r="A1027" t="s">
        <v>1638</v>
      </c>
      <c r="B1027">
        <v>2021</v>
      </c>
      <c r="C1027" t="s">
        <v>17</v>
      </c>
      <c r="D1027" t="s">
        <v>32</v>
      </c>
      <c r="E1027">
        <v>5799</v>
      </c>
      <c r="F1027" t="s">
        <v>161</v>
      </c>
      <c r="G1027">
        <v>61700</v>
      </c>
      <c r="H1027" t="s">
        <v>20</v>
      </c>
      <c r="I1027" t="s">
        <v>21</v>
      </c>
      <c r="J1027" t="s">
        <v>1639</v>
      </c>
      <c r="K1027" t="s">
        <v>23</v>
      </c>
      <c r="N1027" t="s">
        <v>63</v>
      </c>
      <c r="O1027" t="s">
        <v>27</v>
      </c>
      <c r="P1027" s="1">
        <v>44784</v>
      </c>
      <c r="Q1027">
        <f t="shared" si="80"/>
        <v>0</v>
      </c>
      <c r="R1027">
        <f t="shared" si="81"/>
        <v>0</v>
      </c>
      <c r="S1027">
        <f t="shared" si="82"/>
        <v>1</v>
      </c>
      <c r="T1027" s="11">
        <f t="shared" si="83"/>
        <v>2021</v>
      </c>
      <c r="U1027" s="11">
        <f t="shared" si="84"/>
        <v>5799</v>
      </c>
    </row>
    <row r="1028" spans="1:21" x14ac:dyDescent="0.3">
      <c r="A1028" t="s">
        <v>1640</v>
      </c>
      <c r="B1028">
        <v>2019</v>
      </c>
      <c r="C1028" t="s">
        <v>29</v>
      </c>
      <c r="D1028" t="s">
        <v>51</v>
      </c>
      <c r="E1028">
        <v>9891</v>
      </c>
      <c r="F1028" t="s">
        <v>177</v>
      </c>
      <c r="G1028">
        <v>109100</v>
      </c>
      <c r="H1028" t="s">
        <v>53</v>
      </c>
      <c r="I1028" t="s">
        <v>21</v>
      </c>
      <c r="J1028" t="s">
        <v>1641</v>
      </c>
      <c r="K1028" t="s">
        <v>23</v>
      </c>
      <c r="L1028" t="s">
        <v>779</v>
      </c>
      <c r="M1028" t="s">
        <v>780</v>
      </c>
      <c r="N1028" t="s">
        <v>256</v>
      </c>
      <c r="O1028" t="s">
        <v>27</v>
      </c>
      <c r="P1028" s="1">
        <v>44784</v>
      </c>
      <c r="Q1028">
        <f t="shared" si="80"/>
        <v>0</v>
      </c>
      <c r="R1028">
        <f t="shared" si="81"/>
        <v>1</v>
      </c>
      <c r="S1028">
        <f t="shared" si="82"/>
        <v>0</v>
      </c>
      <c r="T1028" s="11">
        <f t="shared" si="83"/>
        <v>2019</v>
      </c>
      <c r="U1028" s="11">
        <f t="shared" si="84"/>
        <v>9891</v>
      </c>
    </row>
    <row r="1029" spans="1:21" x14ac:dyDescent="0.3">
      <c r="A1029" t="s">
        <v>1642</v>
      </c>
      <c r="B1029">
        <v>2018</v>
      </c>
      <c r="C1029" t="s">
        <v>29</v>
      </c>
      <c r="D1029" t="s">
        <v>32</v>
      </c>
      <c r="E1029">
        <v>19810</v>
      </c>
      <c r="F1029" t="s">
        <v>52</v>
      </c>
      <c r="G1029">
        <v>97500</v>
      </c>
      <c r="H1029" t="s">
        <v>45</v>
      </c>
      <c r="I1029" t="s">
        <v>21</v>
      </c>
      <c r="J1029" t="s">
        <v>888</v>
      </c>
      <c r="K1029" t="s">
        <v>23</v>
      </c>
      <c r="L1029" t="s">
        <v>67</v>
      </c>
      <c r="M1029" t="s">
        <v>68</v>
      </c>
      <c r="N1029" t="s">
        <v>69</v>
      </c>
      <c r="O1029" t="s">
        <v>27</v>
      </c>
      <c r="P1029" s="1">
        <v>44784</v>
      </c>
      <c r="Q1029">
        <f t="shared" si="80"/>
        <v>0</v>
      </c>
      <c r="R1029">
        <f t="shared" si="81"/>
        <v>1</v>
      </c>
      <c r="S1029">
        <f t="shared" si="82"/>
        <v>0</v>
      </c>
      <c r="T1029" s="11">
        <f t="shared" si="83"/>
        <v>2018</v>
      </c>
      <c r="U1029" s="11">
        <f t="shared" si="84"/>
        <v>19810</v>
      </c>
    </row>
    <row r="1030" spans="1:21" x14ac:dyDescent="0.3">
      <c r="A1030" t="s">
        <v>1643</v>
      </c>
      <c r="B1030">
        <v>2021</v>
      </c>
      <c r="C1030" t="s">
        <v>56</v>
      </c>
      <c r="D1030" t="s">
        <v>32</v>
      </c>
      <c r="E1030">
        <v>10364</v>
      </c>
      <c r="F1030" t="s">
        <v>143</v>
      </c>
      <c r="G1030">
        <v>69800</v>
      </c>
      <c r="H1030" t="s">
        <v>20</v>
      </c>
      <c r="J1030" t="s">
        <v>324</v>
      </c>
      <c r="K1030" t="s">
        <v>23</v>
      </c>
      <c r="L1030" t="s">
        <v>260</v>
      </c>
      <c r="M1030" t="s">
        <v>261</v>
      </c>
      <c r="N1030" t="s">
        <v>262</v>
      </c>
      <c r="O1030" t="s">
        <v>27</v>
      </c>
      <c r="P1030" s="1">
        <v>44784</v>
      </c>
      <c r="Q1030">
        <f t="shared" si="80"/>
        <v>0</v>
      </c>
      <c r="R1030">
        <f t="shared" si="81"/>
        <v>0</v>
      </c>
      <c r="S1030">
        <f t="shared" si="82"/>
        <v>0</v>
      </c>
      <c r="T1030" s="11">
        <f t="shared" si="83"/>
        <v>2021</v>
      </c>
      <c r="U1030" s="11">
        <f t="shared" si="84"/>
        <v>10364</v>
      </c>
    </row>
    <row r="1031" spans="1:21" x14ac:dyDescent="0.3">
      <c r="A1031" t="s">
        <v>1644</v>
      </c>
      <c r="B1031">
        <v>2020</v>
      </c>
      <c r="C1031" t="s">
        <v>56</v>
      </c>
      <c r="D1031" t="s">
        <v>53</v>
      </c>
      <c r="E1031">
        <v>47386</v>
      </c>
      <c r="F1031" t="s">
        <v>71</v>
      </c>
      <c r="G1031">
        <v>59600</v>
      </c>
      <c r="H1031" t="s">
        <v>20</v>
      </c>
      <c r="I1031" t="s">
        <v>21</v>
      </c>
      <c r="J1031" t="s">
        <v>1645</v>
      </c>
      <c r="K1031" t="s">
        <v>23</v>
      </c>
      <c r="L1031" t="s">
        <v>474</v>
      </c>
      <c r="M1031" t="s">
        <v>255</v>
      </c>
      <c r="N1031" t="s">
        <v>256</v>
      </c>
      <c r="O1031" t="s">
        <v>27</v>
      </c>
      <c r="P1031" s="1">
        <v>44784</v>
      </c>
      <c r="Q1031">
        <f t="shared" si="80"/>
        <v>0</v>
      </c>
      <c r="R1031">
        <f t="shared" si="81"/>
        <v>0</v>
      </c>
      <c r="S1031">
        <f t="shared" si="82"/>
        <v>0</v>
      </c>
      <c r="T1031" s="11">
        <f t="shared" si="83"/>
        <v>2020</v>
      </c>
      <c r="U1031" s="11">
        <f t="shared" si="84"/>
        <v>47386</v>
      </c>
    </row>
    <row r="1032" spans="1:21" x14ac:dyDescent="0.3">
      <c r="A1032" t="s">
        <v>1646</v>
      </c>
      <c r="B1032">
        <v>2020</v>
      </c>
      <c r="C1032" t="s">
        <v>56</v>
      </c>
      <c r="D1032" t="s">
        <v>76</v>
      </c>
      <c r="E1032">
        <v>18855</v>
      </c>
      <c r="F1032" t="s">
        <v>57</v>
      </c>
      <c r="G1032">
        <v>57900</v>
      </c>
      <c r="H1032" t="s">
        <v>20</v>
      </c>
      <c r="I1032" t="s">
        <v>58</v>
      </c>
      <c r="J1032" t="s">
        <v>979</v>
      </c>
      <c r="K1032" t="s">
        <v>23</v>
      </c>
      <c r="L1032" t="s">
        <v>47</v>
      </c>
      <c r="M1032" t="s">
        <v>48</v>
      </c>
      <c r="N1032" t="s">
        <v>49</v>
      </c>
      <c r="O1032" t="s">
        <v>27</v>
      </c>
      <c r="P1032" s="1">
        <v>44784</v>
      </c>
      <c r="Q1032">
        <f t="shared" si="80"/>
        <v>0</v>
      </c>
      <c r="R1032">
        <f t="shared" si="81"/>
        <v>0</v>
      </c>
      <c r="S1032">
        <f t="shared" si="82"/>
        <v>0</v>
      </c>
      <c r="T1032" s="11">
        <f t="shared" si="83"/>
        <v>2020</v>
      </c>
      <c r="U1032" s="11">
        <f t="shared" si="84"/>
        <v>18855</v>
      </c>
    </row>
    <row r="1033" spans="1:21" x14ac:dyDescent="0.3">
      <c r="A1033" t="s">
        <v>1647</v>
      </c>
      <c r="B1033">
        <v>2020</v>
      </c>
      <c r="C1033" t="s">
        <v>56</v>
      </c>
      <c r="D1033" t="s">
        <v>32</v>
      </c>
      <c r="E1033">
        <v>30866</v>
      </c>
      <c r="F1033" t="s">
        <v>57</v>
      </c>
      <c r="G1033">
        <v>55100</v>
      </c>
      <c r="H1033" t="s">
        <v>77</v>
      </c>
      <c r="I1033" t="s">
        <v>78</v>
      </c>
      <c r="J1033" t="s">
        <v>650</v>
      </c>
      <c r="K1033" t="s">
        <v>23</v>
      </c>
      <c r="L1033" t="s">
        <v>84</v>
      </c>
      <c r="M1033" t="s">
        <v>48</v>
      </c>
      <c r="N1033" t="s">
        <v>69</v>
      </c>
      <c r="O1033" t="s">
        <v>27</v>
      </c>
      <c r="P1033" s="1">
        <v>44784</v>
      </c>
      <c r="Q1033">
        <f t="shared" si="80"/>
        <v>0</v>
      </c>
      <c r="R1033">
        <f t="shared" si="81"/>
        <v>0</v>
      </c>
      <c r="S1033">
        <f t="shared" si="82"/>
        <v>0</v>
      </c>
      <c r="T1033" s="11">
        <f t="shared" si="83"/>
        <v>2020</v>
      </c>
      <c r="U1033" s="11">
        <f t="shared" si="84"/>
        <v>30866</v>
      </c>
    </row>
    <row r="1034" spans="1:21" x14ac:dyDescent="0.3">
      <c r="A1034" t="s">
        <v>1648</v>
      </c>
      <c r="B1034">
        <v>2019</v>
      </c>
      <c r="C1034" t="s">
        <v>56</v>
      </c>
      <c r="D1034" t="s">
        <v>30</v>
      </c>
      <c r="E1034">
        <v>18594</v>
      </c>
      <c r="F1034" t="s">
        <v>57</v>
      </c>
      <c r="G1034">
        <v>53800</v>
      </c>
      <c r="H1034" t="s">
        <v>77</v>
      </c>
      <c r="I1034" t="s">
        <v>58</v>
      </c>
      <c r="J1034" t="s">
        <v>284</v>
      </c>
      <c r="K1034" t="s">
        <v>23</v>
      </c>
      <c r="L1034" t="s">
        <v>47</v>
      </c>
      <c r="M1034" t="s">
        <v>48</v>
      </c>
      <c r="N1034" t="s">
        <v>49</v>
      </c>
      <c r="O1034" t="s">
        <v>27</v>
      </c>
      <c r="P1034" s="1">
        <v>44784</v>
      </c>
      <c r="Q1034">
        <f t="shared" si="80"/>
        <v>0</v>
      </c>
      <c r="R1034">
        <f t="shared" si="81"/>
        <v>0</v>
      </c>
      <c r="S1034">
        <f t="shared" si="82"/>
        <v>0</v>
      </c>
      <c r="T1034" s="11">
        <f t="shared" si="83"/>
        <v>2019</v>
      </c>
      <c r="U1034" s="11">
        <f t="shared" si="84"/>
        <v>18594</v>
      </c>
    </row>
    <row r="1035" spans="1:21" x14ac:dyDescent="0.3">
      <c r="A1035" t="s">
        <v>1649</v>
      </c>
      <c r="B1035">
        <v>2019</v>
      </c>
      <c r="C1035" t="s">
        <v>29</v>
      </c>
      <c r="D1035" t="s">
        <v>53</v>
      </c>
      <c r="E1035">
        <v>57641</v>
      </c>
      <c r="F1035" t="s">
        <v>44</v>
      </c>
      <c r="G1035">
        <v>86700</v>
      </c>
      <c r="H1035" t="s">
        <v>53</v>
      </c>
      <c r="I1035" t="s">
        <v>21</v>
      </c>
      <c r="J1035" t="s">
        <v>1650</v>
      </c>
      <c r="K1035" t="s">
        <v>23</v>
      </c>
      <c r="L1035" t="s">
        <v>34</v>
      </c>
      <c r="N1035" t="s">
        <v>35</v>
      </c>
      <c r="O1035" t="s">
        <v>27</v>
      </c>
      <c r="P1035" s="1">
        <v>44784</v>
      </c>
      <c r="Q1035">
        <f t="shared" si="80"/>
        <v>0</v>
      </c>
      <c r="R1035">
        <f t="shared" si="81"/>
        <v>1</v>
      </c>
      <c r="S1035">
        <f t="shared" si="82"/>
        <v>0</v>
      </c>
      <c r="T1035" s="11">
        <f t="shared" si="83"/>
        <v>2019</v>
      </c>
      <c r="U1035" s="11">
        <f t="shared" si="84"/>
        <v>57641</v>
      </c>
    </row>
    <row r="1036" spans="1:21" x14ac:dyDescent="0.3">
      <c r="A1036" t="s">
        <v>1651</v>
      </c>
      <c r="B1036">
        <v>2019</v>
      </c>
      <c r="C1036" t="s">
        <v>29</v>
      </c>
      <c r="D1036" t="s">
        <v>51</v>
      </c>
      <c r="E1036">
        <v>15769</v>
      </c>
      <c r="F1036" t="s">
        <v>52</v>
      </c>
      <c r="G1036">
        <v>85200</v>
      </c>
      <c r="H1036" t="s">
        <v>53</v>
      </c>
      <c r="I1036" t="s">
        <v>21</v>
      </c>
      <c r="J1036" t="s">
        <v>1623</v>
      </c>
      <c r="K1036" t="s">
        <v>23</v>
      </c>
      <c r="L1036" t="s">
        <v>47</v>
      </c>
      <c r="M1036" t="s">
        <v>48</v>
      </c>
      <c r="N1036" t="s">
        <v>49</v>
      </c>
      <c r="O1036" t="s">
        <v>27</v>
      </c>
      <c r="P1036" s="1">
        <v>44784</v>
      </c>
      <c r="Q1036">
        <f t="shared" si="80"/>
        <v>0</v>
      </c>
      <c r="R1036">
        <f t="shared" si="81"/>
        <v>1</v>
      </c>
      <c r="S1036">
        <f t="shared" si="82"/>
        <v>0</v>
      </c>
      <c r="T1036" s="11">
        <f t="shared" si="83"/>
        <v>2019</v>
      </c>
      <c r="U1036" s="11">
        <f t="shared" si="84"/>
        <v>15769</v>
      </c>
    </row>
    <row r="1037" spans="1:21" x14ac:dyDescent="0.3">
      <c r="A1037" t="s">
        <v>1652</v>
      </c>
      <c r="B1037">
        <v>2020</v>
      </c>
      <c r="C1037" t="s">
        <v>56</v>
      </c>
      <c r="D1037" t="s">
        <v>32</v>
      </c>
      <c r="E1037">
        <v>26784</v>
      </c>
      <c r="F1037" t="s">
        <v>71</v>
      </c>
      <c r="G1037">
        <v>59900</v>
      </c>
      <c r="H1037" t="s">
        <v>20</v>
      </c>
      <c r="I1037" t="s">
        <v>21</v>
      </c>
      <c r="J1037" t="s">
        <v>449</v>
      </c>
      <c r="K1037" t="s">
        <v>23</v>
      </c>
      <c r="L1037" t="s">
        <v>47</v>
      </c>
      <c r="M1037" t="s">
        <v>48</v>
      </c>
      <c r="N1037" t="s">
        <v>49</v>
      </c>
      <c r="O1037" t="s">
        <v>27</v>
      </c>
      <c r="P1037" s="1">
        <v>44784</v>
      </c>
      <c r="Q1037">
        <f t="shared" si="80"/>
        <v>0</v>
      </c>
      <c r="R1037">
        <f t="shared" si="81"/>
        <v>0</v>
      </c>
      <c r="S1037">
        <f t="shared" si="82"/>
        <v>0</v>
      </c>
      <c r="T1037" s="11">
        <f t="shared" si="83"/>
        <v>2020</v>
      </c>
      <c r="U1037" s="11">
        <f t="shared" si="84"/>
        <v>26784</v>
      </c>
    </row>
    <row r="1038" spans="1:21" x14ac:dyDescent="0.3">
      <c r="A1038" t="s">
        <v>1653</v>
      </c>
      <c r="B1038">
        <v>2019</v>
      </c>
      <c r="C1038" t="s">
        <v>56</v>
      </c>
      <c r="D1038" t="s">
        <v>32</v>
      </c>
      <c r="E1038">
        <v>26195</v>
      </c>
      <c r="F1038" t="s">
        <v>71</v>
      </c>
      <c r="G1038">
        <v>57100</v>
      </c>
      <c r="H1038" t="s">
        <v>20</v>
      </c>
      <c r="I1038" t="s">
        <v>21</v>
      </c>
      <c r="J1038" t="s">
        <v>72</v>
      </c>
      <c r="K1038" t="s">
        <v>23</v>
      </c>
      <c r="L1038" t="s">
        <v>47</v>
      </c>
      <c r="M1038" t="s">
        <v>48</v>
      </c>
      <c r="N1038" t="s">
        <v>49</v>
      </c>
      <c r="O1038" t="s">
        <v>27</v>
      </c>
      <c r="P1038" s="1">
        <v>44784</v>
      </c>
      <c r="Q1038">
        <f t="shared" si="80"/>
        <v>0</v>
      </c>
      <c r="R1038">
        <f t="shared" si="81"/>
        <v>0</v>
      </c>
      <c r="S1038">
        <f t="shared" si="82"/>
        <v>0</v>
      </c>
      <c r="T1038" s="11">
        <f t="shared" si="83"/>
        <v>2019</v>
      </c>
      <c r="U1038" s="11">
        <f t="shared" si="84"/>
        <v>26195</v>
      </c>
    </row>
    <row r="1039" spans="1:21" x14ac:dyDescent="0.3">
      <c r="A1039" t="s">
        <v>1654</v>
      </c>
      <c r="B1039">
        <v>2019</v>
      </c>
      <c r="C1039" t="s">
        <v>56</v>
      </c>
      <c r="D1039" t="s">
        <v>32</v>
      </c>
      <c r="E1039">
        <v>21027</v>
      </c>
      <c r="F1039" t="s">
        <v>57</v>
      </c>
      <c r="G1039">
        <v>54600</v>
      </c>
      <c r="H1039" t="s">
        <v>20</v>
      </c>
      <c r="I1039" t="s">
        <v>58</v>
      </c>
      <c r="J1039" t="s">
        <v>168</v>
      </c>
      <c r="K1039" t="s">
        <v>23</v>
      </c>
      <c r="L1039" t="s">
        <v>779</v>
      </c>
      <c r="M1039" t="s">
        <v>780</v>
      </c>
      <c r="N1039" t="s">
        <v>256</v>
      </c>
      <c r="O1039" t="s">
        <v>27</v>
      </c>
      <c r="P1039" s="1">
        <v>44784</v>
      </c>
      <c r="Q1039">
        <f t="shared" si="80"/>
        <v>0</v>
      </c>
      <c r="R1039">
        <f t="shared" si="81"/>
        <v>0</v>
      </c>
      <c r="S1039">
        <f t="shared" si="82"/>
        <v>0</v>
      </c>
      <c r="T1039" s="11">
        <f t="shared" si="83"/>
        <v>2019</v>
      </c>
      <c r="U1039" s="11">
        <f t="shared" si="84"/>
        <v>21027</v>
      </c>
    </row>
    <row r="1040" spans="1:21" x14ac:dyDescent="0.3">
      <c r="A1040" t="s">
        <v>1655</v>
      </c>
      <c r="B1040">
        <v>2021</v>
      </c>
      <c r="C1040" t="s">
        <v>56</v>
      </c>
      <c r="D1040" t="s">
        <v>93</v>
      </c>
      <c r="E1040">
        <v>22212</v>
      </c>
      <c r="F1040" t="s">
        <v>57</v>
      </c>
      <c r="G1040">
        <v>60200</v>
      </c>
      <c r="H1040" t="s">
        <v>20</v>
      </c>
      <c r="I1040" t="s">
        <v>58</v>
      </c>
      <c r="J1040" t="s">
        <v>842</v>
      </c>
      <c r="K1040" t="s">
        <v>23</v>
      </c>
      <c r="L1040" t="s">
        <v>87</v>
      </c>
      <c r="M1040" t="s">
        <v>88</v>
      </c>
      <c r="N1040" t="s">
        <v>89</v>
      </c>
      <c r="O1040" t="s">
        <v>27</v>
      </c>
      <c r="P1040" s="1">
        <v>44784</v>
      </c>
      <c r="Q1040">
        <f t="shared" si="80"/>
        <v>0</v>
      </c>
      <c r="R1040">
        <f t="shared" si="81"/>
        <v>0</v>
      </c>
      <c r="S1040">
        <f t="shared" si="82"/>
        <v>0</v>
      </c>
      <c r="T1040" s="11">
        <f t="shared" si="83"/>
        <v>2021</v>
      </c>
      <c r="U1040" s="11">
        <f t="shared" si="84"/>
        <v>22212</v>
      </c>
    </row>
    <row r="1041" spans="1:21" x14ac:dyDescent="0.3">
      <c r="A1041" t="s">
        <v>1656</v>
      </c>
      <c r="B1041">
        <v>2021</v>
      </c>
      <c r="C1041" t="s">
        <v>56</v>
      </c>
      <c r="D1041" t="s">
        <v>32</v>
      </c>
      <c r="E1041">
        <v>32726</v>
      </c>
      <c r="F1041" t="s">
        <v>65</v>
      </c>
      <c r="G1041">
        <v>53100</v>
      </c>
      <c r="H1041" t="s">
        <v>20</v>
      </c>
      <c r="I1041" t="s">
        <v>58</v>
      </c>
      <c r="J1041" t="s">
        <v>192</v>
      </c>
      <c r="K1041" t="s">
        <v>23</v>
      </c>
      <c r="L1041" t="s">
        <v>100</v>
      </c>
      <c r="M1041" t="s">
        <v>101</v>
      </c>
      <c r="N1041" t="s">
        <v>102</v>
      </c>
      <c r="O1041" t="s">
        <v>27</v>
      </c>
      <c r="P1041" s="1">
        <v>44784</v>
      </c>
      <c r="Q1041">
        <f t="shared" si="80"/>
        <v>0</v>
      </c>
      <c r="R1041">
        <f t="shared" si="81"/>
        <v>0</v>
      </c>
      <c r="S1041">
        <f t="shared" si="82"/>
        <v>0</v>
      </c>
      <c r="T1041" s="11">
        <f t="shared" si="83"/>
        <v>2021</v>
      </c>
      <c r="U1041" s="11">
        <f t="shared" si="84"/>
        <v>32726</v>
      </c>
    </row>
    <row r="1042" spans="1:21" x14ac:dyDescent="0.3">
      <c r="A1042" t="s">
        <v>1657</v>
      </c>
      <c r="B1042">
        <v>2021</v>
      </c>
      <c r="C1042" t="s">
        <v>37</v>
      </c>
      <c r="D1042" t="s">
        <v>30</v>
      </c>
      <c r="E1042">
        <v>6311</v>
      </c>
      <c r="F1042" t="s">
        <v>131</v>
      </c>
      <c r="G1042">
        <v>131800</v>
      </c>
      <c r="H1042" t="s">
        <v>53</v>
      </c>
      <c r="I1042" t="s">
        <v>39</v>
      </c>
      <c r="J1042" t="s">
        <v>1658</v>
      </c>
      <c r="K1042" t="s">
        <v>23</v>
      </c>
      <c r="L1042" t="s">
        <v>95</v>
      </c>
      <c r="M1042" t="s">
        <v>96</v>
      </c>
      <c r="N1042" t="s">
        <v>89</v>
      </c>
      <c r="O1042" t="s">
        <v>27</v>
      </c>
      <c r="P1042" s="1">
        <v>44784</v>
      </c>
      <c r="Q1042">
        <f t="shared" si="80"/>
        <v>1</v>
      </c>
      <c r="R1042">
        <f t="shared" si="81"/>
        <v>0</v>
      </c>
      <c r="S1042">
        <f t="shared" si="82"/>
        <v>0</v>
      </c>
      <c r="T1042" s="11">
        <f t="shared" si="83"/>
        <v>2021</v>
      </c>
      <c r="U1042" s="11">
        <f t="shared" si="84"/>
        <v>6311</v>
      </c>
    </row>
    <row r="1043" spans="1:21" x14ac:dyDescent="0.3">
      <c r="A1043" t="s">
        <v>1659</v>
      </c>
      <c r="B1043">
        <v>2018</v>
      </c>
      <c r="C1043" t="s">
        <v>37</v>
      </c>
      <c r="D1043" t="s">
        <v>30</v>
      </c>
      <c r="E1043">
        <v>11644</v>
      </c>
      <c r="F1043" t="s">
        <v>104</v>
      </c>
      <c r="G1043">
        <v>76000</v>
      </c>
      <c r="H1043" t="s">
        <v>53</v>
      </c>
      <c r="I1043" t="s">
        <v>78</v>
      </c>
      <c r="J1043" t="s">
        <v>1660</v>
      </c>
      <c r="K1043" t="s">
        <v>23</v>
      </c>
      <c r="L1043" t="s">
        <v>95</v>
      </c>
      <c r="M1043" t="s">
        <v>96</v>
      </c>
      <c r="N1043" t="s">
        <v>89</v>
      </c>
      <c r="O1043" t="s">
        <v>27</v>
      </c>
      <c r="P1043" s="1">
        <v>44784</v>
      </c>
      <c r="Q1043">
        <f t="shared" si="80"/>
        <v>1</v>
      </c>
      <c r="R1043">
        <f t="shared" si="81"/>
        <v>0</v>
      </c>
      <c r="S1043">
        <f t="shared" si="82"/>
        <v>0</v>
      </c>
      <c r="T1043" s="11">
        <f t="shared" si="83"/>
        <v>2018</v>
      </c>
      <c r="U1043" s="11">
        <f t="shared" si="84"/>
        <v>11644</v>
      </c>
    </row>
    <row r="1044" spans="1:21" x14ac:dyDescent="0.3">
      <c r="A1044" t="s">
        <v>1661</v>
      </c>
      <c r="B1044">
        <v>2019</v>
      </c>
      <c r="C1044" t="s">
        <v>56</v>
      </c>
      <c r="D1044" t="s">
        <v>53</v>
      </c>
      <c r="E1044">
        <v>30488</v>
      </c>
      <c r="F1044" t="s">
        <v>57</v>
      </c>
      <c r="G1044">
        <v>51100</v>
      </c>
      <c r="H1044" t="s">
        <v>20</v>
      </c>
      <c r="I1044" t="s">
        <v>58</v>
      </c>
      <c r="J1044" t="s">
        <v>59</v>
      </c>
      <c r="K1044" t="s">
        <v>23</v>
      </c>
      <c r="L1044" t="s">
        <v>122</v>
      </c>
      <c r="M1044" t="s">
        <v>113</v>
      </c>
      <c r="N1044" t="s">
        <v>114</v>
      </c>
      <c r="O1044" t="s">
        <v>27</v>
      </c>
      <c r="P1044" s="1">
        <v>44784</v>
      </c>
      <c r="Q1044">
        <f t="shared" si="80"/>
        <v>0</v>
      </c>
      <c r="R1044">
        <f t="shared" si="81"/>
        <v>0</v>
      </c>
      <c r="S1044">
        <f t="shared" si="82"/>
        <v>0</v>
      </c>
      <c r="T1044" s="11">
        <f t="shared" si="83"/>
        <v>2019</v>
      </c>
      <c r="U1044" s="11">
        <f t="shared" si="84"/>
        <v>30488</v>
      </c>
    </row>
    <row r="1045" spans="1:21" x14ac:dyDescent="0.3">
      <c r="A1045" t="s">
        <v>1662</v>
      </c>
      <c r="B1045">
        <v>2020</v>
      </c>
      <c r="C1045" t="s">
        <v>56</v>
      </c>
      <c r="D1045" t="s">
        <v>76</v>
      </c>
      <c r="E1045">
        <v>48067</v>
      </c>
      <c r="F1045" t="s">
        <v>57</v>
      </c>
      <c r="G1045">
        <v>50700</v>
      </c>
      <c r="H1045" t="s">
        <v>20</v>
      </c>
      <c r="I1045" t="s">
        <v>58</v>
      </c>
      <c r="J1045" t="s">
        <v>979</v>
      </c>
      <c r="K1045" t="s">
        <v>23</v>
      </c>
      <c r="L1045" t="s">
        <v>543</v>
      </c>
      <c r="M1045" t="s">
        <v>544</v>
      </c>
      <c r="N1045" t="s">
        <v>545</v>
      </c>
      <c r="O1045" t="s">
        <v>27</v>
      </c>
      <c r="P1045" s="1">
        <v>44784</v>
      </c>
      <c r="Q1045">
        <f t="shared" si="80"/>
        <v>0</v>
      </c>
      <c r="R1045">
        <f t="shared" si="81"/>
        <v>0</v>
      </c>
      <c r="S1045">
        <f t="shared" si="82"/>
        <v>0</v>
      </c>
      <c r="T1045" s="11">
        <f t="shared" si="83"/>
        <v>2020</v>
      </c>
      <c r="U1045" s="11">
        <f t="shared" si="84"/>
        <v>48067</v>
      </c>
    </row>
    <row r="1046" spans="1:21" x14ac:dyDescent="0.3">
      <c r="A1046" t="s">
        <v>1663</v>
      </c>
      <c r="B1046">
        <v>2019</v>
      </c>
      <c r="C1046" t="s">
        <v>56</v>
      </c>
      <c r="D1046" t="s">
        <v>32</v>
      </c>
      <c r="E1046">
        <v>37559</v>
      </c>
      <c r="F1046" t="s">
        <v>57</v>
      </c>
      <c r="G1046">
        <v>47600</v>
      </c>
      <c r="H1046" t="s">
        <v>77</v>
      </c>
      <c r="I1046" t="s">
        <v>58</v>
      </c>
      <c r="J1046" t="s">
        <v>411</v>
      </c>
      <c r="K1046" t="s">
        <v>23</v>
      </c>
      <c r="L1046" t="s">
        <v>494</v>
      </c>
      <c r="M1046" t="s">
        <v>113</v>
      </c>
      <c r="N1046" t="s">
        <v>114</v>
      </c>
      <c r="O1046" t="s">
        <v>27</v>
      </c>
      <c r="P1046" s="1">
        <v>44784</v>
      </c>
      <c r="Q1046">
        <f t="shared" si="80"/>
        <v>0</v>
      </c>
      <c r="R1046">
        <f t="shared" si="81"/>
        <v>0</v>
      </c>
      <c r="S1046">
        <f t="shared" si="82"/>
        <v>0</v>
      </c>
      <c r="T1046" s="11">
        <f t="shared" si="83"/>
        <v>2019</v>
      </c>
      <c r="U1046" s="11">
        <f t="shared" si="84"/>
        <v>37559</v>
      </c>
    </row>
    <row r="1047" spans="1:21" x14ac:dyDescent="0.3">
      <c r="A1047" t="s">
        <v>1664</v>
      </c>
      <c r="B1047">
        <v>2021</v>
      </c>
      <c r="C1047" t="s">
        <v>37</v>
      </c>
      <c r="D1047" t="s">
        <v>76</v>
      </c>
      <c r="E1047">
        <v>5230</v>
      </c>
      <c r="F1047" t="s">
        <v>131</v>
      </c>
      <c r="G1047">
        <v>124600</v>
      </c>
      <c r="H1047" t="s">
        <v>45</v>
      </c>
      <c r="I1047" t="s">
        <v>39</v>
      </c>
      <c r="J1047" t="s">
        <v>1665</v>
      </c>
      <c r="K1047" t="s">
        <v>23</v>
      </c>
      <c r="L1047" t="s">
        <v>129</v>
      </c>
      <c r="M1047" t="s">
        <v>113</v>
      </c>
      <c r="N1047" t="s">
        <v>114</v>
      </c>
      <c r="O1047" t="s">
        <v>27</v>
      </c>
      <c r="P1047" s="1">
        <v>44784</v>
      </c>
      <c r="Q1047">
        <f t="shared" si="80"/>
        <v>1</v>
      </c>
      <c r="R1047">
        <f t="shared" si="81"/>
        <v>0</v>
      </c>
      <c r="S1047">
        <f t="shared" si="82"/>
        <v>0</v>
      </c>
      <c r="T1047" s="11">
        <f t="shared" si="83"/>
        <v>2021</v>
      </c>
      <c r="U1047" s="11">
        <f t="shared" si="84"/>
        <v>5230</v>
      </c>
    </row>
    <row r="1048" spans="1:21" x14ac:dyDescent="0.3">
      <c r="A1048" t="s">
        <v>1666</v>
      </c>
      <c r="B1048">
        <v>2016</v>
      </c>
      <c r="C1048" t="s">
        <v>29</v>
      </c>
      <c r="D1048" t="s">
        <v>32</v>
      </c>
      <c r="E1048">
        <v>5064</v>
      </c>
      <c r="F1048" t="s">
        <v>153</v>
      </c>
      <c r="G1048">
        <v>80000</v>
      </c>
      <c r="H1048" t="s">
        <v>306</v>
      </c>
      <c r="I1048" t="s">
        <v>21</v>
      </c>
      <c r="J1048" t="s">
        <v>1667</v>
      </c>
      <c r="K1048" t="s">
        <v>23</v>
      </c>
      <c r="L1048" t="s">
        <v>494</v>
      </c>
      <c r="M1048" t="s">
        <v>113</v>
      </c>
      <c r="N1048" t="s">
        <v>114</v>
      </c>
      <c r="O1048" t="s">
        <v>27</v>
      </c>
      <c r="P1048" s="1">
        <v>44784</v>
      </c>
      <c r="Q1048">
        <f t="shared" si="80"/>
        <v>0</v>
      </c>
      <c r="R1048">
        <f t="shared" si="81"/>
        <v>1</v>
      </c>
      <c r="S1048">
        <f t="shared" si="82"/>
        <v>0</v>
      </c>
      <c r="T1048" s="11">
        <f t="shared" si="83"/>
        <v>2016</v>
      </c>
      <c r="U1048" s="11">
        <f t="shared" si="84"/>
        <v>5064</v>
      </c>
    </row>
    <row r="1049" spans="1:21" x14ac:dyDescent="0.3">
      <c r="A1049" t="s">
        <v>1668</v>
      </c>
      <c r="B1049">
        <v>2019</v>
      </c>
      <c r="C1049" t="s">
        <v>56</v>
      </c>
      <c r="D1049" t="s">
        <v>93</v>
      </c>
      <c r="E1049">
        <v>26155</v>
      </c>
      <c r="F1049" t="s">
        <v>71</v>
      </c>
      <c r="G1049">
        <v>53900</v>
      </c>
      <c r="H1049" t="s">
        <v>20</v>
      </c>
      <c r="I1049" t="s">
        <v>21</v>
      </c>
      <c r="J1049" t="s">
        <v>332</v>
      </c>
      <c r="K1049" t="s">
        <v>23</v>
      </c>
      <c r="L1049" t="s">
        <v>147</v>
      </c>
      <c r="M1049" t="s">
        <v>148</v>
      </c>
      <c r="N1049" t="s">
        <v>149</v>
      </c>
      <c r="O1049" t="s">
        <v>27</v>
      </c>
      <c r="P1049" s="1">
        <v>44784</v>
      </c>
      <c r="Q1049">
        <f t="shared" si="80"/>
        <v>0</v>
      </c>
      <c r="R1049">
        <f t="shared" si="81"/>
        <v>0</v>
      </c>
      <c r="S1049">
        <f t="shared" si="82"/>
        <v>0</v>
      </c>
      <c r="T1049" s="11">
        <f t="shared" si="83"/>
        <v>2019</v>
      </c>
      <c r="U1049" s="11">
        <f t="shared" si="84"/>
        <v>26155</v>
      </c>
    </row>
    <row r="1050" spans="1:21" x14ac:dyDescent="0.3">
      <c r="A1050" t="s">
        <v>1669</v>
      </c>
      <c r="B1050">
        <v>2019</v>
      </c>
      <c r="C1050" t="s">
        <v>56</v>
      </c>
      <c r="D1050" t="s">
        <v>53</v>
      </c>
      <c r="E1050">
        <v>36721</v>
      </c>
      <c r="F1050" t="s">
        <v>57</v>
      </c>
      <c r="G1050">
        <v>53200</v>
      </c>
      <c r="H1050" t="s">
        <v>20</v>
      </c>
      <c r="I1050" t="s">
        <v>78</v>
      </c>
      <c r="J1050" t="s">
        <v>564</v>
      </c>
      <c r="K1050" t="s">
        <v>23</v>
      </c>
      <c r="L1050" t="s">
        <v>278</v>
      </c>
      <c r="M1050" t="s">
        <v>148</v>
      </c>
      <c r="N1050" t="s">
        <v>149</v>
      </c>
      <c r="O1050" t="s">
        <v>27</v>
      </c>
      <c r="P1050" s="1">
        <v>44784</v>
      </c>
      <c r="Q1050">
        <f t="shared" si="80"/>
        <v>0</v>
      </c>
      <c r="R1050">
        <f t="shared" si="81"/>
        <v>0</v>
      </c>
      <c r="S1050">
        <f t="shared" si="82"/>
        <v>0</v>
      </c>
      <c r="T1050" s="11">
        <f t="shared" si="83"/>
        <v>2019</v>
      </c>
      <c r="U1050" s="11">
        <f t="shared" si="84"/>
        <v>36721</v>
      </c>
    </row>
    <row r="1051" spans="1:21" x14ac:dyDescent="0.3">
      <c r="A1051" t="s">
        <v>1670</v>
      </c>
      <c r="B1051">
        <v>2019</v>
      </c>
      <c r="C1051" t="s">
        <v>56</v>
      </c>
      <c r="D1051" t="s">
        <v>32</v>
      </c>
      <c r="E1051">
        <v>23359</v>
      </c>
      <c r="F1051" t="s">
        <v>65</v>
      </c>
      <c r="G1051">
        <v>49400</v>
      </c>
      <c r="H1051" t="s">
        <v>20</v>
      </c>
      <c r="I1051" t="s">
        <v>58</v>
      </c>
      <c r="J1051" t="s">
        <v>192</v>
      </c>
      <c r="K1051" t="s">
        <v>23</v>
      </c>
      <c r="L1051" t="s">
        <v>147</v>
      </c>
      <c r="M1051" t="s">
        <v>148</v>
      </c>
      <c r="N1051" t="s">
        <v>149</v>
      </c>
      <c r="O1051" t="s">
        <v>27</v>
      </c>
      <c r="P1051" s="1">
        <v>44784</v>
      </c>
      <c r="Q1051">
        <f t="shared" si="80"/>
        <v>0</v>
      </c>
      <c r="R1051">
        <f t="shared" si="81"/>
        <v>0</v>
      </c>
      <c r="S1051">
        <f t="shared" si="82"/>
        <v>0</v>
      </c>
      <c r="T1051" s="11">
        <f t="shared" si="83"/>
        <v>2019</v>
      </c>
      <c r="U1051" s="11">
        <f t="shared" si="84"/>
        <v>23359</v>
      </c>
    </row>
    <row r="1052" spans="1:21" x14ac:dyDescent="0.3">
      <c r="A1052" t="s">
        <v>1671</v>
      </c>
      <c r="B1052">
        <v>2021</v>
      </c>
      <c r="C1052" t="s">
        <v>56</v>
      </c>
      <c r="D1052" t="s">
        <v>32</v>
      </c>
      <c r="E1052">
        <v>4781</v>
      </c>
      <c r="F1052" t="s">
        <v>65</v>
      </c>
      <c r="G1052">
        <v>57400</v>
      </c>
      <c r="H1052" t="s">
        <v>20</v>
      </c>
      <c r="I1052" t="s">
        <v>58</v>
      </c>
      <c r="J1052" t="s">
        <v>192</v>
      </c>
      <c r="K1052" t="s">
        <v>23</v>
      </c>
      <c r="N1052" t="s">
        <v>127</v>
      </c>
      <c r="O1052" t="s">
        <v>27</v>
      </c>
      <c r="P1052" s="1">
        <v>44784</v>
      </c>
      <c r="Q1052">
        <f t="shared" si="80"/>
        <v>0</v>
      </c>
      <c r="R1052">
        <f t="shared" si="81"/>
        <v>0</v>
      </c>
      <c r="S1052">
        <f t="shared" si="82"/>
        <v>0</v>
      </c>
      <c r="T1052" s="11">
        <f t="shared" si="83"/>
        <v>2021</v>
      </c>
      <c r="U1052" s="11">
        <f t="shared" si="84"/>
        <v>4781</v>
      </c>
    </row>
    <row r="1053" spans="1:21" x14ac:dyDescent="0.3">
      <c r="A1053" t="s">
        <v>1672</v>
      </c>
      <c r="B1053">
        <v>2019</v>
      </c>
      <c r="C1053" t="s">
        <v>56</v>
      </c>
      <c r="D1053" t="s">
        <v>93</v>
      </c>
      <c r="E1053">
        <v>29661</v>
      </c>
      <c r="F1053" t="s">
        <v>57</v>
      </c>
      <c r="G1053">
        <v>54000</v>
      </c>
      <c r="H1053" t="s">
        <v>77</v>
      </c>
      <c r="I1053" t="s">
        <v>78</v>
      </c>
      <c r="J1053" t="s">
        <v>280</v>
      </c>
      <c r="K1053" t="s">
        <v>23</v>
      </c>
      <c r="N1053" t="s">
        <v>127</v>
      </c>
      <c r="O1053" t="s">
        <v>27</v>
      </c>
      <c r="P1053" s="1">
        <v>44784</v>
      </c>
      <c r="Q1053">
        <f t="shared" si="80"/>
        <v>0</v>
      </c>
      <c r="R1053">
        <f t="shared" si="81"/>
        <v>0</v>
      </c>
      <c r="S1053">
        <f t="shared" si="82"/>
        <v>0</v>
      </c>
      <c r="T1053" s="11">
        <f t="shared" si="83"/>
        <v>2019</v>
      </c>
      <c r="U1053" s="11">
        <f t="shared" si="84"/>
        <v>29661</v>
      </c>
    </row>
    <row r="1054" spans="1:21" x14ac:dyDescent="0.3">
      <c r="A1054" t="s">
        <v>1673</v>
      </c>
      <c r="B1054">
        <v>2021</v>
      </c>
      <c r="C1054" t="s">
        <v>17</v>
      </c>
      <c r="D1054" t="s">
        <v>32</v>
      </c>
      <c r="E1054">
        <v>25266</v>
      </c>
      <c r="F1054" t="s">
        <v>19</v>
      </c>
      <c r="G1054">
        <v>68700</v>
      </c>
      <c r="H1054" t="s">
        <v>20</v>
      </c>
      <c r="I1054" t="s">
        <v>21</v>
      </c>
      <c r="J1054" t="s">
        <v>429</v>
      </c>
      <c r="K1054" t="s">
        <v>23</v>
      </c>
      <c r="L1054" t="s">
        <v>179</v>
      </c>
      <c r="M1054" t="s">
        <v>180</v>
      </c>
      <c r="N1054" t="s">
        <v>173</v>
      </c>
      <c r="O1054" t="s">
        <v>27</v>
      </c>
      <c r="P1054" s="1">
        <v>44784</v>
      </c>
      <c r="Q1054">
        <f t="shared" si="80"/>
        <v>0</v>
      </c>
      <c r="R1054">
        <f t="shared" si="81"/>
        <v>0</v>
      </c>
      <c r="S1054">
        <f t="shared" si="82"/>
        <v>1</v>
      </c>
      <c r="T1054" s="11">
        <f t="shared" si="83"/>
        <v>2021</v>
      </c>
      <c r="U1054" s="11">
        <f t="shared" si="84"/>
        <v>25266</v>
      </c>
    </row>
    <row r="1055" spans="1:21" x14ac:dyDescent="0.3">
      <c r="A1055" t="s">
        <v>1674</v>
      </c>
      <c r="B1055">
        <v>2018</v>
      </c>
      <c r="C1055" t="s">
        <v>56</v>
      </c>
      <c r="D1055" t="s">
        <v>93</v>
      </c>
      <c r="E1055">
        <v>32248</v>
      </c>
      <c r="F1055" t="s">
        <v>57</v>
      </c>
      <c r="G1055">
        <v>54600</v>
      </c>
      <c r="H1055" t="s">
        <v>20</v>
      </c>
      <c r="I1055" t="s">
        <v>78</v>
      </c>
      <c r="J1055" t="s">
        <v>218</v>
      </c>
      <c r="K1055" t="s">
        <v>23</v>
      </c>
      <c r="L1055" t="s">
        <v>292</v>
      </c>
      <c r="M1055" t="s">
        <v>172</v>
      </c>
      <c r="N1055" t="s">
        <v>173</v>
      </c>
      <c r="O1055" t="s">
        <v>27</v>
      </c>
      <c r="P1055" s="1">
        <v>44784</v>
      </c>
      <c r="Q1055">
        <f t="shared" si="80"/>
        <v>0</v>
      </c>
      <c r="R1055">
        <f t="shared" si="81"/>
        <v>0</v>
      </c>
      <c r="S1055">
        <f t="shared" si="82"/>
        <v>0</v>
      </c>
      <c r="T1055" s="11">
        <f t="shared" si="83"/>
        <v>2018</v>
      </c>
      <c r="U1055" s="11">
        <f t="shared" si="84"/>
        <v>32248</v>
      </c>
    </row>
    <row r="1056" spans="1:21" x14ac:dyDescent="0.3">
      <c r="A1056" t="s">
        <v>1675</v>
      </c>
      <c r="B1056">
        <v>2019</v>
      </c>
      <c r="C1056" t="s">
        <v>56</v>
      </c>
      <c r="D1056" t="s">
        <v>32</v>
      </c>
      <c r="E1056">
        <v>39176</v>
      </c>
      <c r="F1056" t="s">
        <v>57</v>
      </c>
      <c r="G1056">
        <v>49300</v>
      </c>
      <c r="H1056" t="s">
        <v>20</v>
      </c>
      <c r="I1056" t="s">
        <v>58</v>
      </c>
      <c r="J1056" t="s">
        <v>168</v>
      </c>
      <c r="K1056" t="s">
        <v>23</v>
      </c>
      <c r="L1056" t="s">
        <v>179</v>
      </c>
      <c r="M1056" t="s">
        <v>180</v>
      </c>
      <c r="N1056" t="s">
        <v>173</v>
      </c>
      <c r="O1056" t="s">
        <v>27</v>
      </c>
      <c r="P1056" s="1">
        <v>44784</v>
      </c>
      <c r="Q1056">
        <f t="shared" si="80"/>
        <v>0</v>
      </c>
      <c r="R1056">
        <f t="shared" si="81"/>
        <v>0</v>
      </c>
      <c r="S1056">
        <f t="shared" si="82"/>
        <v>0</v>
      </c>
      <c r="T1056" s="11">
        <f t="shared" si="83"/>
        <v>2019</v>
      </c>
      <c r="U1056" s="11">
        <f t="shared" si="84"/>
        <v>39176</v>
      </c>
    </row>
    <row r="1057" spans="1:21" x14ac:dyDescent="0.3">
      <c r="A1057" t="s">
        <v>1676</v>
      </c>
      <c r="B1057">
        <v>2021</v>
      </c>
      <c r="C1057" t="s">
        <v>17</v>
      </c>
      <c r="D1057" t="s">
        <v>32</v>
      </c>
      <c r="E1057">
        <v>5383</v>
      </c>
      <c r="F1057" t="s">
        <v>19</v>
      </c>
      <c r="G1057">
        <v>77300</v>
      </c>
      <c r="H1057" t="s">
        <v>77</v>
      </c>
      <c r="I1057" t="s">
        <v>21</v>
      </c>
      <c r="J1057" t="s">
        <v>476</v>
      </c>
      <c r="K1057" t="s">
        <v>23</v>
      </c>
      <c r="L1057" t="s">
        <v>41</v>
      </c>
      <c r="M1057" t="s">
        <v>42</v>
      </c>
      <c r="N1057" t="s">
        <v>26</v>
      </c>
      <c r="O1057" t="s">
        <v>27</v>
      </c>
      <c r="P1057" s="1">
        <v>44784</v>
      </c>
      <c r="Q1057">
        <f t="shared" si="80"/>
        <v>0</v>
      </c>
      <c r="R1057">
        <f t="shared" si="81"/>
        <v>0</v>
      </c>
      <c r="S1057">
        <f t="shared" si="82"/>
        <v>1</v>
      </c>
      <c r="T1057" s="11">
        <f t="shared" si="83"/>
        <v>2021</v>
      </c>
      <c r="U1057" s="11">
        <f t="shared" si="84"/>
        <v>5383</v>
      </c>
    </row>
    <row r="1058" spans="1:21" x14ac:dyDescent="0.3">
      <c r="A1058" t="s">
        <v>1677</v>
      </c>
      <c r="B1058">
        <v>2020</v>
      </c>
      <c r="C1058" t="s">
        <v>17</v>
      </c>
      <c r="D1058" t="s">
        <v>18</v>
      </c>
      <c r="E1058">
        <v>32286</v>
      </c>
      <c r="F1058" t="s">
        <v>207</v>
      </c>
      <c r="G1058">
        <v>68400</v>
      </c>
      <c r="H1058" t="s">
        <v>20</v>
      </c>
      <c r="I1058" t="s">
        <v>21</v>
      </c>
      <c r="J1058" t="s">
        <v>326</v>
      </c>
      <c r="K1058" t="s">
        <v>23</v>
      </c>
      <c r="L1058" t="s">
        <v>87</v>
      </c>
      <c r="M1058" t="s">
        <v>88</v>
      </c>
      <c r="N1058" t="s">
        <v>89</v>
      </c>
      <c r="O1058" t="s">
        <v>27</v>
      </c>
      <c r="P1058" s="1">
        <v>44784</v>
      </c>
      <c r="Q1058">
        <f t="shared" si="80"/>
        <v>0</v>
      </c>
      <c r="R1058">
        <f t="shared" si="81"/>
        <v>0</v>
      </c>
      <c r="S1058">
        <f t="shared" si="82"/>
        <v>1</v>
      </c>
      <c r="T1058" s="11">
        <f t="shared" si="83"/>
        <v>2020</v>
      </c>
      <c r="U1058" s="11">
        <f t="shared" si="84"/>
        <v>32286</v>
      </c>
    </row>
    <row r="1059" spans="1:21" x14ac:dyDescent="0.3">
      <c r="A1059" t="s">
        <v>1678</v>
      </c>
      <c r="B1059">
        <v>2020</v>
      </c>
      <c r="C1059" t="s">
        <v>56</v>
      </c>
      <c r="D1059" t="s">
        <v>93</v>
      </c>
      <c r="E1059">
        <v>39248</v>
      </c>
      <c r="F1059" t="s">
        <v>57</v>
      </c>
      <c r="G1059">
        <v>58600</v>
      </c>
      <c r="H1059" t="s">
        <v>20</v>
      </c>
      <c r="I1059" t="s">
        <v>78</v>
      </c>
      <c r="J1059" t="s">
        <v>218</v>
      </c>
      <c r="K1059" t="s">
        <v>23</v>
      </c>
      <c r="L1059" t="s">
        <v>95</v>
      </c>
      <c r="M1059" t="s">
        <v>96</v>
      </c>
      <c r="N1059" t="s">
        <v>89</v>
      </c>
      <c r="O1059" t="s">
        <v>27</v>
      </c>
      <c r="P1059" s="1">
        <v>44784</v>
      </c>
      <c r="Q1059">
        <f t="shared" si="80"/>
        <v>0</v>
      </c>
      <c r="R1059">
        <f t="shared" si="81"/>
        <v>0</v>
      </c>
      <c r="S1059">
        <f t="shared" si="82"/>
        <v>0</v>
      </c>
      <c r="T1059" s="11">
        <f t="shared" si="83"/>
        <v>2020</v>
      </c>
      <c r="U1059" s="11">
        <f t="shared" si="84"/>
        <v>39248</v>
      </c>
    </row>
    <row r="1060" spans="1:21" x14ac:dyDescent="0.3">
      <c r="A1060" t="s">
        <v>1679</v>
      </c>
      <c r="B1060">
        <v>2019</v>
      </c>
      <c r="C1060" t="s">
        <v>56</v>
      </c>
      <c r="D1060" t="s">
        <v>76</v>
      </c>
      <c r="E1060">
        <v>23450</v>
      </c>
      <c r="F1060" t="s">
        <v>57</v>
      </c>
      <c r="G1060">
        <v>49500</v>
      </c>
      <c r="H1060" t="s">
        <v>20</v>
      </c>
      <c r="I1060" t="s">
        <v>58</v>
      </c>
      <c r="J1060" t="s">
        <v>979</v>
      </c>
      <c r="K1060" t="s">
        <v>23</v>
      </c>
      <c r="L1060" t="s">
        <v>95</v>
      </c>
      <c r="M1060" t="s">
        <v>96</v>
      </c>
      <c r="N1060" t="s">
        <v>89</v>
      </c>
      <c r="O1060" t="s">
        <v>27</v>
      </c>
      <c r="P1060" s="1">
        <v>44784</v>
      </c>
      <c r="Q1060">
        <f t="shared" si="80"/>
        <v>0</v>
      </c>
      <c r="R1060">
        <f t="shared" si="81"/>
        <v>0</v>
      </c>
      <c r="S1060">
        <f t="shared" si="82"/>
        <v>0</v>
      </c>
      <c r="T1060" s="11">
        <f t="shared" si="83"/>
        <v>2019</v>
      </c>
      <c r="U1060" s="11">
        <f t="shared" si="84"/>
        <v>23450</v>
      </c>
    </row>
    <row r="1061" spans="1:21" x14ac:dyDescent="0.3">
      <c r="A1061" t="s">
        <v>1680</v>
      </c>
      <c r="B1061">
        <v>2018</v>
      </c>
      <c r="C1061" t="s">
        <v>56</v>
      </c>
      <c r="D1061" t="s">
        <v>76</v>
      </c>
      <c r="E1061">
        <v>53692</v>
      </c>
      <c r="F1061" t="s">
        <v>57</v>
      </c>
      <c r="G1061">
        <v>44800</v>
      </c>
      <c r="H1061" t="s">
        <v>20</v>
      </c>
      <c r="I1061" t="s">
        <v>78</v>
      </c>
      <c r="J1061" t="s">
        <v>347</v>
      </c>
      <c r="K1061" t="s">
        <v>23</v>
      </c>
      <c r="L1061" t="s">
        <v>87</v>
      </c>
      <c r="M1061" t="s">
        <v>88</v>
      </c>
      <c r="N1061" t="s">
        <v>89</v>
      </c>
      <c r="O1061" t="s">
        <v>27</v>
      </c>
      <c r="P1061" s="1">
        <v>44784</v>
      </c>
      <c r="Q1061">
        <f t="shared" si="80"/>
        <v>0</v>
      </c>
      <c r="R1061">
        <f t="shared" si="81"/>
        <v>0</v>
      </c>
      <c r="S1061">
        <f t="shared" si="82"/>
        <v>0</v>
      </c>
      <c r="T1061" s="11">
        <f t="shared" si="83"/>
        <v>2018</v>
      </c>
      <c r="U1061" s="11">
        <f t="shared" si="84"/>
        <v>53692</v>
      </c>
    </row>
    <row r="1062" spans="1:21" x14ac:dyDescent="0.3">
      <c r="A1062" t="s">
        <v>1681</v>
      </c>
      <c r="B1062">
        <v>2021</v>
      </c>
      <c r="C1062" t="s">
        <v>17</v>
      </c>
      <c r="D1062" t="s">
        <v>30</v>
      </c>
      <c r="E1062">
        <v>19305</v>
      </c>
      <c r="F1062" t="s">
        <v>19</v>
      </c>
      <c r="G1062">
        <v>74800</v>
      </c>
      <c r="H1062" t="s">
        <v>20</v>
      </c>
      <c r="I1062" t="s">
        <v>78</v>
      </c>
      <c r="J1062" t="s">
        <v>242</v>
      </c>
      <c r="K1062" t="s">
        <v>23</v>
      </c>
      <c r="L1062" t="s">
        <v>117</v>
      </c>
      <c r="M1062" t="s">
        <v>118</v>
      </c>
      <c r="N1062" t="s">
        <v>119</v>
      </c>
      <c r="O1062" t="s">
        <v>27</v>
      </c>
      <c r="P1062" s="1">
        <v>44784</v>
      </c>
      <c r="Q1062">
        <f t="shared" si="80"/>
        <v>0</v>
      </c>
      <c r="R1062">
        <f t="shared" si="81"/>
        <v>0</v>
      </c>
      <c r="S1062">
        <f t="shared" si="82"/>
        <v>1</v>
      </c>
      <c r="T1062" s="11">
        <f t="shared" si="83"/>
        <v>2021</v>
      </c>
      <c r="U1062" s="11">
        <f t="shared" si="84"/>
        <v>19305</v>
      </c>
    </row>
    <row r="1063" spans="1:21" x14ac:dyDescent="0.3">
      <c r="A1063" t="s">
        <v>1682</v>
      </c>
      <c r="B1063">
        <v>2018</v>
      </c>
      <c r="C1063" t="s">
        <v>56</v>
      </c>
      <c r="D1063" t="s">
        <v>93</v>
      </c>
      <c r="E1063">
        <v>41546</v>
      </c>
      <c r="F1063" t="s">
        <v>57</v>
      </c>
      <c r="G1063">
        <v>47000</v>
      </c>
      <c r="H1063" t="s">
        <v>20</v>
      </c>
      <c r="I1063" t="s">
        <v>78</v>
      </c>
      <c r="J1063" t="s">
        <v>218</v>
      </c>
      <c r="K1063" t="s">
        <v>23</v>
      </c>
      <c r="L1063" t="s">
        <v>122</v>
      </c>
      <c r="M1063" t="s">
        <v>113</v>
      </c>
      <c r="N1063" t="s">
        <v>114</v>
      </c>
      <c r="O1063" t="s">
        <v>27</v>
      </c>
      <c r="P1063" s="1">
        <v>44784</v>
      </c>
      <c r="Q1063">
        <f t="shared" si="80"/>
        <v>0</v>
      </c>
      <c r="R1063">
        <f t="shared" si="81"/>
        <v>0</v>
      </c>
      <c r="S1063">
        <f t="shared" si="82"/>
        <v>0</v>
      </c>
      <c r="T1063" s="11">
        <f t="shared" si="83"/>
        <v>2018</v>
      </c>
      <c r="U1063" s="11">
        <f t="shared" si="84"/>
        <v>41546</v>
      </c>
    </row>
    <row r="1064" spans="1:21" x14ac:dyDescent="0.3">
      <c r="A1064" t="s">
        <v>1683</v>
      </c>
      <c r="B1064">
        <v>2018</v>
      </c>
      <c r="C1064" t="s">
        <v>56</v>
      </c>
      <c r="D1064" t="s">
        <v>30</v>
      </c>
      <c r="E1064">
        <v>54483</v>
      </c>
      <c r="F1064" t="s">
        <v>57</v>
      </c>
      <c r="G1064">
        <v>45400</v>
      </c>
      <c r="H1064" t="s">
        <v>77</v>
      </c>
      <c r="I1064" t="s">
        <v>58</v>
      </c>
      <c r="J1064" t="s">
        <v>284</v>
      </c>
      <c r="K1064" t="s">
        <v>23</v>
      </c>
      <c r="L1064" t="s">
        <v>122</v>
      </c>
      <c r="M1064" t="s">
        <v>113</v>
      </c>
      <c r="N1064" t="s">
        <v>114</v>
      </c>
      <c r="O1064" t="s">
        <v>27</v>
      </c>
      <c r="P1064" s="1">
        <v>44784</v>
      </c>
      <c r="Q1064">
        <f t="shared" si="80"/>
        <v>0</v>
      </c>
      <c r="R1064">
        <f t="shared" si="81"/>
        <v>0</v>
      </c>
      <c r="S1064">
        <f t="shared" si="82"/>
        <v>0</v>
      </c>
      <c r="T1064" s="11">
        <f t="shared" si="83"/>
        <v>2018</v>
      </c>
      <c r="U1064" s="11">
        <f t="shared" si="84"/>
        <v>54483</v>
      </c>
    </row>
    <row r="1065" spans="1:21" x14ac:dyDescent="0.3">
      <c r="A1065" t="s">
        <v>1684</v>
      </c>
      <c r="B1065">
        <v>2018</v>
      </c>
      <c r="C1065" t="s">
        <v>29</v>
      </c>
      <c r="D1065" t="s">
        <v>53</v>
      </c>
      <c r="E1065">
        <v>42936</v>
      </c>
      <c r="F1065" t="s">
        <v>52</v>
      </c>
      <c r="G1065">
        <v>92400</v>
      </c>
      <c r="H1065" t="s">
        <v>53</v>
      </c>
      <c r="I1065" t="s">
        <v>21</v>
      </c>
      <c r="J1065" t="s">
        <v>1685</v>
      </c>
      <c r="K1065" t="s">
        <v>23</v>
      </c>
      <c r="L1065" t="s">
        <v>494</v>
      </c>
      <c r="M1065" t="s">
        <v>113</v>
      </c>
      <c r="N1065" t="s">
        <v>114</v>
      </c>
      <c r="O1065" t="s">
        <v>27</v>
      </c>
      <c r="P1065" s="1">
        <v>44784</v>
      </c>
      <c r="Q1065">
        <f t="shared" si="80"/>
        <v>0</v>
      </c>
      <c r="R1065">
        <f t="shared" si="81"/>
        <v>1</v>
      </c>
      <c r="S1065">
        <f t="shared" si="82"/>
        <v>0</v>
      </c>
      <c r="T1065" s="11">
        <f t="shared" si="83"/>
        <v>2018</v>
      </c>
      <c r="U1065" s="11">
        <f t="shared" si="84"/>
        <v>42936</v>
      </c>
    </row>
    <row r="1066" spans="1:21" x14ac:dyDescent="0.3">
      <c r="A1066" t="s">
        <v>1686</v>
      </c>
      <c r="B1066">
        <v>2019</v>
      </c>
      <c r="C1066" t="s">
        <v>56</v>
      </c>
      <c r="D1066" t="s">
        <v>32</v>
      </c>
      <c r="E1066">
        <v>35357</v>
      </c>
      <c r="F1066" t="s">
        <v>57</v>
      </c>
      <c r="G1066">
        <v>51500</v>
      </c>
      <c r="H1066" t="s">
        <v>20</v>
      </c>
      <c r="I1066" t="s">
        <v>58</v>
      </c>
      <c r="J1066" t="s">
        <v>168</v>
      </c>
      <c r="K1066" t="s">
        <v>23</v>
      </c>
      <c r="L1066" t="s">
        <v>543</v>
      </c>
      <c r="M1066" t="s">
        <v>544</v>
      </c>
      <c r="N1066" t="s">
        <v>545</v>
      </c>
      <c r="O1066" t="s">
        <v>27</v>
      </c>
      <c r="P1066" s="1">
        <v>44784</v>
      </c>
      <c r="Q1066">
        <f t="shared" si="80"/>
        <v>0</v>
      </c>
      <c r="R1066">
        <f t="shared" si="81"/>
        <v>0</v>
      </c>
      <c r="S1066">
        <f t="shared" si="82"/>
        <v>0</v>
      </c>
      <c r="T1066" s="11">
        <f t="shared" si="83"/>
        <v>2019</v>
      </c>
      <c r="U1066" s="11">
        <f t="shared" si="84"/>
        <v>35357</v>
      </c>
    </row>
    <row r="1067" spans="1:21" x14ac:dyDescent="0.3">
      <c r="A1067" t="s">
        <v>1687</v>
      </c>
      <c r="B1067">
        <v>2018</v>
      </c>
      <c r="C1067" t="s">
        <v>56</v>
      </c>
      <c r="D1067" t="s">
        <v>76</v>
      </c>
      <c r="E1067">
        <v>21696</v>
      </c>
      <c r="F1067" t="s">
        <v>57</v>
      </c>
      <c r="G1067">
        <v>49000</v>
      </c>
      <c r="H1067" t="s">
        <v>77</v>
      </c>
      <c r="I1067" t="s">
        <v>78</v>
      </c>
      <c r="J1067" t="s">
        <v>1688</v>
      </c>
      <c r="K1067" t="s">
        <v>23</v>
      </c>
      <c r="L1067" t="s">
        <v>494</v>
      </c>
      <c r="M1067" t="s">
        <v>113</v>
      </c>
      <c r="N1067" t="s">
        <v>114</v>
      </c>
      <c r="O1067" t="s">
        <v>27</v>
      </c>
      <c r="P1067" s="1">
        <v>44784</v>
      </c>
      <c r="Q1067">
        <f t="shared" si="80"/>
        <v>0</v>
      </c>
      <c r="R1067">
        <f t="shared" si="81"/>
        <v>0</v>
      </c>
      <c r="S1067">
        <f t="shared" si="82"/>
        <v>0</v>
      </c>
      <c r="T1067" s="11">
        <f t="shared" si="83"/>
        <v>2018</v>
      </c>
      <c r="U1067" s="11">
        <f t="shared" si="84"/>
        <v>21696</v>
      </c>
    </row>
    <row r="1068" spans="1:21" x14ac:dyDescent="0.3">
      <c r="A1068" t="s">
        <v>1689</v>
      </c>
      <c r="B1068">
        <v>2021</v>
      </c>
      <c r="C1068" t="s">
        <v>37</v>
      </c>
      <c r="D1068" t="s">
        <v>32</v>
      </c>
      <c r="E1068">
        <v>3259</v>
      </c>
      <c r="F1068" t="s">
        <v>131</v>
      </c>
      <c r="G1068">
        <v>118300</v>
      </c>
      <c r="H1068" t="s">
        <v>53</v>
      </c>
      <c r="I1068" t="s">
        <v>78</v>
      </c>
      <c r="J1068" t="s">
        <v>1173</v>
      </c>
      <c r="K1068" t="s">
        <v>23</v>
      </c>
      <c r="L1068" t="s">
        <v>494</v>
      </c>
      <c r="M1068" t="s">
        <v>113</v>
      </c>
      <c r="N1068" t="s">
        <v>114</v>
      </c>
      <c r="O1068" t="s">
        <v>27</v>
      </c>
      <c r="P1068" s="1">
        <v>44784</v>
      </c>
      <c r="Q1068">
        <f t="shared" si="80"/>
        <v>1</v>
      </c>
      <c r="R1068">
        <f t="shared" si="81"/>
        <v>0</v>
      </c>
      <c r="S1068">
        <f t="shared" si="82"/>
        <v>0</v>
      </c>
      <c r="T1068" s="11">
        <f t="shared" si="83"/>
        <v>2021</v>
      </c>
      <c r="U1068" s="11">
        <f t="shared" si="84"/>
        <v>3259</v>
      </c>
    </row>
    <row r="1069" spans="1:21" x14ac:dyDescent="0.3">
      <c r="A1069" t="s">
        <v>1690</v>
      </c>
      <c r="B1069">
        <v>2018</v>
      </c>
      <c r="C1069" t="s">
        <v>56</v>
      </c>
      <c r="D1069" t="s">
        <v>76</v>
      </c>
      <c r="E1069">
        <v>25568</v>
      </c>
      <c r="F1069" t="s">
        <v>57</v>
      </c>
      <c r="G1069">
        <v>50600</v>
      </c>
      <c r="H1069" t="s">
        <v>20</v>
      </c>
      <c r="I1069" t="s">
        <v>58</v>
      </c>
      <c r="J1069" t="s">
        <v>979</v>
      </c>
      <c r="K1069" t="s">
        <v>23</v>
      </c>
      <c r="L1069" t="s">
        <v>806</v>
      </c>
      <c r="N1069" t="s">
        <v>149</v>
      </c>
      <c r="O1069" t="s">
        <v>27</v>
      </c>
      <c r="P1069" s="1">
        <v>44784</v>
      </c>
      <c r="Q1069">
        <f t="shared" si="80"/>
        <v>0</v>
      </c>
      <c r="R1069">
        <f t="shared" si="81"/>
        <v>0</v>
      </c>
      <c r="S1069">
        <f t="shared" si="82"/>
        <v>0</v>
      </c>
      <c r="T1069" s="11">
        <f t="shared" si="83"/>
        <v>2018</v>
      </c>
      <c r="U1069" s="11">
        <f t="shared" si="84"/>
        <v>25568</v>
      </c>
    </row>
    <row r="1070" spans="1:21" x14ac:dyDescent="0.3">
      <c r="A1070" t="s">
        <v>1691</v>
      </c>
      <c r="B1070">
        <v>2019</v>
      </c>
      <c r="C1070" t="s">
        <v>56</v>
      </c>
      <c r="D1070" t="s">
        <v>93</v>
      </c>
      <c r="E1070">
        <v>28485</v>
      </c>
      <c r="F1070" t="s">
        <v>57</v>
      </c>
      <c r="G1070">
        <v>50500</v>
      </c>
      <c r="H1070" t="s">
        <v>20</v>
      </c>
      <c r="I1070" t="s">
        <v>78</v>
      </c>
      <c r="J1070" t="s">
        <v>218</v>
      </c>
      <c r="K1070" t="s">
        <v>23</v>
      </c>
      <c r="L1070" t="s">
        <v>278</v>
      </c>
      <c r="M1070" t="s">
        <v>148</v>
      </c>
      <c r="N1070" t="s">
        <v>149</v>
      </c>
      <c r="O1070" t="s">
        <v>27</v>
      </c>
      <c r="P1070" s="1">
        <v>44784</v>
      </c>
      <c r="Q1070">
        <f t="shared" si="80"/>
        <v>0</v>
      </c>
      <c r="R1070">
        <f t="shared" si="81"/>
        <v>0</v>
      </c>
      <c r="S1070">
        <f t="shared" si="82"/>
        <v>0</v>
      </c>
      <c r="T1070" s="11">
        <f t="shared" si="83"/>
        <v>2019</v>
      </c>
      <c r="U1070" s="11">
        <f t="shared" si="84"/>
        <v>28485</v>
      </c>
    </row>
    <row r="1071" spans="1:21" x14ac:dyDescent="0.3">
      <c r="A1071" t="s">
        <v>1692</v>
      </c>
      <c r="B1071">
        <v>2020</v>
      </c>
      <c r="C1071" t="s">
        <v>17</v>
      </c>
      <c r="D1071" t="s">
        <v>32</v>
      </c>
      <c r="E1071">
        <v>14597</v>
      </c>
      <c r="F1071" t="s">
        <v>207</v>
      </c>
      <c r="G1071">
        <v>67900</v>
      </c>
      <c r="H1071" t="s">
        <v>20</v>
      </c>
      <c r="I1071" t="s">
        <v>78</v>
      </c>
      <c r="J1071" t="s">
        <v>200</v>
      </c>
      <c r="K1071" t="s">
        <v>23</v>
      </c>
      <c r="N1071" t="s">
        <v>127</v>
      </c>
      <c r="O1071" t="s">
        <v>27</v>
      </c>
      <c r="P1071" s="1">
        <v>44784</v>
      </c>
      <c r="Q1071">
        <f t="shared" si="80"/>
        <v>0</v>
      </c>
      <c r="R1071">
        <f t="shared" si="81"/>
        <v>0</v>
      </c>
      <c r="S1071">
        <f t="shared" si="82"/>
        <v>1</v>
      </c>
      <c r="T1071" s="11">
        <f t="shared" si="83"/>
        <v>2020</v>
      </c>
      <c r="U1071" s="11">
        <f t="shared" si="84"/>
        <v>14597</v>
      </c>
    </row>
    <row r="1072" spans="1:21" x14ac:dyDescent="0.3">
      <c r="A1072" t="s">
        <v>1693</v>
      </c>
      <c r="B1072">
        <v>2019</v>
      </c>
      <c r="C1072" t="s">
        <v>56</v>
      </c>
      <c r="D1072" t="s">
        <v>32</v>
      </c>
      <c r="E1072">
        <v>18941</v>
      </c>
      <c r="F1072" t="s">
        <v>71</v>
      </c>
      <c r="G1072">
        <v>62400</v>
      </c>
      <c r="H1072" t="s">
        <v>77</v>
      </c>
      <c r="I1072" t="s">
        <v>21</v>
      </c>
      <c r="J1072" t="s">
        <v>121</v>
      </c>
      <c r="K1072" t="s">
        <v>23</v>
      </c>
      <c r="N1072" t="s">
        <v>127</v>
      </c>
      <c r="O1072" t="s">
        <v>27</v>
      </c>
      <c r="P1072" s="1">
        <v>44784</v>
      </c>
      <c r="Q1072">
        <f t="shared" si="80"/>
        <v>0</v>
      </c>
      <c r="R1072">
        <f t="shared" si="81"/>
        <v>0</v>
      </c>
      <c r="S1072">
        <f t="shared" si="82"/>
        <v>0</v>
      </c>
      <c r="T1072" s="11">
        <f t="shared" si="83"/>
        <v>2019</v>
      </c>
      <c r="U1072" s="11">
        <f t="shared" si="84"/>
        <v>18941</v>
      </c>
    </row>
    <row r="1073" spans="1:21" x14ac:dyDescent="0.3">
      <c r="A1073" t="s">
        <v>1694</v>
      </c>
      <c r="B1073">
        <v>2019</v>
      </c>
      <c r="C1073" t="s">
        <v>56</v>
      </c>
      <c r="D1073" t="s">
        <v>76</v>
      </c>
      <c r="E1073">
        <v>28430</v>
      </c>
      <c r="F1073" t="s">
        <v>57</v>
      </c>
      <c r="G1073">
        <v>52300</v>
      </c>
      <c r="H1073" t="s">
        <v>20</v>
      </c>
      <c r="I1073" t="s">
        <v>58</v>
      </c>
      <c r="J1073" t="s">
        <v>979</v>
      </c>
      <c r="K1073" t="s">
        <v>23</v>
      </c>
      <c r="N1073" t="s">
        <v>127</v>
      </c>
      <c r="O1073" t="s">
        <v>27</v>
      </c>
      <c r="P1073" s="1">
        <v>44784</v>
      </c>
      <c r="Q1073">
        <f t="shared" si="80"/>
        <v>0</v>
      </c>
      <c r="R1073">
        <f t="shared" si="81"/>
        <v>0</v>
      </c>
      <c r="S1073">
        <f t="shared" si="82"/>
        <v>0</v>
      </c>
      <c r="T1073" s="11">
        <f t="shared" si="83"/>
        <v>2019</v>
      </c>
      <c r="U1073" s="11">
        <f t="shared" si="84"/>
        <v>28430</v>
      </c>
    </row>
    <row r="1074" spans="1:21" x14ac:dyDescent="0.3">
      <c r="A1074" t="s">
        <v>1695</v>
      </c>
      <c r="B1074">
        <v>2021</v>
      </c>
      <c r="C1074" t="s">
        <v>56</v>
      </c>
      <c r="D1074" t="s">
        <v>53</v>
      </c>
      <c r="E1074">
        <v>7933</v>
      </c>
      <c r="F1074" t="s">
        <v>143</v>
      </c>
      <c r="G1074">
        <v>67600</v>
      </c>
      <c r="H1074" t="s">
        <v>20</v>
      </c>
      <c r="J1074" t="s">
        <v>223</v>
      </c>
      <c r="K1074" t="s">
        <v>23</v>
      </c>
      <c r="L1074" t="s">
        <v>292</v>
      </c>
      <c r="M1074" t="s">
        <v>172</v>
      </c>
      <c r="N1074" t="s">
        <v>173</v>
      </c>
      <c r="O1074" t="s">
        <v>27</v>
      </c>
      <c r="P1074" s="1">
        <v>44784</v>
      </c>
      <c r="Q1074">
        <f t="shared" si="80"/>
        <v>0</v>
      </c>
      <c r="R1074">
        <f t="shared" si="81"/>
        <v>0</v>
      </c>
      <c r="S1074">
        <f t="shared" si="82"/>
        <v>0</v>
      </c>
      <c r="T1074" s="11">
        <f t="shared" si="83"/>
        <v>2021</v>
      </c>
      <c r="U1074" s="11">
        <f t="shared" si="84"/>
        <v>7933</v>
      </c>
    </row>
    <row r="1075" spans="1:21" x14ac:dyDescent="0.3">
      <c r="A1075" t="s">
        <v>1696</v>
      </c>
      <c r="B1075">
        <v>2019</v>
      </c>
      <c r="C1075" t="s">
        <v>56</v>
      </c>
      <c r="D1075" t="s">
        <v>76</v>
      </c>
      <c r="E1075">
        <v>28623</v>
      </c>
      <c r="F1075" t="s">
        <v>57</v>
      </c>
      <c r="G1075">
        <v>53800</v>
      </c>
      <c r="H1075" t="s">
        <v>20</v>
      </c>
      <c r="I1075" t="s">
        <v>78</v>
      </c>
      <c r="J1075" t="s">
        <v>347</v>
      </c>
      <c r="K1075" t="s">
        <v>23</v>
      </c>
      <c r="L1075" t="s">
        <v>292</v>
      </c>
      <c r="M1075" t="s">
        <v>172</v>
      </c>
      <c r="N1075" t="s">
        <v>173</v>
      </c>
      <c r="O1075" t="s">
        <v>27</v>
      </c>
      <c r="P1075" s="1">
        <v>44784</v>
      </c>
      <c r="Q1075">
        <f t="shared" si="80"/>
        <v>0</v>
      </c>
      <c r="R1075">
        <f t="shared" si="81"/>
        <v>0</v>
      </c>
      <c r="S1075">
        <f t="shared" si="82"/>
        <v>0</v>
      </c>
      <c r="T1075" s="11">
        <f t="shared" si="83"/>
        <v>2019</v>
      </c>
      <c r="U1075" s="11">
        <f t="shared" si="84"/>
        <v>28623</v>
      </c>
    </row>
    <row r="1076" spans="1:21" x14ac:dyDescent="0.3">
      <c r="A1076" t="s">
        <v>1697</v>
      </c>
      <c r="B1076">
        <v>2019</v>
      </c>
      <c r="C1076" t="s">
        <v>56</v>
      </c>
      <c r="D1076" t="s">
        <v>30</v>
      </c>
      <c r="E1076">
        <v>27091</v>
      </c>
      <c r="F1076" t="s">
        <v>57</v>
      </c>
      <c r="G1076">
        <v>53500</v>
      </c>
      <c r="H1076" t="s">
        <v>77</v>
      </c>
      <c r="I1076" t="s">
        <v>58</v>
      </c>
      <c r="J1076" t="s">
        <v>284</v>
      </c>
      <c r="K1076" t="s">
        <v>23</v>
      </c>
      <c r="L1076" t="s">
        <v>292</v>
      </c>
      <c r="M1076" t="s">
        <v>172</v>
      </c>
      <c r="N1076" t="s">
        <v>173</v>
      </c>
      <c r="O1076" t="s">
        <v>27</v>
      </c>
      <c r="P1076" s="1">
        <v>44784</v>
      </c>
      <c r="Q1076">
        <f t="shared" si="80"/>
        <v>0</v>
      </c>
      <c r="R1076">
        <f t="shared" si="81"/>
        <v>0</v>
      </c>
      <c r="S1076">
        <f t="shared" si="82"/>
        <v>0</v>
      </c>
      <c r="T1076" s="11">
        <f t="shared" si="83"/>
        <v>2019</v>
      </c>
      <c r="U1076" s="11">
        <f t="shared" si="84"/>
        <v>27091</v>
      </c>
    </row>
    <row r="1077" spans="1:21" x14ac:dyDescent="0.3">
      <c r="A1077" t="s">
        <v>1698</v>
      </c>
      <c r="B1077">
        <v>2018</v>
      </c>
      <c r="C1077" t="s">
        <v>56</v>
      </c>
      <c r="D1077" t="s">
        <v>93</v>
      </c>
      <c r="E1077">
        <v>65583</v>
      </c>
      <c r="F1077" t="s">
        <v>57</v>
      </c>
      <c r="G1077">
        <v>46300</v>
      </c>
      <c r="H1077" t="s">
        <v>20</v>
      </c>
      <c r="I1077" t="s">
        <v>78</v>
      </c>
      <c r="J1077" t="s">
        <v>218</v>
      </c>
      <c r="K1077" t="s">
        <v>23</v>
      </c>
      <c r="L1077" t="s">
        <v>292</v>
      </c>
      <c r="M1077" t="s">
        <v>172</v>
      </c>
      <c r="N1077" t="s">
        <v>173</v>
      </c>
      <c r="O1077" t="s">
        <v>27</v>
      </c>
      <c r="P1077" s="1">
        <v>44784</v>
      </c>
      <c r="Q1077">
        <f t="shared" si="80"/>
        <v>0</v>
      </c>
      <c r="R1077">
        <f t="shared" si="81"/>
        <v>0</v>
      </c>
      <c r="S1077">
        <f t="shared" si="82"/>
        <v>0</v>
      </c>
      <c r="T1077" s="11">
        <f t="shared" si="83"/>
        <v>2018</v>
      </c>
      <c r="U1077" s="11">
        <f t="shared" si="84"/>
        <v>65583</v>
      </c>
    </row>
    <row r="1078" spans="1:21" x14ac:dyDescent="0.3">
      <c r="A1078" t="s">
        <v>1699</v>
      </c>
      <c r="B1078">
        <v>2018</v>
      </c>
      <c r="C1078" t="s">
        <v>56</v>
      </c>
      <c r="D1078" t="s">
        <v>93</v>
      </c>
      <c r="E1078">
        <v>57481</v>
      </c>
      <c r="F1078" t="s">
        <v>57</v>
      </c>
      <c r="G1078">
        <v>45900</v>
      </c>
      <c r="H1078" t="s">
        <v>20</v>
      </c>
      <c r="I1078" t="s">
        <v>78</v>
      </c>
      <c r="J1078" t="s">
        <v>218</v>
      </c>
      <c r="K1078" t="s">
        <v>23</v>
      </c>
      <c r="L1078" t="s">
        <v>292</v>
      </c>
      <c r="M1078" t="s">
        <v>172</v>
      </c>
      <c r="N1078" t="s">
        <v>173</v>
      </c>
      <c r="O1078" t="s">
        <v>27</v>
      </c>
      <c r="P1078" s="1">
        <v>44784</v>
      </c>
      <c r="Q1078">
        <f t="shared" si="80"/>
        <v>0</v>
      </c>
      <c r="R1078">
        <f t="shared" si="81"/>
        <v>0</v>
      </c>
      <c r="S1078">
        <f t="shared" si="82"/>
        <v>0</v>
      </c>
      <c r="T1078" s="11">
        <f t="shared" si="83"/>
        <v>2018</v>
      </c>
      <c r="U1078" s="11">
        <f t="shared" si="84"/>
        <v>57481</v>
      </c>
    </row>
    <row r="1079" spans="1:21" x14ac:dyDescent="0.3">
      <c r="A1079" t="s">
        <v>1700</v>
      </c>
      <c r="B1079">
        <v>2020</v>
      </c>
      <c r="C1079" t="s">
        <v>56</v>
      </c>
      <c r="D1079" t="s">
        <v>32</v>
      </c>
      <c r="E1079">
        <v>24963</v>
      </c>
      <c r="F1079" t="s">
        <v>65</v>
      </c>
      <c r="G1079">
        <v>52900</v>
      </c>
      <c r="H1079" t="s">
        <v>20</v>
      </c>
      <c r="I1079" t="s">
        <v>58</v>
      </c>
      <c r="J1079" t="s">
        <v>192</v>
      </c>
      <c r="K1079" t="s">
        <v>23</v>
      </c>
      <c r="L1079" t="s">
        <v>330</v>
      </c>
      <c r="M1079" t="s">
        <v>42</v>
      </c>
      <c r="N1079" t="s">
        <v>26</v>
      </c>
      <c r="O1079" t="s">
        <v>27</v>
      </c>
      <c r="P1079" s="1">
        <v>44784</v>
      </c>
      <c r="Q1079">
        <f t="shared" si="80"/>
        <v>0</v>
      </c>
      <c r="R1079">
        <f t="shared" si="81"/>
        <v>0</v>
      </c>
      <c r="S1079">
        <f t="shared" si="82"/>
        <v>0</v>
      </c>
      <c r="T1079" s="11">
        <f t="shared" si="83"/>
        <v>2020</v>
      </c>
      <c r="U1079" s="11">
        <f t="shared" si="84"/>
        <v>24963</v>
      </c>
    </row>
    <row r="1080" spans="1:21" x14ac:dyDescent="0.3">
      <c r="A1080" t="s">
        <v>1701</v>
      </c>
      <c r="B1080">
        <v>2018</v>
      </c>
      <c r="C1080" t="s">
        <v>56</v>
      </c>
      <c r="D1080" t="s">
        <v>30</v>
      </c>
      <c r="E1080">
        <v>34805</v>
      </c>
      <c r="F1080" t="s">
        <v>57</v>
      </c>
      <c r="G1080">
        <v>49100</v>
      </c>
      <c r="H1080" t="s">
        <v>77</v>
      </c>
      <c r="I1080" t="s">
        <v>78</v>
      </c>
      <c r="J1080" t="s">
        <v>1702</v>
      </c>
      <c r="K1080" t="s">
        <v>23</v>
      </c>
      <c r="L1080" t="s">
        <v>197</v>
      </c>
      <c r="M1080" t="s">
        <v>198</v>
      </c>
      <c r="N1080" t="s">
        <v>26</v>
      </c>
      <c r="O1080" t="s">
        <v>27</v>
      </c>
      <c r="P1080" s="1">
        <v>44784</v>
      </c>
      <c r="Q1080">
        <f t="shared" si="80"/>
        <v>0</v>
      </c>
      <c r="R1080">
        <f t="shared" si="81"/>
        <v>0</v>
      </c>
      <c r="S1080">
        <f t="shared" si="82"/>
        <v>0</v>
      </c>
      <c r="T1080" s="11">
        <f t="shared" si="83"/>
        <v>2018</v>
      </c>
      <c r="U1080" s="11">
        <f t="shared" si="84"/>
        <v>34805</v>
      </c>
    </row>
    <row r="1081" spans="1:21" x14ac:dyDescent="0.3">
      <c r="A1081" t="s">
        <v>1703</v>
      </c>
      <c r="B1081">
        <v>2019</v>
      </c>
      <c r="C1081" t="s">
        <v>56</v>
      </c>
      <c r="D1081" t="s">
        <v>32</v>
      </c>
      <c r="E1081">
        <v>21187</v>
      </c>
      <c r="F1081" t="s">
        <v>65</v>
      </c>
      <c r="G1081">
        <v>51300</v>
      </c>
      <c r="H1081" t="s">
        <v>77</v>
      </c>
      <c r="I1081" t="s">
        <v>78</v>
      </c>
      <c r="J1081" t="s">
        <v>388</v>
      </c>
      <c r="K1081" t="s">
        <v>23</v>
      </c>
      <c r="L1081" t="s">
        <v>183</v>
      </c>
      <c r="M1081" t="s">
        <v>25</v>
      </c>
      <c r="N1081" t="s">
        <v>26</v>
      </c>
      <c r="O1081" t="s">
        <v>27</v>
      </c>
      <c r="P1081" s="1">
        <v>44784</v>
      </c>
      <c r="Q1081">
        <f t="shared" si="80"/>
        <v>0</v>
      </c>
      <c r="R1081">
        <f t="shared" si="81"/>
        <v>0</v>
      </c>
      <c r="S1081">
        <f t="shared" si="82"/>
        <v>0</v>
      </c>
      <c r="T1081" s="11">
        <f t="shared" si="83"/>
        <v>2019</v>
      </c>
      <c r="U1081" s="11">
        <f t="shared" si="84"/>
        <v>21187</v>
      </c>
    </row>
    <row r="1082" spans="1:21" x14ac:dyDescent="0.3">
      <c r="A1082" t="s">
        <v>1704</v>
      </c>
      <c r="B1082">
        <v>2019</v>
      </c>
      <c r="C1082" t="s">
        <v>56</v>
      </c>
      <c r="D1082" t="s">
        <v>76</v>
      </c>
      <c r="E1082">
        <v>13733</v>
      </c>
      <c r="F1082" t="s">
        <v>65</v>
      </c>
      <c r="G1082">
        <v>48900</v>
      </c>
      <c r="H1082" t="s">
        <v>77</v>
      </c>
      <c r="I1082" t="s">
        <v>78</v>
      </c>
      <c r="J1082" t="s">
        <v>79</v>
      </c>
      <c r="K1082" t="s">
        <v>23</v>
      </c>
      <c r="L1082" t="s">
        <v>183</v>
      </c>
      <c r="M1082" t="s">
        <v>25</v>
      </c>
      <c r="N1082" t="s">
        <v>26</v>
      </c>
      <c r="O1082" t="s">
        <v>27</v>
      </c>
      <c r="P1082" s="1">
        <v>44784</v>
      </c>
      <c r="Q1082">
        <f t="shared" si="80"/>
        <v>0</v>
      </c>
      <c r="R1082">
        <f t="shared" si="81"/>
        <v>0</v>
      </c>
      <c r="S1082">
        <f t="shared" si="82"/>
        <v>0</v>
      </c>
      <c r="T1082" s="11">
        <f t="shared" si="83"/>
        <v>2019</v>
      </c>
      <c r="U1082" s="11">
        <f t="shared" si="84"/>
        <v>13733</v>
      </c>
    </row>
    <row r="1083" spans="1:21" x14ac:dyDescent="0.3">
      <c r="A1083" t="s">
        <v>1705</v>
      </c>
      <c r="B1083">
        <v>2019</v>
      </c>
      <c r="C1083" t="s">
        <v>56</v>
      </c>
      <c r="D1083" t="s">
        <v>93</v>
      </c>
      <c r="E1083">
        <v>39034</v>
      </c>
      <c r="F1083" t="s">
        <v>57</v>
      </c>
      <c r="G1083">
        <v>52000</v>
      </c>
      <c r="H1083" t="s">
        <v>20</v>
      </c>
      <c r="I1083" t="s">
        <v>78</v>
      </c>
      <c r="J1083" t="s">
        <v>218</v>
      </c>
      <c r="K1083" t="s">
        <v>23</v>
      </c>
      <c r="L1083" t="s">
        <v>876</v>
      </c>
      <c r="M1083" t="s">
        <v>220</v>
      </c>
      <c r="N1083" t="s">
        <v>221</v>
      </c>
      <c r="O1083" t="s">
        <v>27</v>
      </c>
      <c r="P1083" s="1">
        <v>44784</v>
      </c>
      <c r="Q1083">
        <f t="shared" si="80"/>
        <v>0</v>
      </c>
      <c r="R1083">
        <f t="shared" si="81"/>
        <v>0</v>
      </c>
      <c r="S1083">
        <f t="shared" si="82"/>
        <v>0</v>
      </c>
      <c r="T1083" s="11">
        <f t="shared" si="83"/>
        <v>2019</v>
      </c>
      <c r="U1083" s="11">
        <f t="shared" si="84"/>
        <v>39034</v>
      </c>
    </row>
    <row r="1084" spans="1:21" x14ac:dyDescent="0.3">
      <c r="A1084" t="s">
        <v>1706</v>
      </c>
      <c r="B1084">
        <v>2018</v>
      </c>
      <c r="C1084" t="s">
        <v>56</v>
      </c>
      <c r="D1084" t="s">
        <v>76</v>
      </c>
      <c r="E1084">
        <v>51931</v>
      </c>
      <c r="F1084" t="s">
        <v>57</v>
      </c>
      <c r="G1084">
        <v>48400</v>
      </c>
      <c r="H1084" t="s">
        <v>20</v>
      </c>
      <c r="I1084" t="s">
        <v>58</v>
      </c>
      <c r="J1084" t="s">
        <v>979</v>
      </c>
      <c r="K1084" t="s">
        <v>23</v>
      </c>
      <c r="L1084" t="s">
        <v>876</v>
      </c>
      <c r="M1084" t="s">
        <v>220</v>
      </c>
      <c r="N1084" t="s">
        <v>221</v>
      </c>
      <c r="O1084" t="s">
        <v>27</v>
      </c>
      <c r="P1084" s="1">
        <v>44784</v>
      </c>
      <c r="Q1084">
        <f t="shared" si="80"/>
        <v>0</v>
      </c>
      <c r="R1084">
        <f t="shared" si="81"/>
        <v>0</v>
      </c>
      <c r="S1084">
        <f t="shared" si="82"/>
        <v>0</v>
      </c>
      <c r="T1084" s="11">
        <f t="shared" si="83"/>
        <v>2018</v>
      </c>
      <c r="U1084" s="11">
        <f t="shared" si="84"/>
        <v>51931</v>
      </c>
    </row>
    <row r="1085" spans="1:21" x14ac:dyDescent="0.3">
      <c r="A1085" t="s">
        <v>1707</v>
      </c>
      <c r="B1085">
        <v>2018</v>
      </c>
      <c r="C1085" t="s">
        <v>37</v>
      </c>
      <c r="D1085" t="s">
        <v>32</v>
      </c>
      <c r="E1085">
        <v>17869</v>
      </c>
      <c r="F1085" t="s">
        <v>104</v>
      </c>
      <c r="G1085">
        <v>75200</v>
      </c>
      <c r="H1085" t="s">
        <v>32</v>
      </c>
      <c r="I1085" t="s">
        <v>78</v>
      </c>
      <c r="J1085" t="s">
        <v>1708</v>
      </c>
      <c r="K1085" t="s">
        <v>23</v>
      </c>
      <c r="L1085" t="s">
        <v>183</v>
      </c>
      <c r="M1085" t="s">
        <v>25</v>
      </c>
      <c r="N1085" t="s">
        <v>26</v>
      </c>
      <c r="O1085" t="s">
        <v>27</v>
      </c>
      <c r="P1085" s="1">
        <v>44783</v>
      </c>
      <c r="Q1085">
        <f t="shared" si="80"/>
        <v>1</v>
      </c>
      <c r="R1085">
        <f t="shared" si="81"/>
        <v>0</v>
      </c>
      <c r="S1085">
        <f t="shared" si="82"/>
        <v>0</v>
      </c>
      <c r="T1085" s="11">
        <f t="shared" si="83"/>
        <v>2018</v>
      </c>
      <c r="U1085" s="11">
        <f t="shared" si="84"/>
        <v>17869</v>
      </c>
    </row>
    <row r="1086" spans="1:21" x14ac:dyDescent="0.3">
      <c r="A1086" t="s">
        <v>1709</v>
      </c>
      <c r="B1086">
        <v>2019</v>
      </c>
      <c r="C1086" t="s">
        <v>56</v>
      </c>
      <c r="D1086" t="s">
        <v>32</v>
      </c>
      <c r="E1086">
        <v>33850</v>
      </c>
      <c r="F1086" t="s">
        <v>57</v>
      </c>
      <c r="G1086">
        <v>49500</v>
      </c>
      <c r="H1086" t="s">
        <v>77</v>
      </c>
      <c r="I1086" t="s">
        <v>78</v>
      </c>
      <c r="J1086" t="s">
        <v>650</v>
      </c>
      <c r="K1086" t="s">
        <v>23</v>
      </c>
      <c r="L1086" t="s">
        <v>371</v>
      </c>
      <c r="M1086" t="s">
        <v>48</v>
      </c>
      <c r="N1086" t="s">
        <v>49</v>
      </c>
      <c r="O1086" t="s">
        <v>27</v>
      </c>
      <c r="P1086" s="1">
        <v>44783</v>
      </c>
      <c r="Q1086">
        <f t="shared" si="80"/>
        <v>0</v>
      </c>
      <c r="R1086">
        <f t="shared" si="81"/>
        <v>0</v>
      </c>
      <c r="S1086">
        <f t="shared" si="82"/>
        <v>0</v>
      </c>
      <c r="T1086" s="11">
        <f t="shared" si="83"/>
        <v>2019</v>
      </c>
      <c r="U1086" s="11">
        <f t="shared" si="84"/>
        <v>33850</v>
      </c>
    </row>
    <row r="1087" spans="1:21" x14ac:dyDescent="0.3">
      <c r="A1087" t="s">
        <v>1710</v>
      </c>
      <c r="B1087">
        <v>2019</v>
      </c>
      <c r="C1087" t="s">
        <v>56</v>
      </c>
      <c r="D1087" t="s">
        <v>53</v>
      </c>
      <c r="E1087">
        <v>34868</v>
      </c>
      <c r="F1087" t="s">
        <v>57</v>
      </c>
      <c r="G1087">
        <v>46900</v>
      </c>
      <c r="H1087" t="s">
        <v>20</v>
      </c>
      <c r="I1087" t="s">
        <v>58</v>
      </c>
      <c r="J1087" t="s">
        <v>59</v>
      </c>
      <c r="K1087" t="s">
        <v>23</v>
      </c>
      <c r="L1087" t="s">
        <v>183</v>
      </c>
      <c r="M1087" t="s">
        <v>25</v>
      </c>
      <c r="N1087" t="s">
        <v>26</v>
      </c>
      <c r="O1087" t="s">
        <v>27</v>
      </c>
      <c r="P1087" s="1">
        <v>44783</v>
      </c>
      <c r="Q1087">
        <f t="shared" si="80"/>
        <v>0</v>
      </c>
      <c r="R1087">
        <f t="shared" si="81"/>
        <v>0</v>
      </c>
      <c r="S1087">
        <f t="shared" si="82"/>
        <v>0</v>
      </c>
      <c r="T1087" s="11">
        <f t="shared" si="83"/>
        <v>2019</v>
      </c>
      <c r="U1087" s="11">
        <f t="shared" si="84"/>
        <v>34868</v>
      </c>
    </row>
    <row r="1088" spans="1:21" x14ac:dyDescent="0.3">
      <c r="A1088" t="s">
        <v>1711</v>
      </c>
      <c r="B1088">
        <v>2019</v>
      </c>
      <c r="C1088" t="s">
        <v>56</v>
      </c>
      <c r="D1088" t="s">
        <v>53</v>
      </c>
      <c r="E1088">
        <v>29485</v>
      </c>
      <c r="F1088" t="s">
        <v>57</v>
      </c>
      <c r="G1088">
        <v>49500</v>
      </c>
      <c r="H1088" t="s">
        <v>20</v>
      </c>
      <c r="I1088" t="s">
        <v>78</v>
      </c>
      <c r="J1088" t="s">
        <v>564</v>
      </c>
      <c r="K1088" t="s">
        <v>23</v>
      </c>
      <c r="L1088" t="s">
        <v>84</v>
      </c>
      <c r="M1088" t="s">
        <v>48</v>
      </c>
      <c r="N1088" t="s">
        <v>69</v>
      </c>
      <c r="O1088" t="s">
        <v>27</v>
      </c>
      <c r="P1088" s="1">
        <v>44783</v>
      </c>
      <c r="Q1088">
        <f t="shared" si="80"/>
        <v>0</v>
      </c>
      <c r="R1088">
        <f t="shared" si="81"/>
        <v>0</v>
      </c>
      <c r="S1088">
        <f t="shared" si="82"/>
        <v>0</v>
      </c>
      <c r="T1088" s="11">
        <f t="shared" si="83"/>
        <v>2019</v>
      </c>
      <c r="U1088" s="11">
        <f t="shared" si="84"/>
        <v>29485</v>
      </c>
    </row>
    <row r="1089" spans="1:21" x14ac:dyDescent="0.3">
      <c r="A1089" t="s">
        <v>1712</v>
      </c>
      <c r="B1089">
        <v>2019</v>
      </c>
      <c r="C1089" t="s">
        <v>56</v>
      </c>
      <c r="D1089" t="s">
        <v>53</v>
      </c>
      <c r="E1089">
        <v>12388</v>
      </c>
      <c r="F1089" t="s">
        <v>57</v>
      </c>
      <c r="G1089">
        <v>51900</v>
      </c>
      <c r="H1089" t="s">
        <v>20</v>
      </c>
      <c r="I1089" t="s">
        <v>78</v>
      </c>
      <c r="J1089" t="s">
        <v>564</v>
      </c>
      <c r="K1089" t="s">
        <v>23</v>
      </c>
      <c r="L1089" t="s">
        <v>24</v>
      </c>
      <c r="M1089" t="s">
        <v>25</v>
      </c>
      <c r="N1089" t="s">
        <v>26</v>
      </c>
      <c r="O1089" t="s">
        <v>27</v>
      </c>
      <c r="P1089" s="1">
        <v>44783</v>
      </c>
      <c r="Q1089">
        <f t="shared" si="80"/>
        <v>0</v>
      </c>
      <c r="R1089">
        <f t="shared" si="81"/>
        <v>0</v>
      </c>
      <c r="S1089">
        <f t="shared" si="82"/>
        <v>0</v>
      </c>
      <c r="T1089" s="11">
        <f t="shared" si="83"/>
        <v>2019</v>
      </c>
      <c r="U1089" s="11">
        <f t="shared" si="84"/>
        <v>12388</v>
      </c>
    </row>
    <row r="1090" spans="1:21" x14ac:dyDescent="0.3">
      <c r="A1090" t="s">
        <v>1713</v>
      </c>
      <c r="B1090">
        <v>2019</v>
      </c>
      <c r="C1090" t="s">
        <v>56</v>
      </c>
      <c r="D1090" t="s">
        <v>30</v>
      </c>
      <c r="E1090">
        <v>30489</v>
      </c>
      <c r="F1090" t="s">
        <v>57</v>
      </c>
      <c r="G1090">
        <v>48600</v>
      </c>
      <c r="H1090" t="s">
        <v>77</v>
      </c>
      <c r="I1090" t="s">
        <v>58</v>
      </c>
      <c r="J1090" t="s">
        <v>284</v>
      </c>
      <c r="K1090" t="s">
        <v>23</v>
      </c>
      <c r="L1090" t="s">
        <v>47</v>
      </c>
      <c r="M1090" t="s">
        <v>48</v>
      </c>
      <c r="N1090" t="s">
        <v>49</v>
      </c>
      <c r="O1090" t="s">
        <v>27</v>
      </c>
      <c r="P1090" s="1">
        <v>44783</v>
      </c>
      <c r="Q1090">
        <f t="shared" ref="Q1090:Q1153" si="85">--(C1090="ms")</f>
        <v>0</v>
      </c>
      <c r="R1090">
        <f t="shared" ref="R1090:R1153" si="86">--(C1090="mx")</f>
        <v>0</v>
      </c>
      <c r="S1090">
        <f t="shared" ref="S1090:S1153" si="87">--(C1090="my")</f>
        <v>0</v>
      </c>
      <c r="T1090" s="11">
        <f t="shared" ref="T1090:T1153" si="88">B1090</f>
        <v>2019</v>
      </c>
      <c r="U1090" s="11">
        <f t="shared" ref="U1090:U1153" si="89">E1090</f>
        <v>30489</v>
      </c>
    </row>
    <row r="1091" spans="1:21" x14ac:dyDescent="0.3">
      <c r="A1091" t="s">
        <v>1714</v>
      </c>
      <c r="B1091">
        <v>2020</v>
      </c>
      <c r="C1091" t="s">
        <v>56</v>
      </c>
      <c r="D1091" t="s">
        <v>93</v>
      </c>
      <c r="E1091">
        <v>10132</v>
      </c>
      <c r="F1091" t="s">
        <v>57</v>
      </c>
      <c r="G1091">
        <v>57900</v>
      </c>
      <c r="H1091" t="s">
        <v>20</v>
      </c>
      <c r="I1091" t="s">
        <v>78</v>
      </c>
      <c r="J1091" t="s">
        <v>218</v>
      </c>
      <c r="K1091" t="s">
        <v>23</v>
      </c>
      <c r="L1091" t="s">
        <v>24</v>
      </c>
      <c r="M1091" t="s">
        <v>25</v>
      </c>
      <c r="N1091" t="s">
        <v>26</v>
      </c>
      <c r="O1091" t="s">
        <v>27</v>
      </c>
      <c r="P1091" s="1">
        <v>44783</v>
      </c>
      <c r="Q1091">
        <f t="shared" si="85"/>
        <v>0</v>
      </c>
      <c r="R1091">
        <f t="shared" si="86"/>
        <v>0</v>
      </c>
      <c r="S1091">
        <f t="shared" si="87"/>
        <v>0</v>
      </c>
      <c r="T1091" s="11">
        <f t="shared" si="88"/>
        <v>2020</v>
      </c>
      <c r="U1091" s="11">
        <f t="shared" si="89"/>
        <v>10132</v>
      </c>
    </row>
    <row r="1092" spans="1:21" x14ac:dyDescent="0.3">
      <c r="A1092" t="s">
        <v>1715</v>
      </c>
      <c r="B1092">
        <v>2018</v>
      </c>
      <c r="C1092" t="s">
        <v>56</v>
      </c>
      <c r="D1092" t="s">
        <v>32</v>
      </c>
      <c r="E1092">
        <v>61434</v>
      </c>
      <c r="F1092" t="s">
        <v>234</v>
      </c>
      <c r="G1092">
        <v>46900</v>
      </c>
      <c r="H1092" t="s">
        <v>20</v>
      </c>
      <c r="I1092" t="s">
        <v>78</v>
      </c>
      <c r="J1092" t="s">
        <v>729</v>
      </c>
      <c r="K1092" t="s">
        <v>23</v>
      </c>
      <c r="L1092" t="s">
        <v>84</v>
      </c>
      <c r="M1092" t="s">
        <v>48</v>
      </c>
      <c r="N1092" t="s">
        <v>69</v>
      </c>
      <c r="O1092" t="s">
        <v>27</v>
      </c>
      <c r="P1092" s="1">
        <v>44783</v>
      </c>
      <c r="Q1092">
        <f t="shared" si="85"/>
        <v>0</v>
      </c>
      <c r="R1092">
        <f t="shared" si="86"/>
        <v>0</v>
      </c>
      <c r="S1092">
        <f t="shared" si="87"/>
        <v>0</v>
      </c>
      <c r="T1092" s="11">
        <f t="shared" si="88"/>
        <v>2018</v>
      </c>
      <c r="U1092" s="11">
        <f t="shared" si="89"/>
        <v>61434</v>
      </c>
    </row>
    <row r="1093" spans="1:21" x14ac:dyDescent="0.3">
      <c r="A1093" t="s">
        <v>1716</v>
      </c>
      <c r="B1093">
        <v>2020</v>
      </c>
      <c r="C1093" t="s">
        <v>29</v>
      </c>
      <c r="D1093" t="s">
        <v>32</v>
      </c>
      <c r="E1093">
        <v>684</v>
      </c>
      <c r="F1093" t="s">
        <v>177</v>
      </c>
      <c r="G1093">
        <v>127300</v>
      </c>
      <c r="H1093" t="s">
        <v>32</v>
      </c>
      <c r="I1093" t="s">
        <v>110</v>
      </c>
      <c r="J1093" t="s">
        <v>1423</v>
      </c>
      <c r="K1093" t="s">
        <v>23</v>
      </c>
      <c r="L1093" t="s">
        <v>24</v>
      </c>
      <c r="M1093" t="s">
        <v>25</v>
      </c>
      <c r="N1093" t="s">
        <v>26</v>
      </c>
      <c r="O1093" t="s">
        <v>27</v>
      </c>
      <c r="P1093" s="1">
        <v>44783</v>
      </c>
      <c r="Q1093">
        <f t="shared" si="85"/>
        <v>0</v>
      </c>
      <c r="R1093">
        <f t="shared" si="86"/>
        <v>1</v>
      </c>
      <c r="S1093">
        <f t="shared" si="87"/>
        <v>0</v>
      </c>
      <c r="T1093" s="11">
        <f t="shared" si="88"/>
        <v>2020</v>
      </c>
      <c r="U1093" s="11">
        <f t="shared" si="89"/>
        <v>684</v>
      </c>
    </row>
    <row r="1094" spans="1:21" x14ac:dyDescent="0.3">
      <c r="A1094" t="s">
        <v>1717</v>
      </c>
      <c r="B1094">
        <v>2018</v>
      </c>
      <c r="C1094" t="s">
        <v>56</v>
      </c>
      <c r="D1094" t="s">
        <v>32</v>
      </c>
      <c r="E1094">
        <v>60791</v>
      </c>
      <c r="F1094" t="s">
        <v>234</v>
      </c>
      <c r="G1094">
        <v>46000</v>
      </c>
      <c r="H1094" t="s">
        <v>20</v>
      </c>
      <c r="I1094" t="s">
        <v>78</v>
      </c>
      <c r="J1094" t="s">
        <v>729</v>
      </c>
      <c r="K1094" t="s">
        <v>23</v>
      </c>
      <c r="L1094" t="s">
        <v>47</v>
      </c>
      <c r="M1094" t="s">
        <v>48</v>
      </c>
      <c r="N1094" t="s">
        <v>49</v>
      </c>
      <c r="O1094" t="s">
        <v>27</v>
      </c>
      <c r="P1094" s="1">
        <v>44783</v>
      </c>
      <c r="Q1094">
        <f t="shared" si="85"/>
        <v>0</v>
      </c>
      <c r="R1094">
        <f t="shared" si="86"/>
        <v>0</v>
      </c>
      <c r="S1094">
        <f t="shared" si="87"/>
        <v>0</v>
      </c>
      <c r="T1094" s="11">
        <f t="shared" si="88"/>
        <v>2018</v>
      </c>
      <c r="U1094" s="11">
        <f t="shared" si="89"/>
        <v>60791</v>
      </c>
    </row>
    <row r="1095" spans="1:21" x14ac:dyDescent="0.3">
      <c r="A1095" t="s">
        <v>1718</v>
      </c>
      <c r="B1095">
        <v>2018</v>
      </c>
      <c r="C1095" t="s">
        <v>56</v>
      </c>
      <c r="D1095" t="s">
        <v>93</v>
      </c>
      <c r="E1095">
        <v>41226</v>
      </c>
      <c r="F1095" t="s">
        <v>57</v>
      </c>
      <c r="G1095">
        <v>47700</v>
      </c>
      <c r="H1095" t="s">
        <v>77</v>
      </c>
      <c r="I1095" t="s">
        <v>78</v>
      </c>
      <c r="J1095" t="s">
        <v>280</v>
      </c>
      <c r="K1095" t="s">
        <v>23</v>
      </c>
      <c r="L1095" t="s">
        <v>197</v>
      </c>
      <c r="M1095" t="s">
        <v>198</v>
      </c>
      <c r="N1095" t="s">
        <v>26</v>
      </c>
      <c r="O1095" t="s">
        <v>27</v>
      </c>
      <c r="P1095" s="1">
        <v>44783</v>
      </c>
      <c r="Q1095">
        <f t="shared" si="85"/>
        <v>0</v>
      </c>
      <c r="R1095">
        <f t="shared" si="86"/>
        <v>0</v>
      </c>
      <c r="S1095">
        <f t="shared" si="87"/>
        <v>0</v>
      </c>
      <c r="T1095" s="11">
        <f t="shared" si="88"/>
        <v>2018</v>
      </c>
      <c r="U1095" s="11">
        <f t="shared" si="89"/>
        <v>41226</v>
      </c>
    </row>
    <row r="1096" spans="1:21" x14ac:dyDescent="0.3">
      <c r="A1096" t="s">
        <v>1719</v>
      </c>
      <c r="B1096">
        <v>2019</v>
      </c>
      <c r="C1096" t="s">
        <v>56</v>
      </c>
      <c r="D1096" t="s">
        <v>76</v>
      </c>
      <c r="E1096">
        <v>34714</v>
      </c>
      <c r="F1096" t="s">
        <v>65</v>
      </c>
      <c r="G1096">
        <v>45600</v>
      </c>
      <c r="H1096" t="s">
        <v>77</v>
      </c>
      <c r="I1096" t="s">
        <v>78</v>
      </c>
      <c r="J1096" t="s">
        <v>79</v>
      </c>
      <c r="K1096" t="s">
        <v>23</v>
      </c>
      <c r="L1096" t="s">
        <v>345</v>
      </c>
      <c r="M1096" t="s">
        <v>48</v>
      </c>
      <c r="N1096" t="s">
        <v>69</v>
      </c>
      <c r="O1096" t="s">
        <v>27</v>
      </c>
      <c r="P1096" s="1">
        <v>44783</v>
      </c>
      <c r="Q1096">
        <f t="shared" si="85"/>
        <v>0</v>
      </c>
      <c r="R1096">
        <f t="shared" si="86"/>
        <v>0</v>
      </c>
      <c r="S1096">
        <f t="shared" si="87"/>
        <v>0</v>
      </c>
      <c r="T1096" s="11">
        <f t="shared" si="88"/>
        <v>2019</v>
      </c>
      <c r="U1096" s="11">
        <f t="shared" si="89"/>
        <v>34714</v>
      </c>
    </row>
    <row r="1097" spans="1:21" x14ac:dyDescent="0.3">
      <c r="A1097" t="s">
        <v>1720</v>
      </c>
      <c r="B1097">
        <v>2018</v>
      </c>
      <c r="C1097" t="s">
        <v>56</v>
      </c>
      <c r="D1097" t="s">
        <v>93</v>
      </c>
      <c r="E1097">
        <v>35418</v>
      </c>
      <c r="F1097" t="s">
        <v>57</v>
      </c>
      <c r="G1097">
        <v>49800</v>
      </c>
      <c r="H1097" t="s">
        <v>20</v>
      </c>
      <c r="I1097" t="s">
        <v>78</v>
      </c>
      <c r="J1097" t="s">
        <v>218</v>
      </c>
      <c r="K1097" t="s">
        <v>23</v>
      </c>
      <c r="L1097" t="s">
        <v>197</v>
      </c>
      <c r="M1097" t="s">
        <v>198</v>
      </c>
      <c r="N1097" t="s">
        <v>26</v>
      </c>
      <c r="O1097" t="s">
        <v>27</v>
      </c>
      <c r="P1097" s="1">
        <v>44783</v>
      </c>
      <c r="Q1097">
        <f t="shared" si="85"/>
        <v>0</v>
      </c>
      <c r="R1097">
        <f t="shared" si="86"/>
        <v>0</v>
      </c>
      <c r="S1097">
        <f t="shared" si="87"/>
        <v>0</v>
      </c>
      <c r="T1097" s="11">
        <f t="shared" si="88"/>
        <v>2018</v>
      </c>
      <c r="U1097" s="11">
        <f t="shared" si="89"/>
        <v>35418</v>
      </c>
    </row>
    <row r="1098" spans="1:21" x14ac:dyDescent="0.3">
      <c r="A1098" t="s">
        <v>1721</v>
      </c>
      <c r="B1098">
        <v>2020</v>
      </c>
      <c r="C1098" t="s">
        <v>56</v>
      </c>
      <c r="D1098" t="s">
        <v>32</v>
      </c>
      <c r="E1098">
        <v>20857</v>
      </c>
      <c r="F1098" t="s">
        <v>65</v>
      </c>
      <c r="G1098">
        <v>48600</v>
      </c>
      <c r="H1098" t="s">
        <v>20</v>
      </c>
      <c r="I1098" t="s">
        <v>58</v>
      </c>
      <c r="J1098" t="s">
        <v>192</v>
      </c>
      <c r="K1098" t="s">
        <v>23</v>
      </c>
      <c r="L1098" t="s">
        <v>117</v>
      </c>
      <c r="M1098" t="s">
        <v>118</v>
      </c>
      <c r="N1098" t="s">
        <v>119</v>
      </c>
      <c r="O1098" t="s">
        <v>27</v>
      </c>
      <c r="P1098" s="1">
        <v>44783</v>
      </c>
      <c r="Q1098">
        <f t="shared" si="85"/>
        <v>0</v>
      </c>
      <c r="R1098">
        <f t="shared" si="86"/>
        <v>0</v>
      </c>
      <c r="S1098">
        <f t="shared" si="87"/>
        <v>0</v>
      </c>
      <c r="T1098" s="11">
        <f t="shared" si="88"/>
        <v>2020</v>
      </c>
      <c r="U1098" s="11">
        <f t="shared" si="89"/>
        <v>20857</v>
      </c>
    </row>
    <row r="1099" spans="1:21" x14ac:dyDescent="0.3">
      <c r="A1099" t="s">
        <v>1722</v>
      </c>
      <c r="B1099">
        <v>2019</v>
      </c>
      <c r="C1099" t="s">
        <v>56</v>
      </c>
      <c r="D1099" t="s">
        <v>93</v>
      </c>
      <c r="E1099">
        <v>36081</v>
      </c>
      <c r="F1099" t="s">
        <v>57</v>
      </c>
      <c r="G1099">
        <v>50100</v>
      </c>
      <c r="H1099" t="s">
        <v>20</v>
      </c>
      <c r="I1099" t="s">
        <v>78</v>
      </c>
      <c r="J1099" t="s">
        <v>218</v>
      </c>
      <c r="K1099" t="s">
        <v>23</v>
      </c>
      <c r="L1099" t="s">
        <v>175</v>
      </c>
      <c r="M1099" t="s">
        <v>42</v>
      </c>
      <c r="N1099" t="s">
        <v>26</v>
      </c>
      <c r="O1099" t="s">
        <v>27</v>
      </c>
      <c r="P1099" s="1">
        <v>44783</v>
      </c>
      <c r="Q1099">
        <f t="shared" si="85"/>
        <v>0</v>
      </c>
      <c r="R1099">
        <f t="shared" si="86"/>
        <v>0</v>
      </c>
      <c r="S1099">
        <f t="shared" si="87"/>
        <v>0</v>
      </c>
      <c r="T1099" s="11">
        <f t="shared" si="88"/>
        <v>2019</v>
      </c>
      <c r="U1099" s="11">
        <f t="shared" si="89"/>
        <v>36081</v>
      </c>
    </row>
    <row r="1100" spans="1:21" x14ac:dyDescent="0.3">
      <c r="A1100" t="s">
        <v>1723</v>
      </c>
      <c r="B1100">
        <v>2022</v>
      </c>
      <c r="C1100" t="s">
        <v>29</v>
      </c>
      <c r="D1100" t="s">
        <v>76</v>
      </c>
      <c r="E1100">
        <v>5011</v>
      </c>
      <c r="F1100" t="s">
        <v>321</v>
      </c>
      <c r="G1100">
        <v>154200</v>
      </c>
      <c r="H1100" t="s">
        <v>32</v>
      </c>
      <c r="J1100" t="s">
        <v>1724</v>
      </c>
      <c r="K1100" t="s">
        <v>23</v>
      </c>
      <c r="L1100" t="s">
        <v>147</v>
      </c>
      <c r="M1100" t="s">
        <v>148</v>
      </c>
      <c r="N1100" t="s">
        <v>149</v>
      </c>
      <c r="O1100" t="s">
        <v>27</v>
      </c>
      <c r="P1100" s="1">
        <v>44783</v>
      </c>
      <c r="Q1100">
        <f t="shared" si="85"/>
        <v>0</v>
      </c>
      <c r="R1100">
        <f t="shared" si="86"/>
        <v>1</v>
      </c>
      <c r="S1100">
        <f t="shared" si="87"/>
        <v>0</v>
      </c>
      <c r="T1100" s="11">
        <f t="shared" si="88"/>
        <v>2022</v>
      </c>
      <c r="U1100" s="11">
        <f t="shared" si="89"/>
        <v>5011</v>
      </c>
    </row>
    <row r="1101" spans="1:21" x14ac:dyDescent="0.3">
      <c r="A1101" t="s">
        <v>1725</v>
      </c>
      <c r="B1101">
        <v>2018</v>
      </c>
      <c r="C1101" t="s">
        <v>29</v>
      </c>
      <c r="D1101" t="s">
        <v>32</v>
      </c>
      <c r="E1101">
        <v>26147</v>
      </c>
      <c r="F1101" t="s">
        <v>52</v>
      </c>
      <c r="G1101">
        <v>89000</v>
      </c>
      <c r="H1101" t="s">
        <v>53</v>
      </c>
      <c r="I1101" t="s">
        <v>110</v>
      </c>
      <c r="J1101" t="s">
        <v>983</v>
      </c>
      <c r="K1101" t="s">
        <v>23</v>
      </c>
      <c r="L1101" t="s">
        <v>197</v>
      </c>
      <c r="M1101" t="s">
        <v>198</v>
      </c>
      <c r="N1101" t="s">
        <v>26</v>
      </c>
      <c r="O1101" t="s">
        <v>27</v>
      </c>
      <c r="P1101" s="1">
        <v>44783</v>
      </c>
      <c r="Q1101">
        <f t="shared" si="85"/>
        <v>0</v>
      </c>
      <c r="R1101">
        <f t="shared" si="86"/>
        <v>1</v>
      </c>
      <c r="S1101">
        <f t="shared" si="87"/>
        <v>0</v>
      </c>
      <c r="T1101" s="11">
        <f t="shared" si="88"/>
        <v>2018</v>
      </c>
      <c r="U1101" s="11">
        <f t="shared" si="89"/>
        <v>26147</v>
      </c>
    </row>
    <row r="1102" spans="1:21" x14ac:dyDescent="0.3">
      <c r="A1102" t="s">
        <v>1726</v>
      </c>
      <c r="B1102">
        <v>2019</v>
      </c>
      <c r="C1102" t="s">
        <v>56</v>
      </c>
      <c r="D1102" t="s">
        <v>76</v>
      </c>
      <c r="E1102">
        <v>25855</v>
      </c>
      <c r="F1102" t="s">
        <v>57</v>
      </c>
      <c r="G1102">
        <v>51200</v>
      </c>
      <c r="H1102" t="s">
        <v>20</v>
      </c>
      <c r="I1102" t="s">
        <v>58</v>
      </c>
      <c r="J1102" t="s">
        <v>979</v>
      </c>
      <c r="K1102" t="s">
        <v>23</v>
      </c>
      <c r="L1102" t="s">
        <v>278</v>
      </c>
      <c r="M1102" t="s">
        <v>148</v>
      </c>
      <c r="N1102" t="s">
        <v>149</v>
      </c>
      <c r="O1102" t="s">
        <v>27</v>
      </c>
      <c r="P1102" s="1">
        <v>44783</v>
      </c>
      <c r="Q1102">
        <f t="shared" si="85"/>
        <v>0</v>
      </c>
      <c r="R1102">
        <f t="shared" si="86"/>
        <v>0</v>
      </c>
      <c r="S1102">
        <f t="shared" si="87"/>
        <v>0</v>
      </c>
      <c r="T1102" s="11">
        <f t="shared" si="88"/>
        <v>2019</v>
      </c>
      <c r="U1102" s="11">
        <f t="shared" si="89"/>
        <v>25855</v>
      </c>
    </row>
    <row r="1103" spans="1:21" x14ac:dyDescent="0.3">
      <c r="A1103" t="s">
        <v>1727</v>
      </c>
      <c r="B1103">
        <v>2019</v>
      </c>
      <c r="C1103" t="s">
        <v>29</v>
      </c>
      <c r="D1103" t="s">
        <v>53</v>
      </c>
      <c r="E1103">
        <v>15647</v>
      </c>
      <c r="F1103" t="s">
        <v>44</v>
      </c>
      <c r="G1103">
        <v>112800</v>
      </c>
      <c r="H1103" t="s">
        <v>53</v>
      </c>
      <c r="I1103" t="s">
        <v>21</v>
      </c>
      <c r="J1103" t="s">
        <v>1728</v>
      </c>
      <c r="K1103" t="s">
        <v>23</v>
      </c>
      <c r="L1103" t="s">
        <v>163</v>
      </c>
      <c r="M1103" t="s">
        <v>164</v>
      </c>
      <c r="N1103" t="s">
        <v>26</v>
      </c>
      <c r="O1103" t="s">
        <v>27</v>
      </c>
      <c r="P1103" s="1">
        <v>44783</v>
      </c>
      <c r="Q1103">
        <f t="shared" si="85"/>
        <v>0</v>
      </c>
      <c r="R1103">
        <f t="shared" si="86"/>
        <v>1</v>
      </c>
      <c r="S1103">
        <f t="shared" si="87"/>
        <v>0</v>
      </c>
      <c r="T1103" s="11">
        <f t="shared" si="88"/>
        <v>2019</v>
      </c>
      <c r="U1103" s="11">
        <f t="shared" si="89"/>
        <v>15647</v>
      </c>
    </row>
    <row r="1104" spans="1:21" x14ac:dyDescent="0.3">
      <c r="A1104" t="s">
        <v>1729</v>
      </c>
      <c r="B1104">
        <v>2019</v>
      </c>
      <c r="C1104" t="s">
        <v>56</v>
      </c>
      <c r="D1104" t="s">
        <v>30</v>
      </c>
      <c r="E1104">
        <v>30277</v>
      </c>
      <c r="F1104" t="s">
        <v>57</v>
      </c>
      <c r="G1104">
        <v>48500</v>
      </c>
      <c r="H1104" t="s">
        <v>20</v>
      </c>
      <c r="I1104" t="s">
        <v>78</v>
      </c>
      <c r="J1104" t="s">
        <v>124</v>
      </c>
      <c r="K1104" t="s">
        <v>23</v>
      </c>
      <c r="L1104" t="s">
        <v>1730</v>
      </c>
      <c r="M1104" t="s">
        <v>148</v>
      </c>
      <c r="N1104" t="s">
        <v>149</v>
      </c>
      <c r="O1104" t="s">
        <v>27</v>
      </c>
      <c r="P1104" s="1">
        <v>44783</v>
      </c>
      <c r="Q1104">
        <f t="shared" si="85"/>
        <v>0</v>
      </c>
      <c r="R1104">
        <f t="shared" si="86"/>
        <v>0</v>
      </c>
      <c r="S1104">
        <f t="shared" si="87"/>
        <v>0</v>
      </c>
      <c r="T1104" s="11">
        <f t="shared" si="88"/>
        <v>2019</v>
      </c>
      <c r="U1104" s="11">
        <f t="shared" si="89"/>
        <v>30277</v>
      </c>
    </row>
    <row r="1105" spans="1:21" x14ac:dyDescent="0.3">
      <c r="A1105" t="s">
        <v>1731</v>
      </c>
      <c r="B1105">
        <v>2020</v>
      </c>
      <c r="C1105" t="s">
        <v>29</v>
      </c>
      <c r="D1105" t="s">
        <v>32</v>
      </c>
      <c r="E1105">
        <v>14476</v>
      </c>
      <c r="F1105" t="s">
        <v>177</v>
      </c>
      <c r="G1105">
        <v>122500</v>
      </c>
      <c r="H1105" t="s">
        <v>32</v>
      </c>
      <c r="I1105" t="s">
        <v>110</v>
      </c>
      <c r="J1105" t="s">
        <v>301</v>
      </c>
      <c r="K1105" t="s">
        <v>23</v>
      </c>
      <c r="L1105" t="s">
        <v>205</v>
      </c>
      <c r="M1105" t="s">
        <v>42</v>
      </c>
      <c r="N1105" t="s">
        <v>26</v>
      </c>
      <c r="O1105" t="s">
        <v>27</v>
      </c>
      <c r="P1105" s="1">
        <v>44783</v>
      </c>
      <c r="Q1105">
        <f t="shared" si="85"/>
        <v>0</v>
      </c>
      <c r="R1105">
        <f t="shared" si="86"/>
        <v>1</v>
      </c>
      <c r="S1105">
        <f t="shared" si="87"/>
        <v>0</v>
      </c>
      <c r="T1105" s="11">
        <f t="shared" si="88"/>
        <v>2020</v>
      </c>
      <c r="U1105" s="11">
        <f t="shared" si="89"/>
        <v>14476</v>
      </c>
    </row>
    <row r="1106" spans="1:21" x14ac:dyDescent="0.3">
      <c r="A1106" t="s">
        <v>1732</v>
      </c>
      <c r="B1106">
        <v>2019</v>
      </c>
      <c r="C1106" t="s">
        <v>56</v>
      </c>
      <c r="D1106" t="s">
        <v>53</v>
      </c>
      <c r="E1106">
        <v>13227</v>
      </c>
      <c r="F1106" t="s">
        <v>57</v>
      </c>
      <c r="G1106">
        <v>51000</v>
      </c>
      <c r="H1106" t="s">
        <v>20</v>
      </c>
      <c r="I1106" t="s">
        <v>78</v>
      </c>
      <c r="J1106" t="s">
        <v>564</v>
      </c>
      <c r="K1106" t="s">
        <v>23</v>
      </c>
      <c r="N1106" t="s">
        <v>127</v>
      </c>
      <c r="O1106" t="s">
        <v>27</v>
      </c>
      <c r="P1106" s="1">
        <v>44783</v>
      </c>
      <c r="Q1106">
        <f t="shared" si="85"/>
        <v>0</v>
      </c>
      <c r="R1106">
        <f t="shared" si="86"/>
        <v>0</v>
      </c>
      <c r="S1106">
        <f t="shared" si="87"/>
        <v>0</v>
      </c>
      <c r="T1106" s="11">
        <f t="shared" si="88"/>
        <v>2019</v>
      </c>
      <c r="U1106" s="11">
        <f t="shared" si="89"/>
        <v>13227</v>
      </c>
    </row>
    <row r="1107" spans="1:21" x14ac:dyDescent="0.3">
      <c r="A1107" t="s">
        <v>1733</v>
      </c>
      <c r="B1107">
        <v>2020</v>
      </c>
      <c r="C1107" t="s">
        <v>17</v>
      </c>
      <c r="D1107" t="s">
        <v>18</v>
      </c>
      <c r="E1107">
        <v>25345</v>
      </c>
      <c r="F1107" t="s">
        <v>156</v>
      </c>
      <c r="G1107">
        <v>72800</v>
      </c>
      <c r="H1107" t="s">
        <v>20</v>
      </c>
      <c r="I1107" t="s">
        <v>39</v>
      </c>
      <c r="J1107" t="s">
        <v>157</v>
      </c>
      <c r="K1107" t="s">
        <v>23</v>
      </c>
      <c r="L1107" t="s">
        <v>205</v>
      </c>
      <c r="M1107" t="s">
        <v>42</v>
      </c>
      <c r="N1107" t="s">
        <v>26</v>
      </c>
      <c r="O1107" t="s">
        <v>27</v>
      </c>
      <c r="P1107" s="1">
        <v>44783</v>
      </c>
      <c r="Q1107">
        <f t="shared" si="85"/>
        <v>0</v>
      </c>
      <c r="R1107">
        <f t="shared" si="86"/>
        <v>0</v>
      </c>
      <c r="S1107">
        <f t="shared" si="87"/>
        <v>1</v>
      </c>
      <c r="T1107" s="11">
        <f t="shared" si="88"/>
        <v>2020</v>
      </c>
      <c r="U1107" s="11">
        <f t="shared" si="89"/>
        <v>25345</v>
      </c>
    </row>
    <row r="1108" spans="1:21" x14ac:dyDescent="0.3">
      <c r="A1108" t="s">
        <v>1734</v>
      </c>
      <c r="B1108">
        <v>2019</v>
      </c>
      <c r="C1108" t="s">
        <v>56</v>
      </c>
      <c r="D1108" t="s">
        <v>53</v>
      </c>
      <c r="E1108">
        <v>35324</v>
      </c>
      <c r="F1108" t="s">
        <v>57</v>
      </c>
      <c r="G1108">
        <v>49500</v>
      </c>
      <c r="H1108" t="s">
        <v>20</v>
      </c>
      <c r="I1108" t="s">
        <v>58</v>
      </c>
      <c r="J1108" t="s">
        <v>59</v>
      </c>
      <c r="K1108" t="s">
        <v>23</v>
      </c>
      <c r="N1108" t="s">
        <v>127</v>
      </c>
      <c r="O1108" t="s">
        <v>27</v>
      </c>
      <c r="P1108" s="1">
        <v>44783</v>
      </c>
      <c r="Q1108">
        <f t="shared" si="85"/>
        <v>0</v>
      </c>
      <c r="R1108">
        <f t="shared" si="86"/>
        <v>0</v>
      </c>
      <c r="S1108">
        <f t="shared" si="87"/>
        <v>0</v>
      </c>
      <c r="T1108" s="11">
        <f t="shared" si="88"/>
        <v>2019</v>
      </c>
      <c r="U1108" s="11">
        <f t="shared" si="89"/>
        <v>35324</v>
      </c>
    </row>
    <row r="1109" spans="1:21" x14ac:dyDescent="0.3">
      <c r="A1109" t="s">
        <v>1735</v>
      </c>
      <c r="B1109">
        <v>2022</v>
      </c>
      <c r="C1109" t="s">
        <v>56</v>
      </c>
      <c r="D1109" t="s">
        <v>93</v>
      </c>
      <c r="E1109">
        <v>12217</v>
      </c>
      <c r="F1109" t="s">
        <v>143</v>
      </c>
      <c r="G1109">
        <v>71400</v>
      </c>
      <c r="H1109" t="s">
        <v>77</v>
      </c>
      <c r="J1109" t="s">
        <v>670</v>
      </c>
      <c r="K1109" t="s">
        <v>23</v>
      </c>
      <c r="L1109" t="s">
        <v>137</v>
      </c>
      <c r="M1109" t="s">
        <v>138</v>
      </c>
      <c r="N1109" t="s">
        <v>139</v>
      </c>
      <c r="O1109" t="s">
        <v>27</v>
      </c>
      <c r="P1109" s="1">
        <v>44783</v>
      </c>
      <c r="Q1109">
        <f t="shared" si="85"/>
        <v>0</v>
      </c>
      <c r="R1109">
        <f t="shared" si="86"/>
        <v>0</v>
      </c>
      <c r="S1109">
        <f t="shared" si="87"/>
        <v>0</v>
      </c>
      <c r="T1109" s="11">
        <f t="shared" si="88"/>
        <v>2022</v>
      </c>
      <c r="U1109" s="11">
        <f t="shared" si="89"/>
        <v>12217</v>
      </c>
    </row>
    <row r="1110" spans="1:21" x14ac:dyDescent="0.3">
      <c r="A1110" t="s">
        <v>1736</v>
      </c>
      <c r="B1110">
        <v>2018</v>
      </c>
      <c r="C1110" t="s">
        <v>56</v>
      </c>
      <c r="D1110" t="s">
        <v>32</v>
      </c>
      <c r="E1110">
        <v>23535</v>
      </c>
      <c r="F1110" t="s">
        <v>57</v>
      </c>
      <c r="G1110">
        <v>48100</v>
      </c>
      <c r="H1110" t="s">
        <v>20</v>
      </c>
      <c r="I1110" t="s">
        <v>58</v>
      </c>
      <c r="J1110" t="s">
        <v>168</v>
      </c>
      <c r="K1110" t="s">
        <v>23</v>
      </c>
      <c r="N1110" t="s">
        <v>127</v>
      </c>
      <c r="O1110" t="s">
        <v>27</v>
      </c>
      <c r="P1110" s="1">
        <v>44783</v>
      </c>
      <c r="Q1110">
        <f t="shared" si="85"/>
        <v>0</v>
      </c>
      <c r="R1110">
        <f t="shared" si="86"/>
        <v>0</v>
      </c>
      <c r="S1110">
        <f t="shared" si="87"/>
        <v>0</v>
      </c>
      <c r="T1110" s="11">
        <f t="shared" si="88"/>
        <v>2018</v>
      </c>
      <c r="U1110" s="11">
        <f t="shared" si="89"/>
        <v>23535</v>
      </c>
    </row>
    <row r="1111" spans="1:21" x14ac:dyDescent="0.3">
      <c r="A1111" t="s">
        <v>1737</v>
      </c>
      <c r="B1111">
        <v>2019</v>
      </c>
      <c r="C1111" t="s">
        <v>56</v>
      </c>
      <c r="D1111" t="s">
        <v>30</v>
      </c>
      <c r="E1111">
        <v>62435</v>
      </c>
      <c r="F1111" t="s">
        <v>57</v>
      </c>
      <c r="G1111">
        <v>46800</v>
      </c>
      <c r="H1111" t="s">
        <v>77</v>
      </c>
      <c r="I1111" t="s">
        <v>78</v>
      </c>
      <c r="J1111" t="s">
        <v>1702</v>
      </c>
      <c r="K1111" t="s">
        <v>23</v>
      </c>
      <c r="N1111" t="s">
        <v>127</v>
      </c>
      <c r="O1111" t="s">
        <v>27</v>
      </c>
      <c r="P1111" s="1">
        <v>44783</v>
      </c>
      <c r="Q1111">
        <f t="shared" si="85"/>
        <v>0</v>
      </c>
      <c r="R1111">
        <f t="shared" si="86"/>
        <v>0</v>
      </c>
      <c r="S1111">
        <f t="shared" si="87"/>
        <v>0</v>
      </c>
      <c r="T1111" s="11">
        <f t="shared" si="88"/>
        <v>2019</v>
      </c>
      <c r="U1111" s="11">
        <f t="shared" si="89"/>
        <v>62435</v>
      </c>
    </row>
    <row r="1112" spans="1:21" x14ac:dyDescent="0.3">
      <c r="A1112" t="s">
        <v>1738</v>
      </c>
      <c r="B1112">
        <v>2018</v>
      </c>
      <c r="C1112" t="s">
        <v>56</v>
      </c>
      <c r="D1112" t="s">
        <v>76</v>
      </c>
      <c r="E1112">
        <v>32561</v>
      </c>
      <c r="F1112" t="s">
        <v>57</v>
      </c>
      <c r="G1112">
        <v>46600</v>
      </c>
      <c r="H1112" t="s">
        <v>20</v>
      </c>
      <c r="I1112" t="s">
        <v>58</v>
      </c>
      <c r="J1112" t="s">
        <v>979</v>
      </c>
      <c r="K1112" t="s">
        <v>23</v>
      </c>
      <c r="N1112" t="s">
        <v>127</v>
      </c>
      <c r="O1112" t="s">
        <v>27</v>
      </c>
      <c r="P1112" s="1">
        <v>44783</v>
      </c>
      <c r="Q1112">
        <f t="shared" si="85"/>
        <v>0</v>
      </c>
      <c r="R1112">
        <f t="shared" si="86"/>
        <v>0</v>
      </c>
      <c r="S1112">
        <f t="shared" si="87"/>
        <v>0</v>
      </c>
      <c r="T1112" s="11">
        <f t="shared" si="88"/>
        <v>2018</v>
      </c>
      <c r="U1112" s="11">
        <f t="shared" si="89"/>
        <v>32561</v>
      </c>
    </row>
    <row r="1113" spans="1:21" x14ac:dyDescent="0.3">
      <c r="A1113" t="s">
        <v>1739</v>
      </c>
      <c r="B1113">
        <v>2019</v>
      </c>
      <c r="C1113" t="s">
        <v>56</v>
      </c>
      <c r="D1113" t="s">
        <v>32</v>
      </c>
      <c r="E1113">
        <v>45804</v>
      </c>
      <c r="F1113" t="s">
        <v>57</v>
      </c>
      <c r="G1113">
        <v>48200</v>
      </c>
      <c r="H1113" t="s">
        <v>20</v>
      </c>
      <c r="I1113" t="s">
        <v>58</v>
      </c>
      <c r="J1113" t="s">
        <v>168</v>
      </c>
      <c r="K1113" t="s">
        <v>23</v>
      </c>
      <c r="N1113" t="s">
        <v>127</v>
      </c>
      <c r="O1113" t="s">
        <v>27</v>
      </c>
      <c r="P1113" s="1">
        <v>44783</v>
      </c>
      <c r="Q1113">
        <f t="shared" si="85"/>
        <v>0</v>
      </c>
      <c r="R1113">
        <f t="shared" si="86"/>
        <v>0</v>
      </c>
      <c r="S1113">
        <f t="shared" si="87"/>
        <v>0</v>
      </c>
      <c r="T1113" s="11">
        <f t="shared" si="88"/>
        <v>2019</v>
      </c>
      <c r="U1113" s="11">
        <f t="shared" si="89"/>
        <v>45804</v>
      </c>
    </row>
    <row r="1114" spans="1:21" x14ac:dyDescent="0.3">
      <c r="A1114" t="s">
        <v>1740</v>
      </c>
      <c r="B1114">
        <v>2021</v>
      </c>
      <c r="C1114" t="s">
        <v>17</v>
      </c>
      <c r="D1114" t="s">
        <v>76</v>
      </c>
      <c r="E1114">
        <v>7565</v>
      </c>
      <c r="F1114" t="s">
        <v>189</v>
      </c>
      <c r="G1114">
        <v>78000</v>
      </c>
      <c r="H1114" t="s">
        <v>77</v>
      </c>
      <c r="I1114" t="s">
        <v>39</v>
      </c>
      <c r="J1114" t="s">
        <v>674</v>
      </c>
      <c r="K1114" t="s">
        <v>23</v>
      </c>
      <c r="L1114" t="s">
        <v>456</v>
      </c>
      <c r="M1114" t="s">
        <v>164</v>
      </c>
      <c r="N1114" t="s">
        <v>26</v>
      </c>
      <c r="O1114" t="s">
        <v>27</v>
      </c>
      <c r="P1114" s="1">
        <v>44783</v>
      </c>
      <c r="Q1114">
        <f t="shared" si="85"/>
        <v>0</v>
      </c>
      <c r="R1114">
        <f t="shared" si="86"/>
        <v>0</v>
      </c>
      <c r="S1114">
        <f t="shared" si="87"/>
        <v>1</v>
      </c>
      <c r="T1114" s="11">
        <f t="shared" si="88"/>
        <v>2021</v>
      </c>
      <c r="U1114" s="11">
        <f t="shared" si="89"/>
        <v>7565</v>
      </c>
    </row>
    <row r="1115" spans="1:21" x14ac:dyDescent="0.3">
      <c r="A1115" t="s">
        <v>1741</v>
      </c>
      <c r="B1115">
        <v>2019</v>
      </c>
      <c r="C1115" t="s">
        <v>56</v>
      </c>
      <c r="D1115" t="s">
        <v>32</v>
      </c>
      <c r="E1115">
        <v>33577</v>
      </c>
      <c r="F1115" t="s">
        <v>57</v>
      </c>
      <c r="G1115">
        <v>48700</v>
      </c>
      <c r="H1115" t="s">
        <v>20</v>
      </c>
      <c r="I1115" t="s">
        <v>58</v>
      </c>
      <c r="J1115" t="s">
        <v>168</v>
      </c>
      <c r="K1115" t="s">
        <v>23</v>
      </c>
      <c r="N1115" t="s">
        <v>127</v>
      </c>
      <c r="O1115" t="s">
        <v>27</v>
      </c>
      <c r="P1115" s="1">
        <v>44783</v>
      </c>
      <c r="Q1115">
        <f t="shared" si="85"/>
        <v>0</v>
      </c>
      <c r="R1115">
        <f t="shared" si="86"/>
        <v>0</v>
      </c>
      <c r="S1115">
        <f t="shared" si="87"/>
        <v>0</v>
      </c>
      <c r="T1115" s="11">
        <f t="shared" si="88"/>
        <v>2019</v>
      </c>
      <c r="U1115" s="11">
        <f t="shared" si="89"/>
        <v>33577</v>
      </c>
    </row>
    <row r="1116" spans="1:21" x14ac:dyDescent="0.3">
      <c r="A1116" t="s">
        <v>1742</v>
      </c>
      <c r="B1116">
        <v>2020</v>
      </c>
      <c r="C1116" t="s">
        <v>17</v>
      </c>
      <c r="D1116" t="s">
        <v>30</v>
      </c>
      <c r="E1116">
        <v>16632</v>
      </c>
      <c r="F1116" t="s">
        <v>156</v>
      </c>
      <c r="G1116">
        <v>73900</v>
      </c>
      <c r="H1116" t="s">
        <v>20</v>
      </c>
      <c r="I1116" t="s">
        <v>39</v>
      </c>
      <c r="J1116" t="s">
        <v>190</v>
      </c>
      <c r="K1116" t="s">
        <v>23</v>
      </c>
      <c r="L1116" t="s">
        <v>197</v>
      </c>
      <c r="M1116" t="s">
        <v>198</v>
      </c>
      <c r="N1116" t="s">
        <v>26</v>
      </c>
      <c r="O1116" t="s">
        <v>27</v>
      </c>
      <c r="P1116" s="1">
        <v>44783</v>
      </c>
      <c r="Q1116">
        <f t="shared" si="85"/>
        <v>0</v>
      </c>
      <c r="R1116">
        <f t="shared" si="86"/>
        <v>0</v>
      </c>
      <c r="S1116">
        <f t="shared" si="87"/>
        <v>1</v>
      </c>
      <c r="T1116" s="11">
        <f t="shared" si="88"/>
        <v>2020</v>
      </c>
      <c r="U1116" s="11">
        <f t="shared" si="89"/>
        <v>16632</v>
      </c>
    </row>
    <row r="1117" spans="1:21" x14ac:dyDescent="0.3">
      <c r="A1117" t="s">
        <v>1743</v>
      </c>
      <c r="B1117">
        <v>2021</v>
      </c>
      <c r="C1117" t="s">
        <v>37</v>
      </c>
      <c r="D1117" t="s">
        <v>76</v>
      </c>
      <c r="E1117">
        <v>8390</v>
      </c>
      <c r="F1117" t="s">
        <v>131</v>
      </c>
      <c r="G1117">
        <v>126200</v>
      </c>
      <c r="H1117" t="s">
        <v>53</v>
      </c>
      <c r="I1117" t="s">
        <v>39</v>
      </c>
      <c r="J1117" t="s">
        <v>1157</v>
      </c>
      <c r="K1117" t="s">
        <v>23</v>
      </c>
      <c r="L1117" t="s">
        <v>543</v>
      </c>
      <c r="M1117" t="s">
        <v>544</v>
      </c>
      <c r="N1117" t="s">
        <v>545</v>
      </c>
      <c r="O1117" t="s">
        <v>27</v>
      </c>
      <c r="P1117" s="1">
        <v>44783</v>
      </c>
      <c r="Q1117">
        <f t="shared" si="85"/>
        <v>1</v>
      </c>
      <c r="R1117">
        <f t="shared" si="86"/>
        <v>0</v>
      </c>
      <c r="S1117">
        <f t="shared" si="87"/>
        <v>0</v>
      </c>
      <c r="T1117" s="11">
        <f t="shared" si="88"/>
        <v>2021</v>
      </c>
      <c r="U1117" s="11">
        <f t="shared" si="89"/>
        <v>8390</v>
      </c>
    </row>
    <row r="1118" spans="1:21" x14ac:dyDescent="0.3">
      <c r="A1118" t="s">
        <v>1744</v>
      </c>
      <c r="B1118">
        <v>2020</v>
      </c>
      <c r="C1118" t="s">
        <v>56</v>
      </c>
      <c r="D1118" t="s">
        <v>53</v>
      </c>
      <c r="E1118">
        <v>24142</v>
      </c>
      <c r="F1118" t="s">
        <v>57</v>
      </c>
      <c r="G1118">
        <v>53700</v>
      </c>
      <c r="H1118" t="s">
        <v>20</v>
      </c>
      <c r="I1118" t="s">
        <v>58</v>
      </c>
      <c r="J1118" t="s">
        <v>59</v>
      </c>
      <c r="K1118" t="s">
        <v>23</v>
      </c>
      <c r="L1118" t="s">
        <v>175</v>
      </c>
      <c r="M1118" t="s">
        <v>42</v>
      </c>
      <c r="N1118" t="s">
        <v>26</v>
      </c>
      <c r="O1118" t="s">
        <v>27</v>
      </c>
      <c r="P1118" s="1">
        <v>44783</v>
      </c>
      <c r="Q1118">
        <f t="shared" si="85"/>
        <v>0</v>
      </c>
      <c r="R1118">
        <f t="shared" si="86"/>
        <v>0</v>
      </c>
      <c r="S1118">
        <f t="shared" si="87"/>
        <v>0</v>
      </c>
      <c r="T1118" s="11">
        <f t="shared" si="88"/>
        <v>2020</v>
      </c>
      <c r="U1118" s="11">
        <f t="shared" si="89"/>
        <v>24142</v>
      </c>
    </row>
    <row r="1119" spans="1:21" x14ac:dyDescent="0.3">
      <c r="A1119" t="s">
        <v>1745</v>
      </c>
      <c r="B1119">
        <v>2021</v>
      </c>
      <c r="C1119" t="s">
        <v>56</v>
      </c>
      <c r="D1119" t="s">
        <v>53</v>
      </c>
      <c r="E1119">
        <v>14481</v>
      </c>
      <c r="F1119" t="s">
        <v>57</v>
      </c>
      <c r="G1119">
        <v>63200</v>
      </c>
      <c r="H1119" t="s">
        <v>77</v>
      </c>
      <c r="I1119" t="s">
        <v>58</v>
      </c>
      <c r="J1119" t="s">
        <v>770</v>
      </c>
      <c r="K1119" t="s">
        <v>23</v>
      </c>
      <c r="L1119" t="s">
        <v>490</v>
      </c>
      <c r="M1119" t="s">
        <v>491</v>
      </c>
      <c r="N1119" t="s">
        <v>406</v>
      </c>
      <c r="O1119" t="s">
        <v>27</v>
      </c>
      <c r="P1119" s="1">
        <v>44783</v>
      </c>
      <c r="Q1119">
        <f t="shared" si="85"/>
        <v>0</v>
      </c>
      <c r="R1119">
        <f t="shared" si="86"/>
        <v>0</v>
      </c>
      <c r="S1119">
        <f t="shared" si="87"/>
        <v>0</v>
      </c>
      <c r="T1119" s="11">
        <f t="shared" si="88"/>
        <v>2021</v>
      </c>
      <c r="U1119" s="11">
        <f t="shared" si="89"/>
        <v>14481</v>
      </c>
    </row>
    <row r="1120" spans="1:21" x14ac:dyDescent="0.3">
      <c r="A1120" t="s">
        <v>1746</v>
      </c>
      <c r="B1120">
        <v>2022</v>
      </c>
      <c r="C1120" t="s">
        <v>56</v>
      </c>
      <c r="D1120" t="s">
        <v>93</v>
      </c>
      <c r="E1120">
        <v>5464</v>
      </c>
      <c r="F1120" t="s">
        <v>508</v>
      </c>
      <c r="G1120">
        <v>72000</v>
      </c>
      <c r="H1120" t="s">
        <v>20</v>
      </c>
      <c r="I1120" t="s">
        <v>78</v>
      </c>
      <c r="J1120" t="s">
        <v>218</v>
      </c>
      <c r="K1120" t="s">
        <v>23</v>
      </c>
      <c r="L1120" t="s">
        <v>24</v>
      </c>
      <c r="M1120" t="s">
        <v>25</v>
      </c>
      <c r="N1120" t="s">
        <v>26</v>
      </c>
      <c r="O1120" t="s">
        <v>27</v>
      </c>
      <c r="P1120" s="1">
        <v>44783</v>
      </c>
      <c r="Q1120">
        <f t="shared" si="85"/>
        <v>0</v>
      </c>
      <c r="R1120">
        <f t="shared" si="86"/>
        <v>0</v>
      </c>
      <c r="S1120">
        <f t="shared" si="87"/>
        <v>0</v>
      </c>
      <c r="T1120" s="11">
        <f t="shared" si="88"/>
        <v>2022</v>
      </c>
      <c r="U1120" s="11">
        <f t="shared" si="89"/>
        <v>5464</v>
      </c>
    </row>
    <row r="1121" spans="1:21" x14ac:dyDescent="0.3">
      <c r="A1121" t="s">
        <v>1747</v>
      </c>
      <c r="B1121">
        <v>2018</v>
      </c>
      <c r="C1121" t="s">
        <v>37</v>
      </c>
      <c r="D1121" t="s">
        <v>32</v>
      </c>
      <c r="E1121">
        <v>21114</v>
      </c>
      <c r="F1121" t="s">
        <v>104</v>
      </c>
      <c r="G1121">
        <v>76700</v>
      </c>
      <c r="H1121" t="s">
        <v>45</v>
      </c>
      <c r="I1121" t="s">
        <v>39</v>
      </c>
      <c r="J1121" t="s">
        <v>1748</v>
      </c>
      <c r="K1121" t="s">
        <v>23</v>
      </c>
      <c r="L1121" t="s">
        <v>680</v>
      </c>
      <c r="M1121" t="s">
        <v>113</v>
      </c>
      <c r="N1121" t="s">
        <v>114</v>
      </c>
      <c r="O1121" t="s">
        <v>27</v>
      </c>
      <c r="P1121" s="1">
        <v>44783</v>
      </c>
      <c r="Q1121">
        <f t="shared" si="85"/>
        <v>1</v>
      </c>
      <c r="R1121">
        <f t="shared" si="86"/>
        <v>0</v>
      </c>
      <c r="S1121">
        <f t="shared" si="87"/>
        <v>0</v>
      </c>
      <c r="T1121" s="11">
        <f t="shared" si="88"/>
        <v>2018</v>
      </c>
      <c r="U1121" s="11">
        <f t="shared" si="89"/>
        <v>21114</v>
      </c>
    </row>
    <row r="1122" spans="1:21" x14ac:dyDescent="0.3">
      <c r="A1122" t="s">
        <v>1749</v>
      </c>
      <c r="B1122">
        <v>2019</v>
      </c>
      <c r="C1122" t="s">
        <v>56</v>
      </c>
      <c r="D1122" t="s">
        <v>93</v>
      </c>
      <c r="E1122">
        <v>22608</v>
      </c>
      <c r="F1122" t="s">
        <v>57</v>
      </c>
      <c r="G1122">
        <v>50100</v>
      </c>
      <c r="H1122" t="s">
        <v>20</v>
      </c>
      <c r="I1122" t="s">
        <v>78</v>
      </c>
      <c r="J1122" t="s">
        <v>218</v>
      </c>
      <c r="K1122" t="s">
        <v>23</v>
      </c>
      <c r="L1122" t="s">
        <v>24</v>
      </c>
      <c r="M1122" t="s">
        <v>25</v>
      </c>
      <c r="N1122" t="s">
        <v>26</v>
      </c>
      <c r="O1122" t="s">
        <v>27</v>
      </c>
      <c r="P1122" s="1">
        <v>44783</v>
      </c>
      <c r="Q1122">
        <f t="shared" si="85"/>
        <v>0</v>
      </c>
      <c r="R1122">
        <f t="shared" si="86"/>
        <v>0</v>
      </c>
      <c r="S1122">
        <f t="shared" si="87"/>
        <v>0</v>
      </c>
      <c r="T1122" s="11">
        <f t="shared" si="88"/>
        <v>2019</v>
      </c>
      <c r="U1122" s="11">
        <f t="shared" si="89"/>
        <v>22608</v>
      </c>
    </row>
    <row r="1123" spans="1:21" x14ac:dyDescent="0.3">
      <c r="A1123" t="s">
        <v>1750</v>
      </c>
      <c r="B1123">
        <v>2019</v>
      </c>
      <c r="C1123" t="s">
        <v>56</v>
      </c>
      <c r="D1123" t="s">
        <v>93</v>
      </c>
      <c r="E1123">
        <v>45834</v>
      </c>
      <c r="F1123" t="s">
        <v>57</v>
      </c>
      <c r="G1123">
        <v>47100</v>
      </c>
      <c r="H1123" t="s">
        <v>20</v>
      </c>
      <c r="I1123" t="s">
        <v>58</v>
      </c>
      <c r="J1123" t="s">
        <v>842</v>
      </c>
      <c r="K1123" t="s">
        <v>23</v>
      </c>
      <c r="L1123" t="s">
        <v>67</v>
      </c>
      <c r="M1123" t="s">
        <v>68</v>
      </c>
      <c r="N1123" t="s">
        <v>69</v>
      </c>
      <c r="O1123" t="s">
        <v>27</v>
      </c>
      <c r="P1123" s="1">
        <v>44783</v>
      </c>
      <c r="Q1123">
        <f t="shared" si="85"/>
        <v>0</v>
      </c>
      <c r="R1123">
        <f t="shared" si="86"/>
        <v>0</v>
      </c>
      <c r="S1123">
        <f t="shared" si="87"/>
        <v>0</v>
      </c>
      <c r="T1123" s="11">
        <f t="shared" si="88"/>
        <v>2019</v>
      </c>
      <c r="U1123" s="11">
        <f t="shared" si="89"/>
        <v>45834</v>
      </c>
    </row>
    <row r="1124" spans="1:21" x14ac:dyDescent="0.3">
      <c r="A1124" t="s">
        <v>1751</v>
      </c>
      <c r="B1124">
        <v>2019</v>
      </c>
      <c r="C1124" t="s">
        <v>56</v>
      </c>
      <c r="D1124" t="s">
        <v>76</v>
      </c>
      <c r="E1124">
        <v>18558</v>
      </c>
      <c r="F1124" t="s">
        <v>57</v>
      </c>
      <c r="G1124">
        <v>49000</v>
      </c>
      <c r="H1124" t="s">
        <v>20</v>
      </c>
      <c r="I1124" t="s">
        <v>58</v>
      </c>
      <c r="J1124" t="s">
        <v>979</v>
      </c>
      <c r="K1124" t="s">
        <v>23</v>
      </c>
      <c r="L1124" t="s">
        <v>24</v>
      </c>
      <c r="M1124" t="s">
        <v>25</v>
      </c>
      <c r="N1124" t="s">
        <v>26</v>
      </c>
      <c r="O1124" t="s">
        <v>27</v>
      </c>
      <c r="P1124" s="1">
        <v>44783</v>
      </c>
      <c r="Q1124">
        <f t="shared" si="85"/>
        <v>0</v>
      </c>
      <c r="R1124">
        <f t="shared" si="86"/>
        <v>0</v>
      </c>
      <c r="S1124">
        <f t="shared" si="87"/>
        <v>0</v>
      </c>
      <c r="T1124" s="11">
        <f t="shared" si="88"/>
        <v>2019</v>
      </c>
      <c r="U1124" s="11">
        <f t="shared" si="89"/>
        <v>18558</v>
      </c>
    </row>
    <row r="1125" spans="1:21" x14ac:dyDescent="0.3">
      <c r="A1125" t="s">
        <v>1752</v>
      </c>
      <c r="B1125">
        <v>2019</v>
      </c>
      <c r="C1125" t="s">
        <v>56</v>
      </c>
      <c r="D1125" t="s">
        <v>30</v>
      </c>
      <c r="E1125">
        <v>31519</v>
      </c>
      <c r="F1125" t="s">
        <v>57</v>
      </c>
      <c r="G1125">
        <v>48900</v>
      </c>
      <c r="H1125" t="s">
        <v>20</v>
      </c>
      <c r="I1125" t="s">
        <v>78</v>
      </c>
      <c r="J1125" t="s">
        <v>124</v>
      </c>
      <c r="K1125" t="s">
        <v>23</v>
      </c>
      <c r="L1125" t="s">
        <v>67</v>
      </c>
      <c r="M1125" t="s">
        <v>68</v>
      </c>
      <c r="N1125" t="s">
        <v>69</v>
      </c>
      <c r="O1125" t="s">
        <v>27</v>
      </c>
      <c r="P1125" s="1">
        <v>44783</v>
      </c>
      <c r="Q1125">
        <f t="shared" si="85"/>
        <v>0</v>
      </c>
      <c r="R1125">
        <f t="shared" si="86"/>
        <v>0</v>
      </c>
      <c r="S1125">
        <f t="shared" si="87"/>
        <v>0</v>
      </c>
      <c r="T1125" s="11">
        <f t="shared" si="88"/>
        <v>2019</v>
      </c>
      <c r="U1125" s="11">
        <f t="shared" si="89"/>
        <v>31519</v>
      </c>
    </row>
    <row r="1126" spans="1:21" x14ac:dyDescent="0.3">
      <c r="A1126" t="s">
        <v>1753</v>
      </c>
      <c r="B1126">
        <v>2019</v>
      </c>
      <c r="C1126" t="s">
        <v>56</v>
      </c>
      <c r="D1126" t="s">
        <v>32</v>
      </c>
      <c r="E1126">
        <v>56937</v>
      </c>
      <c r="F1126" t="s">
        <v>57</v>
      </c>
      <c r="G1126">
        <v>47800</v>
      </c>
      <c r="H1126" t="s">
        <v>20</v>
      </c>
      <c r="I1126" t="s">
        <v>58</v>
      </c>
      <c r="J1126" t="s">
        <v>168</v>
      </c>
      <c r="K1126" t="s">
        <v>23</v>
      </c>
      <c r="L1126" t="s">
        <v>193</v>
      </c>
      <c r="M1126" t="s">
        <v>194</v>
      </c>
      <c r="N1126" t="s">
        <v>26</v>
      </c>
      <c r="O1126" t="s">
        <v>27</v>
      </c>
      <c r="P1126" s="1">
        <v>44783</v>
      </c>
      <c r="Q1126">
        <f t="shared" si="85"/>
        <v>0</v>
      </c>
      <c r="R1126">
        <f t="shared" si="86"/>
        <v>0</v>
      </c>
      <c r="S1126">
        <f t="shared" si="87"/>
        <v>0</v>
      </c>
      <c r="T1126" s="11">
        <f t="shared" si="88"/>
        <v>2019</v>
      </c>
      <c r="U1126" s="11">
        <f t="shared" si="89"/>
        <v>56937</v>
      </c>
    </row>
    <row r="1127" spans="1:21" x14ac:dyDescent="0.3">
      <c r="A1127" t="s">
        <v>1754</v>
      </c>
      <c r="B1127">
        <v>2020</v>
      </c>
      <c r="C1127" t="s">
        <v>56</v>
      </c>
      <c r="D1127" t="s">
        <v>93</v>
      </c>
      <c r="E1127">
        <v>35513</v>
      </c>
      <c r="F1127" t="s">
        <v>65</v>
      </c>
      <c r="G1127">
        <v>49200</v>
      </c>
      <c r="H1127" t="s">
        <v>20</v>
      </c>
      <c r="I1127" t="s">
        <v>58</v>
      </c>
      <c r="J1127" t="s">
        <v>294</v>
      </c>
      <c r="K1127" t="s">
        <v>23</v>
      </c>
      <c r="L1127" t="s">
        <v>84</v>
      </c>
      <c r="M1127" t="s">
        <v>48</v>
      </c>
      <c r="N1127" t="s">
        <v>69</v>
      </c>
      <c r="O1127" t="s">
        <v>27</v>
      </c>
      <c r="P1127" s="1">
        <v>44783</v>
      </c>
      <c r="Q1127">
        <f t="shared" si="85"/>
        <v>0</v>
      </c>
      <c r="R1127">
        <f t="shared" si="86"/>
        <v>0</v>
      </c>
      <c r="S1127">
        <f t="shared" si="87"/>
        <v>0</v>
      </c>
      <c r="T1127" s="11">
        <f t="shared" si="88"/>
        <v>2020</v>
      </c>
      <c r="U1127" s="11">
        <f t="shared" si="89"/>
        <v>35513</v>
      </c>
    </row>
    <row r="1128" spans="1:21" x14ac:dyDescent="0.3">
      <c r="A1128" t="s">
        <v>1755</v>
      </c>
      <c r="B1128">
        <v>2019</v>
      </c>
      <c r="C1128" t="s">
        <v>56</v>
      </c>
      <c r="D1128" t="s">
        <v>30</v>
      </c>
      <c r="E1128">
        <v>13053</v>
      </c>
      <c r="F1128" t="s">
        <v>57</v>
      </c>
      <c r="G1128">
        <v>54300</v>
      </c>
      <c r="H1128" t="s">
        <v>20</v>
      </c>
      <c r="I1128" t="s">
        <v>78</v>
      </c>
      <c r="J1128" t="s">
        <v>124</v>
      </c>
      <c r="K1128" t="s">
        <v>23</v>
      </c>
      <c r="L1128" t="s">
        <v>876</v>
      </c>
      <c r="M1128" t="s">
        <v>220</v>
      </c>
      <c r="N1128" t="s">
        <v>221</v>
      </c>
      <c r="O1128" t="s">
        <v>27</v>
      </c>
      <c r="P1128" s="1">
        <v>44783</v>
      </c>
      <c r="Q1128">
        <f t="shared" si="85"/>
        <v>0</v>
      </c>
      <c r="R1128">
        <f t="shared" si="86"/>
        <v>0</v>
      </c>
      <c r="S1128">
        <f t="shared" si="87"/>
        <v>0</v>
      </c>
      <c r="T1128" s="11">
        <f t="shared" si="88"/>
        <v>2019</v>
      </c>
      <c r="U1128" s="11">
        <f t="shared" si="89"/>
        <v>13053</v>
      </c>
    </row>
    <row r="1129" spans="1:21" x14ac:dyDescent="0.3">
      <c r="A1129" t="s">
        <v>1756</v>
      </c>
      <c r="B1129">
        <v>2019</v>
      </c>
      <c r="C1129" t="s">
        <v>56</v>
      </c>
      <c r="D1129" t="s">
        <v>93</v>
      </c>
      <c r="E1129">
        <v>56739</v>
      </c>
      <c r="F1129" t="s">
        <v>57</v>
      </c>
      <c r="G1129">
        <v>49800</v>
      </c>
      <c r="H1129" t="s">
        <v>20</v>
      </c>
      <c r="I1129" t="s">
        <v>58</v>
      </c>
      <c r="J1129" t="s">
        <v>842</v>
      </c>
      <c r="K1129" t="s">
        <v>23</v>
      </c>
      <c r="L1129" t="s">
        <v>47</v>
      </c>
      <c r="M1129" t="s">
        <v>48</v>
      </c>
      <c r="N1129" t="s">
        <v>49</v>
      </c>
      <c r="O1129" t="s">
        <v>27</v>
      </c>
      <c r="P1129" s="1">
        <v>44783</v>
      </c>
      <c r="Q1129">
        <f t="shared" si="85"/>
        <v>0</v>
      </c>
      <c r="R1129">
        <f t="shared" si="86"/>
        <v>0</v>
      </c>
      <c r="S1129">
        <f t="shared" si="87"/>
        <v>0</v>
      </c>
      <c r="T1129" s="11">
        <f t="shared" si="88"/>
        <v>2019</v>
      </c>
      <c r="U1129" s="11">
        <f t="shared" si="89"/>
        <v>56739</v>
      </c>
    </row>
    <row r="1130" spans="1:21" x14ac:dyDescent="0.3">
      <c r="A1130" t="s">
        <v>1757</v>
      </c>
      <c r="B1130">
        <v>2019</v>
      </c>
      <c r="C1130" t="s">
        <v>56</v>
      </c>
      <c r="D1130" t="s">
        <v>32</v>
      </c>
      <c r="E1130">
        <v>23518</v>
      </c>
      <c r="F1130" t="s">
        <v>57</v>
      </c>
      <c r="G1130">
        <v>51500</v>
      </c>
      <c r="H1130" t="s">
        <v>20</v>
      </c>
      <c r="I1130" t="s">
        <v>78</v>
      </c>
      <c r="J1130" t="s">
        <v>275</v>
      </c>
      <c r="K1130" t="s">
        <v>23</v>
      </c>
      <c r="L1130" t="s">
        <v>876</v>
      </c>
      <c r="M1130" t="s">
        <v>220</v>
      </c>
      <c r="N1130" t="s">
        <v>221</v>
      </c>
      <c r="O1130" t="s">
        <v>27</v>
      </c>
      <c r="P1130" s="1">
        <v>44783</v>
      </c>
      <c r="Q1130">
        <f t="shared" si="85"/>
        <v>0</v>
      </c>
      <c r="R1130">
        <f t="shared" si="86"/>
        <v>0</v>
      </c>
      <c r="S1130">
        <f t="shared" si="87"/>
        <v>0</v>
      </c>
      <c r="T1130" s="11">
        <f t="shared" si="88"/>
        <v>2019</v>
      </c>
      <c r="U1130" s="11">
        <f t="shared" si="89"/>
        <v>23518</v>
      </c>
    </row>
    <row r="1131" spans="1:21" x14ac:dyDescent="0.3">
      <c r="A1131" t="s">
        <v>1758</v>
      </c>
      <c r="B1131">
        <v>2019</v>
      </c>
      <c r="C1131" t="s">
        <v>56</v>
      </c>
      <c r="D1131" t="s">
        <v>32</v>
      </c>
      <c r="E1131">
        <v>21360</v>
      </c>
      <c r="F1131" t="s">
        <v>57</v>
      </c>
      <c r="G1131">
        <v>50800</v>
      </c>
      <c r="H1131" t="s">
        <v>20</v>
      </c>
      <c r="I1131" t="s">
        <v>78</v>
      </c>
      <c r="J1131" t="s">
        <v>275</v>
      </c>
      <c r="K1131" t="s">
        <v>23</v>
      </c>
      <c r="L1131" t="s">
        <v>47</v>
      </c>
      <c r="M1131" t="s">
        <v>48</v>
      </c>
      <c r="N1131" t="s">
        <v>49</v>
      </c>
      <c r="O1131" t="s">
        <v>27</v>
      </c>
      <c r="P1131" s="1">
        <v>44783</v>
      </c>
      <c r="Q1131">
        <f t="shared" si="85"/>
        <v>0</v>
      </c>
      <c r="R1131">
        <f t="shared" si="86"/>
        <v>0</v>
      </c>
      <c r="S1131">
        <f t="shared" si="87"/>
        <v>0</v>
      </c>
      <c r="T1131" s="11">
        <f t="shared" si="88"/>
        <v>2019</v>
      </c>
      <c r="U1131" s="11">
        <f t="shared" si="89"/>
        <v>21360</v>
      </c>
    </row>
    <row r="1132" spans="1:21" x14ac:dyDescent="0.3">
      <c r="A1132" t="s">
        <v>1759</v>
      </c>
      <c r="B1132">
        <v>2019</v>
      </c>
      <c r="C1132" t="s">
        <v>56</v>
      </c>
      <c r="D1132" t="s">
        <v>32</v>
      </c>
      <c r="E1132">
        <v>20580</v>
      </c>
      <c r="F1132" t="s">
        <v>57</v>
      </c>
      <c r="G1132">
        <v>50300</v>
      </c>
      <c r="H1132" t="s">
        <v>20</v>
      </c>
      <c r="I1132" t="s">
        <v>58</v>
      </c>
      <c r="J1132" t="s">
        <v>168</v>
      </c>
      <c r="K1132" t="s">
        <v>23</v>
      </c>
      <c r="L1132" t="s">
        <v>224</v>
      </c>
      <c r="M1132" t="s">
        <v>202</v>
      </c>
      <c r="N1132" t="s">
        <v>203</v>
      </c>
      <c r="O1132" t="s">
        <v>27</v>
      </c>
      <c r="P1132" s="1">
        <v>44783</v>
      </c>
      <c r="Q1132">
        <f t="shared" si="85"/>
        <v>0</v>
      </c>
      <c r="R1132">
        <f t="shared" si="86"/>
        <v>0</v>
      </c>
      <c r="S1132">
        <f t="shared" si="87"/>
        <v>0</v>
      </c>
      <c r="T1132" s="11">
        <f t="shared" si="88"/>
        <v>2019</v>
      </c>
      <c r="U1132" s="11">
        <f t="shared" si="89"/>
        <v>20580</v>
      </c>
    </row>
    <row r="1133" spans="1:21" x14ac:dyDescent="0.3">
      <c r="A1133" t="s">
        <v>1760</v>
      </c>
      <c r="B1133">
        <v>2019</v>
      </c>
      <c r="C1133" t="s">
        <v>56</v>
      </c>
      <c r="D1133" t="s">
        <v>32</v>
      </c>
      <c r="E1133">
        <v>15832</v>
      </c>
      <c r="F1133" t="s">
        <v>57</v>
      </c>
      <c r="G1133">
        <v>51300</v>
      </c>
      <c r="H1133" t="s">
        <v>77</v>
      </c>
      <c r="I1133" t="s">
        <v>78</v>
      </c>
      <c r="J1133" t="s">
        <v>650</v>
      </c>
      <c r="K1133" t="s">
        <v>23</v>
      </c>
      <c r="L1133" t="s">
        <v>84</v>
      </c>
      <c r="M1133" t="s">
        <v>48</v>
      </c>
      <c r="N1133" t="s">
        <v>69</v>
      </c>
      <c r="O1133" t="s">
        <v>27</v>
      </c>
      <c r="P1133" s="1">
        <v>44783</v>
      </c>
      <c r="Q1133">
        <f t="shared" si="85"/>
        <v>0</v>
      </c>
      <c r="R1133">
        <f t="shared" si="86"/>
        <v>0</v>
      </c>
      <c r="S1133">
        <f t="shared" si="87"/>
        <v>0</v>
      </c>
      <c r="T1133" s="11">
        <f t="shared" si="88"/>
        <v>2019</v>
      </c>
      <c r="U1133" s="11">
        <f t="shared" si="89"/>
        <v>15832</v>
      </c>
    </row>
    <row r="1134" spans="1:21" x14ac:dyDescent="0.3">
      <c r="A1134" t="s">
        <v>1761</v>
      </c>
      <c r="B1134">
        <v>2021</v>
      </c>
      <c r="C1134" t="s">
        <v>17</v>
      </c>
      <c r="D1134" t="s">
        <v>18</v>
      </c>
      <c r="E1134">
        <v>3256</v>
      </c>
      <c r="F1134" t="s">
        <v>19</v>
      </c>
      <c r="G1134">
        <v>79200</v>
      </c>
      <c r="H1134" t="s">
        <v>20</v>
      </c>
      <c r="I1134" t="s">
        <v>78</v>
      </c>
      <c r="J1134" t="s">
        <v>881</v>
      </c>
      <c r="K1134" t="s">
        <v>23</v>
      </c>
      <c r="L1134" t="s">
        <v>67</v>
      </c>
      <c r="M1134" t="s">
        <v>68</v>
      </c>
      <c r="N1134" t="s">
        <v>69</v>
      </c>
      <c r="O1134" t="s">
        <v>27</v>
      </c>
      <c r="P1134" s="1">
        <v>44783</v>
      </c>
      <c r="Q1134">
        <f t="shared" si="85"/>
        <v>0</v>
      </c>
      <c r="R1134">
        <f t="shared" si="86"/>
        <v>0</v>
      </c>
      <c r="S1134">
        <f t="shared" si="87"/>
        <v>1</v>
      </c>
      <c r="T1134" s="11">
        <f t="shared" si="88"/>
        <v>2021</v>
      </c>
      <c r="U1134" s="11">
        <f t="shared" si="89"/>
        <v>3256</v>
      </c>
    </row>
    <row r="1135" spans="1:21" x14ac:dyDescent="0.3">
      <c r="A1135" t="s">
        <v>1762</v>
      </c>
      <c r="B1135">
        <v>2019</v>
      </c>
      <c r="C1135" t="s">
        <v>56</v>
      </c>
      <c r="D1135" t="s">
        <v>53</v>
      </c>
      <c r="E1135">
        <v>12366</v>
      </c>
      <c r="F1135" t="s">
        <v>57</v>
      </c>
      <c r="G1135">
        <v>52500</v>
      </c>
      <c r="H1135" t="s">
        <v>20</v>
      </c>
      <c r="I1135" t="s">
        <v>78</v>
      </c>
      <c r="J1135" t="s">
        <v>564</v>
      </c>
      <c r="K1135" t="s">
        <v>23</v>
      </c>
      <c r="L1135" t="s">
        <v>254</v>
      </c>
      <c r="M1135" t="s">
        <v>255</v>
      </c>
      <c r="N1135" t="s">
        <v>256</v>
      </c>
      <c r="O1135" t="s">
        <v>27</v>
      </c>
      <c r="P1135" s="1">
        <v>44783</v>
      </c>
      <c r="Q1135">
        <f t="shared" si="85"/>
        <v>0</v>
      </c>
      <c r="R1135">
        <f t="shared" si="86"/>
        <v>0</v>
      </c>
      <c r="S1135">
        <f t="shared" si="87"/>
        <v>0</v>
      </c>
      <c r="T1135" s="11">
        <f t="shared" si="88"/>
        <v>2019</v>
      </c>
      <c r="U1135" s="11">
        <f t="shared" si="89"/>
        <v>12366</v>
      </c>
    </row>
    <row r="1136" spans="1:21" x14ac:dyDescent="0.3">
      <c r="A1136" t="s">
        <v>1763</v>
      </c>
      <c r="B1136">
        <v>2021</v>
      </c>
      <c r="C1136" t="s">
        <v>17</v>
      </c>
      <c r="D1136" t="s">
        <v>30</v>
      </c>
      <c r="E1136">
        <v>15063</v>
      </c>
      <c r="F1136" t="s">
        <v>19</v>
      </c>
      <c r="G1136">
        <v>76000</v>
      </c>
      <c r="H1136" t="s">
        <v>77</v>
      </c>
      <c r="I1136" t="s">
        <v>21</v>
      </c>
      <c r="J1136" t="s">
        <v>1116</v>
      </c>
      <c r="K1136" t="s">
        <v>23</v>
      </c>
      <c r="L1136" t="s">
        <v>84</v>
      </c>
      <c r="M1136" t="s">
        <v>48</v>
      </c>
      <c r="N1136" t="s">
        <v>69</v>
      </c>
      <c r="O1136" t="s">
        <v>27</v>
      </c>
      <c r="P1136" s="1">
        <v>44783</v>
      </c>
      <c r="Q1136">
        <f t="shared" si="85"/>
        <v>0</v>
      </c>
      <c r="R1136">
        <f t="shared" si="86"/>
        <v>0</v>
      </c>
      <c r="S1136">
        <f t="shared" si="87"/>
        <v>1</v>
      </c>
      <c r="T1136" s="11">
        <f t="shared" si="88"/>
        <v>2021</v>
      </c>
      <c r="U1136" s="11">
        <f t="shared" si="89"/>
        <v>15063</v>
      </c>
    </row>
    <row r="1137" spans="1:21" x14ac:dyDescent="0.3">
      <c r="A1137" t="s">
        <v>1764</v>
      </c>
      <c r="B1137">
        <v>2020</v>
      </c>
      <c r="C1137" t="s">
        <v>56</v>
      </c>
      <c r="D1137" t="s">
        <v>93</v>
      </c>
      <c r="E1137">
        <v>29125</v>
      </c>
      <c r="F1137" t="s">
        <v>57</v>
      </c>
      <c r="G1137">
        <v>58700</v>
      </c>
      <c r="H1137" t="s">
        <v>20</v>
      </c>
      <c r="I1137" t="s">
        <v>58</v>
      </c>
      <c r="J1137" t="s">
        <v>842</v>
      </c>
      <c r="K1137" t="s">
        <v>23</v>
      </c>
      <c r="L1137" t="s">
        <v>67</v>
      </c>
      <c r="M1137" t="s">
        <v>68</v>
      </c>
      <c r="N1137" t="s">
        <v>69</v>
      </c>
      <c r="O1137" t="s">
        <v>27</v>
      </c>
      <c r="P1137" s="1">
        <v>44783</v>
      </c>
      <c r="Q1137">
        <f t="shared" si="85"/>
        <v>0</v>
      </c>
      <c r="R1137">
        <f t="shared" si="86"/>
        <v>0</v>
      </c>
      <c r="S1137">
        <f t="shared" si="87"/>
        <v>0</v>
      </c>
      <c r="T1137" s="11">
        <f t="shared" si="88"/>
        <v>2020</v>
      </c>
      <c r="U1137" s="11">
        <f t="shared" si="89"/>
        <v>29125</v>
      </c>
    </row>
    <row r="1138" spans="1:21" x14ac:dyDescent="0.3">
      <c r="A1138" t="s">
        <v>1765</v>
      </c>
      <c r="B1138">
        <v>2020</v>
      </c>
      <c r="C1138" t="s">
        <v>17</v>
      </c>
      <c r="D1138" t="s">
        <v>18</v>
      </c>
      <c r="E1138">
        <v>24712</v>
      </c>
      <c r="F1138" t="s">
        <v>156</v>
      </c>
      <c r="G1138">
        <v>71700</v>
      </c>
      <c r="H1138" t="s">
        <v>20</v>
      </c>
      <c r="I1138" t="s">
        <v>39</v>
      </c>
      <c r="J1138" t="s">
        <v>157</v>
      </c>
      <c r="K1138" t="s">
        <v>23</v>
      </c>
      <c r="L1138" t="s">
        <v>371</v>
      </c>
      <c r="M1138" t="s">
        <v>48</v>
      </c>
      <c r="N1138" t="s">
        <v>49</v>
      </c>
      <c r="O1138" t="s">
        <v>27</v>
      </c>
      <c r="P1138" s="1">
        <v>44783</v>
      </c>
      <c r="Q1138">
        <f t="shared" si="85"/>
        <v>0</v>
      </c>
      <c r="R1138">
        <f t="shared" si="86"/>
        <v>0</v>
      </c>
      <c r="S1138">
        <f t="shared" si="87"/>
        <v>1</v>
      </c>
      <c r="T1138" s="11">
        <f t="shared" si="88"/>
        <v>2020</v>
      </c>
      <c r="U1138" s="11">
        <f t="shared" si="89"/>
        <v>24712</v>
      </c>
    </row>
    <row r="1139" spans="1:21" x14ac:dyDescent="0.3">
      <c r="A1139" t="s">
        <v>1766</v>
      </c>
      <c r="B1139">
        <v>2019</v>
      </c>
      <c r="C1139" t="s">
        <v>56</v>
      </c>
      <c r="D1139" t="s">
        <v>93</v>
      </c>
      <c r="E1139">
        <v>11188</v>
      </c>
      <c r="F1139" t="s">
        <v>57</v>
      </c>
      <c r="G1139">
        <v>60200</v>
      </c>
      <c r="H1139" t="s">
        <v>20</v>
      </c>
      <c r="I1139" t="s">
        <v>58</v>
      </c>
      <c r="J1139" t="s">
        <v>842</v>
      </c>
      <c r="K1139" t="s">
        <v>23</v>
      </c>
      <c r="L1139" t="s">
        <v>779</v>
      </c>
      <c r="M1139" t="s">
        <v>780</v>
      </c>
      <c r="N1139" t="s">
        <v>256</v>
      </c>
      <c r="O1139" t="s">
        <v>27</v>
      </c>
      <c r="P1139" s="1">
        <v>44783</v>
      </c>
      <c r="Q1139">
        <f t="shared" si="85"/>
        <v>0</v>
      </c>
      <c r="R1139">
        <f t="shared" si="86"/>
        <v>0</v>
      </c>
      <c r="S1139">
        <f t="shared" si="87"/>
        <v>0</v>
      </c>
      <c r="T1139" s="11">
        <f t="shared" si="88"/>
        <v>2019</v>
      </c>
      <c r="U1139" s="11">
        <f t="shared" si="89"/>
        <v>11188</v>
      </c>
    </row>
    <row r="1140" spans="1:21" x14ac:dyDescent="0.3">
      <c r="A1140" t="s">
        <v>1767</v>
      </c>
      <c r="B1140">
        <v>2020</v>
      </c>
      <c r="C1140" t="s">
        <v>56</v>
      </c>
      <c r="D1140" t="s">
        <v>32</v>
      </c>
      <c r="E1140">
        <v>8426</v>
      </c>
      <c r="F1140" t="s">
        <v>57</v>
      </c>
      <c r="G1140">
        <v>57400</v>
      </c>
      <c r="H1140" t="s">
        <v>20</v>
      </c>
      <c r="I1140" t="s">
        <v>78</v>
      </c>
      <c r="J1140" t="s">
        <v>275</v>
      </c>
      <c r="K1140" t="s">
        <v>23</v>
      </c>
      <c r="L1140" t="s">
        <v>47</v>
      </c>
      <c r="M1140" t="s">
        <v>48</v>
      </c>
      <c r="N1140" t="s">
        <v>49</v>
      </c>
      <c r="O1140" t="s">
        <v>27</v>
      </c>
      <c r="P1140" s="1">
        <v>44783</v>
      </c>
      <c r="Q1140">
        <f t="shared" si="85"/>
        <v>0</v>
      </c>
      <c r="R1140">
        <f t="shared" si="86"/>
        <v>0</v>
      </c>
      <c r="S1140">
        <f t="shared" si="87"/>
        <v>0</v>
      </c>
      <c r="T1140" s="11">
        <f t="shared" si="88"/>
        <v>2020</v>
      </c>
      <c r="U1140" s="11">
        <f t="shared" si="89"/>
        <v>8426</v>
      </c>
    </row>
    <row r="1141" spans="1:21" x14ac:dyDescent="0.3">
      <c r="A1141" t="s">
        <v>1768</v>
      </c>
      <c r="B1141">
        <v>2021</v>
      </c>
      <c r="C1141" t="s">
        <v>56</v>
      </c>
      <c r="D1141" t="s">
        <v>76</v>
      </c>
      <c r="E1141">
        <v>5701</v>
      </c>
      <c r="F1141" t="s">
        <v>143</v>
      </c>
      <c r="G1141">
        <v>75500</v>
      </c>
      <c r="H1141" t="s">
        <v>77</v>
      </c>
      <c r="J1141" t="s">
        <v>1769</v>
      </c>
      <c r="K1141" t="s">
        <v>23</v>
      </c>
      <c r="L1141" t="s">
        <v>34</v>
      </c>
      <c r="N1141" t="s">
        <v>35</v>
      </c>
      <c r="O1141" t="s">
        <v>27</v>
      </c>
      <c r="P1141" s="1">
        <v>44783</v>
      </c>
      <c r="Q1141">
        <f t="shared" si="85"/>
        <v>0</v>
      </c>
      <c r="R1141">
        <f t="shared" si="86"/>
        <v>0</v>
      </c>
      <c r="S1141">
        <f t="shared" si="87"/>
        <v>0</v>
      </c>
      <c r="T1141" s="11">
        <f t="shared" si="88"/>
        <v>2021</v>
      </c>
      <c r="U1141" s="11">
        <f t="shared" si="89"/>
        <v>5701</v>
      </c>
    </row>
    <row r="1142" spans="1:21" x14ac:dyDescent="0.3">
      <c r="A1142" t="s">
        <v>1770</v>
      </c>
      <c r="B1142">
        <v>2018</v>
      </c>
      <c r="C1142" t="s">
        <v>56</v>
      </c>
      <c r="D1142" t="s">
        <v>93</v>
      </c>
      <c r="E1142">
        <v>16981</v>
      </c>
      <c r="F1142" t="s">
        <v>234</v>
      </c>
      <c r="G1142">
        <v>53500</v>
      </c>
      <c r="H1142" t="s">
        <v>20</v>
      </c>
      <c r="I1142" t="s">
        <v>58</v>
      </c>
      <c r="J1142" t="s">
        <v>541</v>
      </c>
      <c r="K1142" t="s">
        <v>23</v>
      </c>
      <c r="L1142" t="s">
        <v>47</v>
      </c>
      <c r="M1142" t="s">
        <v>48</v>
      </c>
      <c r="N1142" t="s">
        <v>49</v>
      </c>
      <c r="O1142" t="s">
        <v>27</v>
      </c>
      <c r="P1142" s="1">
        <v>44783</v>
      </c>
      <c r="Q1142">
        <f t="shared" si="85"/>
        <v>0</v>
      </c>
      <c r="R1142">
        <f t="shared" si="86"/>
        <v>0</v>
      </c>
      <c r="S1142">
        <f t="shared" si="87"/>
        <v>0</v>
      </c>
      <c r="T1142" s="11">
        <f t="shared" si="88"/>
        <v>2018</v>
      </c>
      <c r="U1142" s="11">
        <f t="shared" si="89"/>
        <v>16981</v>
      </c>
    </row>
    <row r="1143" spans="1:21" x14ac:dyDescent="0.3">
      <c r="A1143" t="s">
        <v>1771</v>
      </c>
      <c r="B1143">
        <v>2021</v>
      </c>
      <c r="C1143" t="s">
        <v>17</v>
      </c>
      <c r="D1143" t="s">
        <v>32</v>
      </c>
      <c r="E1143">
        <v>21875</v>
      </c>
      <c r="F1143" t="s">
        <v>207</v>
      </c>
      <c r="G1143">
        <v>68700</v>
      </c>
      <c r="H1143" t="s">
        <v>20</v>
      </c>
      <c r="I1143" t="s">
        <v>21</v>
      </c>
      <c r="J1143" t="s">
        <v>429</v>
      </c>
      <c r="K1143" t="s">
        <v>23</v>
      </c>
      <c r="L1143" t="s">
        <v>47</v>
      </c>
      <c r="M1143" t="s">
        <v>48</v>
      </c>
      <c r="N1143" t="s">
        <v>49</v>
      </c>
      <c r="O1143" t="s">
        <v>27</v>
      </c>
      <c r="P1143" s="1">
        <v>44783</v>
      </c>
      <c r="Q1143">
        <f t="shared" si="85"/>
        <v>0</v>
      </c>
      <c r="R1143">
        <f t="shared" si="86"/>
        <v>0</v>
      </c>
      <c r="S1143">
        <f t="shared" si="87"/>
        <v>1</v>
      </c>
      <c r="T1143" s="11">
        <f t="shared" si="88"/>
        <v>2021</v>
      </c>
      <c r="U1143" s="11">
        <f t="shared" si="89"/>
        <v>21875</v>
      </c>
    </row>
    <row r="1144" spans="1:21" x14ac:dyDescent="0.3">
      <c r="A1144" t="s">
        <v>1772</v>
      </c>
      <c r="B1144">
        <v>2021</v>
      </c>
      <c r="C1144" t="s">
        <v>17</v>
      </c>
      <c r="D1144" t="s">
        <v>18</v>
      </c>
      <c r="E1144">
        <v>19913</v>
      </c>
      <c r="F1144" t="s">
        <v>19</v>
      </c>
      <c r="G1144">
        <v>71000</v>
      </c>
      <c r="H1144" t="s">
        <v>77</v>
      </c>
      <c r="I1144" t="s">
        <v>78</v>
      </c>
      <c r="J1144" t="s">
        <v>619</v>
      </c>
      <c r="K1144" t="s">
        <v>23</v>
      </c>
      <c r="L1144" t="s">
        <v>342</v>
      </c>
      <c r="M1144" t="s">
        <v>244</v>
      </c>
      <c r="N1144" t="s">
        <v>245</v>
      </c>
      <c r="O1144" t="s">
        <v>27</v>
      </c>
      <c r="P1144" s="1">
        <v>44783</v>
      </c>
      <c r="Q1144">
        <f t="shared" si="85"/>
        <v>0</v>
      </c>
      <c r="R1144">
        <f t="shared" si="86"/>
        <v>0</v>
      </c>
      <c r="S1144">
        <f t="shared" si="87"/>
        <v>1</v>
      </c>
      <c r="T1144" s="11">
        <f t="shared" si="88"/>
        <v>2021</v>
      </c>
      <c r="U1144" s="11">
        <f t="shared" si="89"/>
        <v>19913</v>
      </c>
    </row>
    <row r="1145" spans="1:21" x14ac:dyDescent="0.3">
      <c r="A1145" t="s">
        <v>1773</v>
      </c>
      <c r="B1145">
        <v>2021</v>
      </c>
      <c r="C1145" t="s">
        <v>17</v>
      </c>
      <c r="D1145" t="s">
        <v>76</v>
      </c>
      <c r="E1145">
        <v>4370</v>
      </c>
      <c r="F1145" t="s">
        <v>189</v>
      </c>
      <c r="G1145">
        <v>75100</v>
      </c>
      <c r="H1145" t="s">
        <v>20</v>
      </c>
      <c r="I1145" t="s">
        <v>39</v>
      </c>
      <c r="J1145" t="s">
        <v>334</v>
      </c>
      <c r="K1145" t="s">
        <v>23</v>
      </c>
      <c r="L1145" t="s">
        <v>876</v>
      </c>
      <c r="M1145" t="s">
        <v>220</v>
      </c>
      <c r="N1145" t="s">
        <v>221</v>
      </c>
      <c r="O1145" t="s">
        <v>27</v>
      </c>
      <c r="P1145" s="1">
        <v>44783</v>
      </c>
      <c r="Q1145">
        <f t="shared" si="85"/>
        <v>0</v>
      </c>
      <c r="R1145">
        <f t="shared" si="86"/>
        <v>0</v>
      </c>
      <c r="S1145">
        <f t="shared" si="87"/>
        <v>1</v>
      </c>
      <c r="T1145" s="11">
        <f t="shared" si="88"/>
        <v>2021</v>
      </c>
      <c r="U1145" s="11">
        <f t="shared" si="89"/>
        <v>4370</v>
      </c>
    </row>
    <row r="1146" spans="1:21" x14ac:dyDescent="0.3">
      <c r="A1146" t="s">
        <v>1774</v>
      </c>
      <c r="B1146">
        <v>2021</v>
      </c>
      <c r="C1146" t="s">
        <v>17</v>
      </c>
      <c r="D1146" t="s">
        <v>32</v>
      </c>
      <c r="E1146">
        <v>39794</v>
      </c>
      <c r="F1146" t="s">
        <v>207</v>
      </c>
      <c r="G1146">
        <v>80100</v>
      </c>
      <c r="H1146" t="s">
        <v>77</v>
      </c>
      <c r="I1146" t="s">
        <v>21</v>
      </c>
      <c r="J1146" t="s">
        <v>476</v>
      </c>
      <c r="K1146" t="s">
        <v>23</v>
      </c>
      <c r="L1146" t="s">
        <v>193</v>
      </c>
      <c r="M1146" t="s">
        <v>194</v>
      </c>
      <c r="N1146" t="s">
        <v>26</v>
      </c>
      <c r="O1146" t="s">
        <v>27</v>
      </c>
      <c r="P1146" s="1">
        <v>44782</v>
      </c>
      <c r="Q1146">
        <f t="shared" si="85"/>
        <v>0</v>
      </c>
      <c r="R1146">
        <f t="shared" si="86"/>
        <v>0</v>
      </c>
      <c r="S1146">
        <f t="shared" si="87"/>
        <v>1</v>
      </c>
      <c r="T1146" s="11">
        <f t="shared" si="88"/>
        <v>2021</v>
      </c>
      <c r="U1146" s="11">
        <f t="shared" si="89"/>
        <v>39794</v>
      </c>
    </row>
    <row r="1147" spans="1:21" x14ac:dyDescent="0.3">
      <c r="A1147" t="s">
        <v>1775</v>
      </c>
      <c r="B1147">
        <v>2019</v>
      </c>
      <c r="C1147" t="s">
        <v>56</v>
      </c>
      <c r="D1147" t="s">
        <v>32</v>
      </c>
      <c r="E1147">
        <v>11505</v>
      </c>
      <c r="F1147" t="s">
        <v>71</v>
      </c>
      <c r="G1147">
        <v>59400</v>
      </c>
      <c r="H1147" t="s">
        <v>77</v>
      </c>
      <c r="I1147" t="s">
        <v>21</v>
      </c>
      <c r="J1147" t="s">
        <v>121</v>
      </c>
      <c r="K1147" t="s">
        <v>23</v>
      </c>
      <c r="L1147" t="s">
        <v>47</v>
      </c>
      <c r="M1147" t="s">
        <v>48</v>
      </c>
      <c r="N1147" t="s">
        <v>49</v>
      </c>
      <c r="O1147" t="s">
        <v>27</v>
      </c>
      <c r="P1147" s="1">
        <v>44782</v>
      </c>
      <c r="Q1147">
        <f t="shared" si="85"/>
        <v>0</v>
      </c>
      <c r="R1147">
        <f t="shared" si="86"/>
        <v>0</v>
      </c>
      <c r="S1147">
        <f t="shared" si="87"/>
        <v>0</v>
      </c>
      <c r="T1147" s="11">
        <f t="shared" si="88"/>
        <v>2019</v>
      </c>
      <c r="U1147" s="11">
        <f t="shared" si="89"/>
        <v>11505</v>
      </c>
    </row>
    <row r="1148" spans="1:21" x14ac:dyDescent="0.3">
      <c r="A1148" t="s">
        <v>1776</v>
      </c>
      <c r="B1148">
        <v>2021</v>
      </c>
      <c r="C1148" t="s">
        <v>17</v>
      </c>
      <c r="D1148" t="s">
        <v>53</v>
      </c>
      <c r="E1148">
        <v>33661</v>
      </c>
      <c r="F1148" t="s">
        <v>19</v>
      </c>
      <c r="G1148">
        <v>81200</v>
      </c>
      <c r="H1148" t="s">
        <v>20</v>
      </c>
      <c r="I1148" t="s">
        <v>78</v>
      </c>
      <c r="J1148" t="s">
        <v>1777</v>
      </c>
      <c r="K1148" t="s">
        <v>23</v>
      </c>
      <c r="L1148" t="s">
        <v>24</v>
      </c>
      <c r="M1148" t="s">
        <v>25</v>
      </c>
      <c r="N1148" t="s">
        <v>26</v>
      </c>
      <c r="O1148" t="s">
        <v>27</v>
      </c>
      <c r="P1148" s="1">
        <v>44782</v>
      </c>
      <c r="Q1148">
        <f t="shared" si="85"/>
        <v>0</v>
      </c>
      <c r="R1148">
        <f t="shared" si="86"/>
        <v>0</v>
      </c>
      <c r="S1148">
        <f t="shared" si="87"/>
        <v>1</v>
      </c>
      <c r="T1148" s="11">
        <f t="shared" si="88"/>
        <v>2021</v>
      </c>
      <c r="U1148" s="11">
        <f t="shared" si="89"/>
        <v>33661</v>
      </c>
    </row>
    <row r="1149" spans="1:21" x14ac:dyDescent="0.3">
      <c r="A1149" t="s">
        <v>1778</v>
      </c>
      <c r="B1149">
        <v>2021</v>
      </c>
      <c r="C1149" t="s">
        <v>37</v>
      </c>
      <c r="D1149" t="s">
        <v>53</v>
      </c>
      <c r="E1149">
        <v>7141</v>
      </c>
      <c r="F1149" t="s">
        <v>131</v>
      </c>
      <c r="G1149">
        <v>123100</v>
      </c>
      <c r="H1149" t="s">
        <v>53</v>
      </c>
      <c r="I1149" t="s">
        <v>39</v>
      </c>
      <c r="J1149" t="s">
        <v>598</v>
      </c>
      <c r="K1149" t="s">
        <v>23</v>
      </c>
      <c r="L1149" t="s">
        <v>768</v>
      </c>
      <c r="M1149" t="s">
        <v>68</v>
      </c>
      <c r="N1149" t="s">
        <v>69</v>
      </c>
      <c r="O1149" t="s">
        <v>27</v>
      </c>
      <c r="P1149" s="1">
        <v>44782</v>
      </c>
      <c r="Q1149">
        <f t="shared" si="85"/>
        <v>1</v>
      </c>
      <c r="R1149">
        <f t="shared" si="86"/>
        <v>0</v>
      </c>
      <c r="S1149">
        <f t="shared" si="87"/>
        <v>0</v>
      </c>
      <c r="T1149" s="11">
        <f t="shared" si="88"/>
        <v>2021</v>
      </c>
      <c r="U1149" s="11">
        <f t="shared" si="89"/>
        <v>7141</v>
      </c>
    </row>
    <row r="1150" spans="1:21" x14ac:dyDescent="0.3">
      <c r="A1150" t="s">
        <v>1779</v>
      </c>
      <c r="B1150">
        <v>2021</v>
      </c>
      <c r="C1150" t="s">
        <v>37</v>
      </c>
      <c r="D1150" t="s">
        <v>30</v>
      </c>
      <c r="E1150">
        <v>6687</v>
      </c>
      <c r="F1150" t="s">
        <v>131</v>
      </c>
      <c r="G1150">
        <v>125900</v>
      </c>
      <c r="H1150" t="s">
        <v>45</v>
      </c>
      <c r="I1150" t="s">
        <v>39</v>
      </c>
      <c r="J1150" t="s">
        <v>420</v>
      </c>
      <c r="K1150" t="s">
        <v>23</v>
      </c>
      <c r="L1150" t="s">
        <v>205</v>
      </c>
      <c r="M1150" t="s">
        <v>42</v>
      </c>
      <c r="N1150" t="s">
        <v>26</v>
      </c>
      <c r="O1150" t="s">
        <v>27</v>
      </c>
      <c r="P1150" s="1">
        <v>44782</v>
      </c>
      <c r="Q1150">
        <f t="shared" si="85"/>
        <v>1</v>
      </c>
      <c r="R1150">
        <f t="shared" si="86"/>
        <v>0</v>
      </c>
      <c r="S1150">
        <f t="shared" si="87"/>
        <v>0</v>
      </c>
      <c r="T1150" s="11">
        <f t="shared" si="88"/>
        <v>2021</v>
      </c>
      <c r="U1150" s="11">
        <f t="shared" si="89"/>
        <v>6687</v>
      </c>
    </row>
    <row r="1151" spans="1:21" x14ac:dyDescent="0.3">
      <c r="A1151" t="s">
        <v>1780</v>
      </c>
      <c r="B1151">
        <v>2021</v>
      </c>
      <c r="C1151" t="s">
        <v>17</v>
      </c>
      <c r="D1151" t="s">
        <v>53</v>
      </c>
      <c r="E1151">
        <v>26943</v>
      </c>
      <c r="F1151" t="s">
        <v>19</v>
      </c>
      <c r="G1151">
        <v>82300</v>
      </c>
      <c r="H1151" t="s">
        <v>77</v>
      </c>
      <c r="I1151" t="s">
        <v>78</v>
      </c>
      <c r="J1151" t="s">
        <v>1781</v>
      </c>
      <c r="K1151" t="s">
        <v>23</v>
      </c>
      <c r="L1151" t="s">
        <v>278</v>
      </c>
      <c r="M1151" t="s">
        <v>148</v>
      </c>
      <c r="N1151" t="s">
        <v>149</v>
      </c>
      <c r="O1151" t="s">
        <v>27</v>
      </c>
      <c r="P1151" s="1">
        <v>44782</v>
      </c>
      <c r="Q1151">
        <f t="shared" si="85"/>
        <v>0</v>
      </c>
      <c r="R1151">
        <f t="shared" si="86"/>
        <v>0</v>
      </c>
      <c r="S1151">
        <f t="shared" si="87"/>
        <v>1</v>
      </c>
      <c r="T1151" s="11">
        <f t="shared" si="88"/>
        <v>2021</v>
      </c>
      <c r="U1151" s="11">
        <f t="shared" si="89"/>
        <v>26943</v>
      </c>
    </row>
    <row r="1152" spans="1:21" x14ac:dyDescent="0.3">
      <c r="A1152" t="s">
        <v>1782</v>
      </c>
      <c r="B1152">
        <v>2019</v>
      </c>
      <c r="C1152" t="s">
        <v>56</v>
      </c>
      <c r="D1152" t="s">
        <v>93</v>
      </c>
      <c r="E1152">
        <v>30317</v>
      </c>
      <c r="F1152" t="s">
        <v>65</v>
      </c>
      <c r="G1152">
        <v>47100</v>
      </c>
      <c r="H1152" t="s">
        <v>20</v>
      </c>
      <c r="I1152" t="s">
        <v>78</v>
      </c>
      <c r="J1152" t="s">
        <v>536</v>
      </c>
      <c r="K1152" t="s">
        <v>23</v>
      </c>
      <c r="L1152" t="s">
        <v>205</v>
      </c>
      <c r="M1152" t="s">
        <v>42</v>
      </c>
      <c r="N1152" t="s">
        <v>26</v>
      </c>
      <c r="O1152" t="s">
        <v>27</v>
      </c>
      <c r="P1152" s="1">
        <v>44782</v>
      </c>
      <c r="Q1152">
        <f t="shared" si="85"/>
        <v>0</v>
      </c>
      <c r="R1152">
        <f t="shared" si="86"/>
        <v>0</v>
      </c>
      <c r="S1152">
        <f t="shared" si="87"/>
        <v>0</v>
      </c>
      <c r="T1152" s="11">
        <f t="shared" si="88"/>
        <v>2019</v>
      </c>
      <c r="U1152" s="11">
        <f t="shared" si="89"/>
        <v>30317</v>
      </c>
    </row>
    <row r="1153" spans="1:21" x14ac:dyDescent="0.3">
      <c r="A1153" t="s">
        <v>1783</v>
      </c>
      <c r="B1153">
        <v>2022</v>
      </c>
      <c r="C1153" t="s">
        <v>17</v>
      </c>
      <c r="D1153" t="s">
        <v>53</v>
      </c>
      <c r="E1153">
        <v>6939</v>
      </c>
      <c r="F1153" t="s">
        <v>189</v>
      </c>
      <c r="G1153">
        <v>81000</v>
      </c>
      <c r="H1153" t="s">
        <v>77</v>
      </c>
      <c r="I1153" t="s">
        <v>39</v>
      </c>
      <c r="J1153" t="s">
        <v>273</v>
      </c>
      <c r="K1153" t="s">
        <v>23</v>
      </c>
      <c r="L1153" t="s">
        <v>1730</v>
      </c>
      <c r="M1153" t="s">
        <v>148</v>
      </c>
      <c r="N1153" t="s">
        <v>149</v>
      </c>
      <c r="O1153" t="s">
        <v>27</v>
      </c>
      <c r="P1153" s="1">
        <v>44782</v>
      </c>
      <c r="Q1153">
        <f t="shared" si="85"/>
        <v>0</v>
      </c>
      <c r="R1153">
        <f t="shared" si="86"/>
        <v>0</v>
      </c>
      <c r="S1153">
        <f t="shared" si="87"/>
        <v>1</v>
      </c>
      <c r="T1153" s="11">
        <f t="shared" si="88"/>
        <v>2022</v>
      </c>
      <c r="U1153" s="11">
        <f t="shared" si="89"/>
        <v>6939</v>
      </c>
    </row>
    <row r="1154" spans="1:21" x14ac:dyDescent="0.3">
      <c r="A1154" t="s">
        <v>1784</v>
      </c>
      <c r="B1154">
        <v>2019</v>
      </c>
      <c r="C1154" t="s">
        <v>56</v>
      </c>
      <c r="D1154" t="s">
        <v>30</v>
      </c>
      <c r="E1154">
        <v>36014</v>
      </c>
      <c r="F1154" t="s">
        <v>71</v>
      </c>
      <c r="G1154">
        <v>57700</v>
      </c>
      <c r="H1154" t="s">
        <v>20</v>
      </c>
      <c r="I1154" t="s">
        <v>21</v>
      </c>
      <c r="J1154" t="s">
        <v>384</v>
      </c>
      <c r="K1154" t="s">
        <v>23</v>
      </c>
      <c r="L1154" t="s">
        <v>183</v>
      </c>
      <c r="M1154" t="s">
        <v>25</v>
      </c>
      <c r="N1154" t="s">
        <v>26</v>
      </c>
      <c r="O1154" t="s">
        <v>27</v>
      </c>
      <c r="P1154" s="1">
        <v>44782</v>
      </c>
      <c r="Q1154">
        <f t="shared" ref="Q1154:Q1217" si="90">--(C1154="ms")</f>
        <v>0</v>
      </c>
      <c r="R1154">
        <f t="shared" ref="R1154:R1217" si="91">--(C1154="mx")</f>
        <v>0</v>
      </c>
      <c r="S1154">
        <f t="shared" ref="S1154:S1217" si="92">--(C1154="my")</f>
        <v>0</v>
      </c>
      <c r="T1154" s="11">
        <f t="shared" ref="T1154:T1217" si="93">B1154</f>
        <v>2019</v>
      </c>
      <c r="U1154" s="11">
        <f t="shared" ref="U1154:U1217" si="94">E1154</f>
        <v>36014</v>
      </c>
    </row>
    <row r="1155" spans="1:21" x14ac:dyDescent="0.3">
      <c r="A1155" t="s">
        <v>1785</v>
      </c>
      <c r="B1155">
        <v>2021</v>
      </c>
      <c r="C1155" t="s">
        <v>17</v>
      </c>
      <c r="D1155" t="s">
        <v>76</v>
      </c>
      <c r="E1155">
        <v>12600</v>
      </c>
      <c r="F1155" t="s">
        <v>207</v>
      </c>
      <c r="G1155">
        <v>75300</v>
      </c>
      <c r="H1155" t="s">
        <v>20</v>
      </c>
      <c r="I1155" t="s">
        <v>21</v>
      </c>
      <c r="J1155" t="s">
        <v>570</v>
      </c>
      <c r="K1155" t="s">
        <v>23</v>
      </c>
      <c r="N1155" t="s">
        <v>127</v>
      </c>
      <c r="O1155" t="s">
        <v>27</v>
      </c>
      <c r="P1155" s="1">
        <v>44782</v>
      </c>
      <c r="Q1155">
        <f t="shared" si="90"/>
        <v>0</v>
      </c>
      <c r="R1155">
        <f t="shared" si="91"/>
        <v>0</v>
      </c>
      <c r="S1155">
        <f t="shared" si="92"/>
        <v>1</v>
      </c>
      <c r="T1155" s="11">
        <f t="shared" si="93"/>
        <v>2021</v>
      </c>
      <c r="U1155" s="11">
        <f t="shared" si="94"/>
        <v>12600</v>
      </c>
    </row>
    <row r="1156" spans="1:21" x14ac:dyDescent="0.3">
      <c r="A1156" t="s">
        <v>1786</v>
      </c>
      <c r="B1156">
        <v>2018</v>
      </c>
      <c r="C1156" t="s">
        <v>29</v>
      </c>
      <c r="D1156" t="s">
        <v>51</v>
      </c>
      <c r="E1156">
        <v>20083</v>
      </c>
      <c r="F1156" t="s">
        <v>52</v>
      </c>
      <c r="G1156">
        <v>95900</v>
      </c>
      <c r="H1156" t="s">
        <v>32</v>
      </c>
      <c r="I1156" t="s">
        <v>110</v>
      </c>
      <c r="J1156" t="s">
        <v>1787</v>
      </c>
      <c r="K1156" t="s">
        <v>23</v>
      </c>
      <c r="L1156" t="s">
        <v>197</v>
      </c>
      <c r="M1156" t="s">
        <v>198</v>
      </c>
      <c r="N1156" t="s">
        <v>26</v>
      </c>
      <c r="O1156" t="s">
        <v>27</v>
      </c>
      <c r="P1156" s="1">
        <v>44782</v>
      </c>
      <c r="Q1156">
        <f t="shared" si="90"/>
        <v>0</v>
      </c>
      <c r="R1156">
        <f t="shared" si="91"/>
        <v>1</v>
      </c>
      <c r="S1156">
        <f t="shared" si="92"/>
        <v>0</v>
      </c>
      <c r="T1156" s="11">
        <f t="shared" si="93"/>
        <v>2018</v>
      </c>
      <c r="U1156" s="11">
        <f t="shared" si="94"/>
        <v>20083</v>
      </c>
    </row>
    <row r="1157" spans="1:21" x14ac:dyDescent="0.3">
      <c r="A1157" t="s">
        <v>1788</v>
      </c>
      <c r="B1157">
        <v>2020</v>
      </c>
      <c r="C1157" t="s">
        <v>17</v>
      </c>
      <c r="D1157" t="s">
        <v>53</v>
      </c>
      <c r="E1157">
        <v>15924</v>
      </c>
      <c r="F1157" t="s">
        <v>207</v>
      </c>
      <c r="G1157">
        <v>70900</v>
      </c>
      <c r="H1157" t="s">
        <v>20</v>
      </c>
      <c r="I1157" t="s">
        <v>78</v>
      </c>
      <c r="J1157" t="s">
        <v>524</v>
      </c>
      <c r="K1157" t="s">
        <v>23</v>
      </c>
      <c r="N1157" t="s">
        <v>127</v>
      </c>
      <c r="O1157" t="s">
        <v>27</v>
      </c>
      <c r="P1157" s="1">
        <v>44782</v>
      </c>
      <c r="Q1157">
        <f t="shared" si="90"/>
        <v>0</v>
      </c>
      <c r="R1157">
        <f t="shared" si="91"/>
        <v>0</v>
      </c>
      <c r="S1157">
        <f t="shared" si="92"/>
        <v>1</v>
      </c>
      <c r="T1157" s="11">
        <f t="shared" si="93"/>
        <v>2020</v>
      </c>
      <c r="U1157" s="11">
        <f t="shared" si="94"/>
        <v>15924</v>
      </c>
    </row>
    <row r="1158" spans="1:21" x14ac:dyDescent="0.3">
      <c r="A1158" t="s">
        <v>1789</v>
      </c>
      <c r="B1158">
        <v>2020</v>
      </c>
      <c r="C1158" t="s">
        <v>17</v>
      </c>
      <c r="D1158" t="s">
        <v>53</v>
      </c>
      <c r="E1158">
        <v>16426</v>
      </c>
      <c r="F1158" t="s">
        <v>207</v>
      </c>
      <c r="G1158">
        <v>70500</v>
      </c>
      <c r="H1158" t="s">
        <v>20</v>
      </c>
      <c r="I1158" t="s">
        <v>21</v>
      </c>
      <c r="J1158" t="s">
        <v>613</v>
      </c>
      <c r="K1158" t="s">
        <v>23</v>
      </c>
      <c r="L1158" t="s">
        <v>175</v>
      </c>
      <c r="M1158" t="s">
        <v>42</v>
      </c>
      <c r="N1158" t="s">
        <v>26</v>
      </c>
      <c r="O1158" t="s">
        <v>27</v>
      </c>
      <c r="P1158" s="1">
        <v>44782</v>
      </c>
      <c r="Q1158">
        <f t="shared" si="90"/>
        <v>0</v>
      </c>
      <c r="R1158">
        <f t="shared" si="91"/>
        <v>0</v>
      </c>
      <c r="S1158">
        <f t="shared" si="92"/>
        <v>1</v>
      </c>
      <c r="T1158" s="11">
        <f t="shared" si="93"/>
        <v>2020</v>
      </c>
      <c r="U1158" s="11">
        <f t="shared" si="94"/>
        <v>16426</v>
      </c>
    </row>
    <row r="1159" spans="1:21" x14ac:dyDescent="0.3">
      <c r="A1159" t="s">
        <v>1790</v>
      </c>
      <c r="B1159">
        <v>2022</v>
      </c>
      <c r="C1159" t="s">
        <v>56</v>
      </c>
      <c r="D1159" t="s">
        <v>53</v>
      </c>
      <c r="E1159">
        <v>1958</v>
      </c>
      <c r="F1159" t="s">
        <v>143</v>
      </c>
      <c r="G1159">
        <v>74400</v>
      </c>
      <c r="H1159" t="s">
        <v>20</v>
      </c>
      <c r="J1159" t="s">
        <v>223</v>
      </c>
      <c r="K1159" t="s">
        <v>23</v>
      </c>
      <c r="N1159" t="s">
        <v>127</v>
      </c>
      <c r="O1159" t="s">
        <v>27</v>
      </c>
      <c r="P1159" s="1">
        <v>44782</v>
      </c>
      <c r="Q1159">
        <f t="shared" si="90"/>
        <v>0</v>
      </c>
      <c r="R1159">
        <f t="shared" si="91"/>
        <v>0</v>
      </c>
      <c r="S1159">
        <f t="shared" si="92"/>
        <v>0</v>
      </c>
      <c r="T1159" s="11">
        <f t="shared" si="93"/>
        <v>2022</v>
      </c>
      <c r="U1159" s="11">
        <f t="shared" si="94"/>
        <v>1958</v>
      </c>
    </row>
    <row r="1160" spans="1:21" x14ac:dyDescent="0.3">
      <c r="A1160" t="s">
        <v>1791</v>
      </c>
      <c r="B1160">
        <v>2020</v>
      </c>
      <c r="C1160" t="s">
        <v>17</v>
      </c>
      <c r="D1160" t="s">
        <v>76</v>
      </c>
      <c r="E1160">
        <v>31250</v>
      </c>
      <c r="F1160" t="s">
        <v>207</v>
      </c>
      <c r="G1160">
        <v>72500</v>
      </c>
      <c r="H1160" t="s">
        <v>20</v>
      </c>
      <c r="I1160" t="s">
        <v>21</v>
      </c>
      <c r="J1160" t="s">
        <v>570</v>
      </c>
      <c r="K1160" t="s">
        <v>23</v>
      </c>
      <c r="L1160" t="s">
        <v>163</v>
      </c>
      <c r="M1160" t="s">
        <v>164</v>
      </c>
      <c r="N1160" t="s">
        <v>26</v>
      </c>
      <c r="O1160" t="s">
        <v>27</v>
      </c>
      <c r="P1160" s="1">
        <v>44782</v>
      </c>
      <c r="Q1160">
        <f t="shared" si="90"/>
        <v>0</v>
      </c>
      <c r="R1160">
        <f t="shared" si="91"/>
        <v>0</v>
      </c>
      <c r="S1160">
        <f t="shared" si="92"/>
        <v>1</v>
      </c>
      <c r="T1160" s="11">
        <f t="shared" si="93"/>
        <v>2020</v>
      </c>
      <c r="U1160" s="11">
        <f t="shared" si="94"/>
        <v>31250</v>
      </c>
    </row>
    <row r="1161" spans="1:21" x14ac:dyDescent="0.3">
      <c r="A1161" t="s">
        <v>1792</v>
      </c>
      <c r="B1161">
        <v>2019</v>
      </c>
      <c r="C1161" t="s">
        <v>56</v>
      </c>
      <c r="D1161" t="s">
        <v>30</v>
      </c>
      <c r="E1161">
        <v>25975</v>
      </c>
      <c r="F1161" t="s">
        <v>71</v>
      </c>
      <c r="G1161">
        <v>59000</v>
      </c>
      <c r="H1161" t="s">
        <v>77</v>
      </c>
      <c r="I1161" t="s">
        <v>21</v>
      </c>
      <c r="J1161" t="s">
        <v>444</v>
      </c>
      <c r="K1161" t="s">
        <v>23</v>
      </c>
      <c r="N1161" t="s">
        <v>127</v>
      </c>
      <c r="O1161" t="s">
        <v>27</v>
      </c>
      <c r="P1161" s="1">
        <v>44782</v>
      </c>
      <c r="Q1161">
        <f t="shared" si="90"/>
        <v>0</v>
      </c>
      <c r="R1161">
        <f t="shared" si="91"/>
        <v>0</v>
      </c>
      <c r="S1161">
        <f t="shared" si="92"/>
        <v>0</v>
      </c>
      <c r="T1161" s="11">
        <f t="shared" si="93"/>
        <v>2019</v>
      </c>
      <c r="U1161" s="11">
        <f t="shared" si="94"/>
        <v>25975</v>
      </c>
    </row>
    <row r="1162" spans="1:21" x14ac:dyDescent="0.3">
      <c r="A1162" t="s">
        <v>1793</v>
      </c>
      <c r="B1162">
        <v>2018</v>
      </c>
      <c r="C1162" t="s">
        <v>56</v>
      </c>
      <c r="D1162" t="s">
        <v>32</v>
      </c>
      <c r="E1162">
        <v>79702</v>
      </c>
      <c r="F1162" t="s">
        <v>71</v>
      </c>
      <c r="G1162">
        <v>49200</v>
      </c>
      <c r="H1162" t="s">
        <v>77</v>
      </c>
      <c r="I1162" t="s">
        <v>21</v>
      </c>
      <c r="J1162" t="s">
        <v>121</v>
      </c>
      <c r="K1162" t="s">
        <v>23</v>
      </c>
      <c r="L1162" t="s">
        <v>292</v>
      </c>
      <c r="M1162" t="s">
        <v>172</v>
      </c>
      <c r="N1162" t="s">
        <v>173</v>
      </c>
      <c r="O1162" t="s">
        <v>27</v>
      </c>
      <c r="P1162" s="1">
        <v>44782</v>
      </c>
      <c r="Q1162">
        <f t="shared" si="90"/>
        <v>0</v>
      </c>
      <c r="R1162">
        <f t="shared" si="91"/>
        <v>0</v>
      </c>
      <c r="S1162">
        <f t="shared" si="92"/>
        <v>0</v>
      </c>
      <c r="T1162" s="11">
        <f t="shared" si="93"/>
        <v>2018</v>
      </c>
      <c r="U1162" s="11">
        <f t="shared" si="94"/>
        <v>79702</v>
      </c>
    </row>
    <row r="1163" spans="1:21" x14ac:dyDescent="0.3">
      <c r="A1163" t="s">
        <v>1794</v>
      </c>
      <c r="B1163">
        <v>2019</v>
      </c>
      <c r="C1163" t="s">
        <v>56</v>
      </c>
      <c r="D1163" t="s">
        <v>93</v>
      </c>
      <c r="E1163">
        <v>27939</v>
      </c>
      <c r="F1163" t="s">
        <v>71</v>
      </c>
      <c r="G1163">
        <v>58900</v>
      </c>
      <c r="H1163" t="s">
        <v>20</v>
      </c>
      <c r="I1163" t="s">
        <v>21</v>
      </c>
      <c r="J1163" t="s">
        <v>332</v>
      </c>
      <c r="K1163" t="s">
        <v>23</v>
      </c>
      <c r="L1163" t="s">
        <v>292</v>
      </c>
      <c r="M1163" t="s">
        <v>172</v>
      </c>
      <c r="N1163" t="s">
        <v>173</v>
      </c>
      <c r="O1163" t="s">
        <v>27</v>
      </c>
      <c r="P1163" s="1">
        <v>44782</v>
      </c>
      <c r="Q1163">
        <f t="shared" si="90"/>
        <v>0</v>
      </c>
      <c r="R1163">
        <f t="shared" si="91"/>
        <v>0</v>
      </c>
      <c r="S1163">
        <f t="shared" si="92"/>
        <v>0</v>
      </c>
      <c r="T1163" s="11">
        <f t="shared" si="93"/>
        <v>2019</v>
      </c>
      <c r="U1163" s="11">
        <f t="shared" si="94"/>
        <v>27939</v>
      </c>
    </row>
    <row r="1164" spans="1:21" x14ac:dyDescent="0.3">
      <c r="A1164" t="s">
        <v>1795</v>
      </c>
      <c r="B1164">
        <v>2019</v>
      </c>
      <c r="C1164" t="s">
        <v>56</v>
      </c>
      <c r="D1164" t="s">
        <v>93</v>
      </c>
      <c r="E1164">
        <v>6627</v>
      </c>
      <c r="F1164" t="s">
        <v>71</v>
      </c>
      <c r="G1164">
        <v>58300</v>
      </c>
      <c r="H1164" t="s">
        <v>20</v>
      </c>
      <c r="I1164" t="s">
        <v>21</v>
      </c>
      <c r="J1164" t="s">
        <v>332</v>
      </c>
      <c r="K1164" t="s">
        <v>23</v>
      </c>
      <c r="L1164" t="s">
        <v>292</v>
      </c>
      <c r="M1164" t="s">
        <v>172</v>
      </c>
      <c r="N1164" t="s">
        <v>173</v>
      </c>
      <c r="O1164" t="s">
        <v>27</v>
      </c>
      <c r="P1164" s="1">
        <v>44782</v>
      </c>
      <c r="Q1164">
        <f t="shared" si="90"/>
        <v>0</v>
      </c>
      <c r="R1164">
        <f t="shared" si="91"/>
        <v>0</v>
      </c>
      <c r="S1164">
        <f t="shared" si="92"/>
        <v>0</v>
      </c>
      <c r="T1164" s="11">
        <f t="shared" si="93"/>
        <v>2019</v>
      </c>
      <c r="U1164" s="11">
        <f t="shared" si="94"/>
        <v>6627</v>
      </c>
    </row>
    <row r="1165" spans="1:21" x14ac:dyDescent="0.3">
      <c r="A1165" t="s">
        <v>1796</v>
      </c>
      <c r="B1165">
        <v>2019</v>
      </c>
      <c r="C1165" t="s">
        <v>56</v>
      </c>
      <c r="D1165" t="s">
        <v>32</v>
      </c>
      <c r="E1165">
        <v>39304</v>
      </c>
      <c r="F1165" t="s">
        <v>71</v>
      </c>
      <c r="G1165">
        <v>54700</v>
      </c>
      <c r="H1165" t="s">
        <v>20</v>
      </c>
      <c r="I1165" t="s">
        <v>21</v>
      </c>
      <c r="J1165" t="s">
        <v>72</v>
      </c>
      <c r="K1165" t="s">
        <v>23</v>
      </c>
      <c r="L1165" t="s">
        <v>292</v>
      </c>
      <c r="M1165" t="s">
        <v>172</v>
      </c>
      <c r="N1165" t="s">
        <v>173</v>
      </c>
      <c r="O1165" t="s">
        <v>27</v>
      </c>
      <c r="P1165" s="1">
        <v>44782</v>
      </c>
      <c r="Q1165">
        <f t="shared" si="90"/>
        <v>0</v>
      </c>
      <c r="R1165">
        <f t="shared" si="91"/>
        <v>0</v>
      </c>
      <c r="S1165">
        <f t="shared" si="92"/>
        <v>0</v>
      </c>
      <c r="T1165" s="11">
        <f t="shared" si="93"/>
        <v>2019</v>
      </c>
      <c r="U1165" s="11">
        <f t="shared" si="94"/>
        <v>39304</v>
      </c>
    </row>
    <row r="1166" spans="1:21" x14ac:dyDescent="0.3">
      <c r="A1166" t="s">
        <v>1797</v>
      </c>
      <c r="B1166">
        <v>2019</v>
      </c>
      <c r="C1166" t="s">
        <v>56</v>
      </c>
      <c r="D1166" t="s">
        <v>53</v>
      </c>
      <c r="E1166">
        <v>35920</v>
      </c>
      <c r="F1166" t="s">
        <v>71</v>
      </c>
      <c r="G1166">
        <v>54600</v>
      </c>
      <c r="H1166" t="s">
        <v>20</v>
      </c>
      <c r="I1166" t="s">
        <v>21</v>
      </c>
      <c r="J1166" t="s">
        <v>376</v>
      </c>
      <c r="K1166" t="s">
        <v>23</v>
      </c>
      <c r="N1166" t="s">
        <v>127</v>
      </c>
      <c r="O1166" t="s">
        <v>27</v>
      </c>
      <c r="P1166" s="1">
        <v>44782</v>
      </c>
      <c r="Q1166">
        <f t="shared" si="90"/>
        <v>0</v>
      </c>
      <c r="R1166">
        <f t="shared" si="91"/>
        <v>0</v>
      </c>
      <c r="S1166">
        <f t="shared" si="92"/>
        <v>0</v>
      </c>
      <c r="T1166" s="11">
        <f t="shared" si="93"/>
        <v>2019</v>
      </c>
      <c r="U1166" s="11">
        <f t="shared" si="94"/>
        <v>35920</v>
      </c>
    </row>
    <row r="1167" spans="1:21" x14ac:dyDescent="0.3">
      <c r="A1167" t="s">
        <v>1798</v>
      </c>
      <c r="B1167">
        <v>2020</v>
      </c>
      <c r="C1167" t="s">
        <v>56</v>
      </c>
      <c r="D1167" t="s">
        <v>93</v>
      </c>
      <c r="E1167">
        <v>21546</v>
      </c>
      <c r="F1167" t="s">
        <v>71</v>
      </c>
      <c r="G1167">
        <v>60700</v>
      </c>
      <c r="H1167" t="s">
        <v>20</v>
      </c>
      <c r="I1167" t="s">
        <v>21</v>
      </c>
      <c r="J1167" t="s">
        <v>668</v>
      </c>
      <c r="K1167" t="s">
        <v>23</v>
      </c>
      <c r="L1167" t="s">
        <v>205</v>
      </c>
      <c r="M1167" t="s">
        <v>42</v>
      </c>
      <c r="N1167" t="s">
        <v>26</v>
      </c>
      <c r="O1167" t="s">
        <v>27</v>
      </c>
      <c r="P1167" s="1">
        <v>44782</v>
      </c>
      <c r="Q1167">
        <f t="shared" si="90"/>
        <v>0</v>
      </c>
      <c r="R1167">
        <f t="shared" si="91"/>
        <v>0</v>
      </c>
      <c r="S1167">
        <f t="shared" si="92"/>
        <v>0</v>
      </c>
      <c r="T1167" s="11">
        <f t="shared" si="93"/>
        <v>2020</v>
      </c>
      <c r="U1167" s="11">
        <f t="shared" si="94"/>
        <v>21546</v>
      </c>
    </row>
    <row r="1168" spans="1:21" x14ac:dyDescent="0.3">
      <c r="A1168" t="s">
        <v>1799</v>
      </c>
      <c r="B1168">
        <v>2019</v>
      </c>
      <c r="C1168" t="s">
        <v>56</v>
      </c>
      <c r="D1168" t="s">
        <v>93</v>
      </c>
      <c r="E1168">
        <v>31623</v>
      </c>
      <c r="F1168" t="s">
        <v>71</v>
      </c>
      <c r="G1168">
        <v>57600</v>
      </c>
      <c r="H1168" t="s">
        <v>77</v>
      </c>
      <c r="I1168" t="s">
        <v>21</v>
      </c>
      <c r="J1168" t="s">
        <v>555</v>
      </c>
      <c r="K1168" t="s">
        <v>23</v>
      </c>
      <c r="N1168" t="s">
        <v>127</v>
      </c>
      <c r="O1168" t="s">
        <v>27</v>
      </c>
      <c r="P1168" s="1">
        <v>44782</v>
      </c>
      <c r="Q1168">
        <f t="shared" si="90"/>
        <v>0</v>
      </c>
      <c r="R1168">
        <f t="shared" si="91"/>
        <v>0</v>
      </c>
      <c r="S1168">
        <f t="shared" si="92"/>
        <v>0</v>
      </c>
      <c r="T1168" s="11">
        <f t="shared" si="93"/>
        <v>2019</v>
      </c>
      <c r="U1168" s="11">
        <f t="shared" si="94"/>
        <v>31623</v>
      </c>
    </row>
    <row r="1169" spans="1:21" x14ac:dyDescent="0.3">
      <c r="A1169" t="s">
        <v>1800</v>
      </c>
      <c r="B1169">
        <v>2017</v>
      </c>
      <c r="C1169" t="s">
        <v>29</v>
      </c>
      <c r="D1169" t="s">
        <v>30</v>
      </c>
      <c r="E1169">
        <v>54815</v>
      </c>
      <c r="F1169" t="s">
        <v>153</v>
      </c>
      <c r="G1169">
        <v>81000</v>
      </c>
      <c r="H1169" t="s">
        <v>32</v>
      </c>
      <c r="I1169" t="s">
        <v>21</v>
      </c>
      <c r="J1169" t="s">
        <v>1801</v>
      </c>
      <c r="K1169" t="s">
        <v>23</v>
      </c>
      <c r="L1169" t="s">
        <v>456</v>
      </c>
      <c r="M1169" t="s">
        <v>164</v>
      </c>
      <c r="N1169" t="s">
        <v>26</v>
      </c>
      <c r="O1169" t="s">
        <v>27</v>
      </c>
      <c r="P1169" s="1">
        <v>44782</v>
      </c>
      <c r="Q1169">
        <f t="shared" si="90"/>
        <v>0</v>
      </c>
      <c r="R1169">
        <f t="shared" si="91"/>
        <v>1</v>
      </c>
      <c r="S1169">
        <f t="shared" si="92"/>
        <v>0</v>
      </c>
      <c r="T1169" s="11">
        <f t="shared" si="93"/>
        <v>2017</v>
      </c>
      <c r="U1169" s="11">
        <f t="shared" si="94"/>
        <v>54815</v>
      </c>
    </row>
    <row r="1170" spans="1:21" x14ac:dyDescent="0.3">
      <c r="A1170" t="s">
        <v>1802</v>
      </c>
      <c r="B1170">
        <v>2020</v>
      </c>
      <c r="C1170" t="s">
        <v>29</v>
      </c>
      <c r="D1170" t="s">
        <v>32</v>
      </c>
      <c r="E1170">
        <v>25367</v>
      </c>
      <c r="F1170" t="s">
        <v>31</v>
      </c>
      <c r="G1170">
        <v>119400</v>
      </c>
      <c r="H1170" t="s">
        <v>45</v>
      </c>
      <c r="I1170" t="s">
        <v>110</v>
      </c>
      <c r="J1170" t="s">
        <v>1803</v>
      </c>
      <c r="K1170" t="s">
        <v>23</v>
      </c>
      <c r="N1170" t="s">
        <v>127</v>
      </c>
      <c r="O1170" t="s">
        <v>27</v>
      </c>
      <c r="P1170" s="1">
        <v>44782</v>
      </c>
      <c r="Q1170">
        <f t="shared" si="90"/>
        <v>0</v>
      </c>
      <c r="R1170">
        <f t="shared" si="91"/>
        <v>1</v>
      </c>
      <c r="S1170">
        <f t="shared" si="92"/>
        <v>0</v>
      </c>
      <c r="T1170" s="11">
        <f t="shared" si="93"/>
        <v>2020</v>
      </c>
      <c r="U1170" s="11">
        <f t="shared" si="94"/>
        <v>25367</v>
      </c>
    </row>
    <row r="1171" spans="1:21" x14ac:dyDescent="0.3">
      <c r="A1171" t="s">
        <v>1804</v>
      </c>
      <c r="B1171">
        <v>2018</v>
      </c>
      <c r="C1171" t="s">
        <v>56</v>
      </c>
      <c r="D1171" t="s">
        <v>18</v>
      </c>
      <c r="E1171">
        <v>29298</v>
      </c>
      <c r="F1171" t="s">
        <v>71</v>
      </c>
      <c r="G1171">
        <v>58600</v>
      </c>
      <c r="H1171" t="s">
        <v>20</v>
      </c>
      <c r="I1171" t="s">
        <v>21</v>
      </c>
      <c r="J1171" t="s">
        <v>1805</v>
      </c>
      <c r="K1171" t="s">
        <v>23</v>
      </c>
      <c r="L1171" t="s">
        <v>24</v>
      </c>
      <c r="M1171" t="s">
        <v>25</v>
      </c>
      <c r="N1171" t="s">
        <v>26</v>
      </c>
      <c r="O1171" t="s">
        <v>27</v>
      </c>
      <c r="P1171" s="1">
        <v>44782</v>
      </c>
      <c r="Q1171">
        <f t="shared" si="90"/>
        <v>0</v>
      </c>
      <c r="R1171">
        <f t="shared" si="91"/>
        <v>0</v>
      </c>
      <c r="S1171">
        <f t="shared" si="92"/>
        <v>0</v>
      </c>
      <c r="T1171" s="11">
        <f t="shared" si="93"/>
        <v>2018</v>
      </c>
      <c r="U1171" s="11">
        <f t="shared" si="94"/>
        <v>29298</v>
      </c>
    </row>
    <row r="1172" spans="1:21" x14ac:dyDescent="0.3">
      <c r="A1172" t="s">
        <v>1806</v>
      </c>
      <c r="B1172">
        <v>2021</v>
      </c>
      <c r="C1172" t="s">
        <v>17</v>
      </c>
      <c r="D1172" t="s">
        <v>30</v>
      </c>
      <c r="E1172">
        <v>26551</v>
      </c>
      <c r="F1172" t="s">
        <v>207</v>
      </c>
      <c r="G1172">
        <v>73400</v>
      </c>
      <c r="H1172" t="s">
        <v>20</v>
      </c>
      <c r="I1172" t="s">
        <v>78</v>
      </c>
      <c r="J1172" t="s">
        <v>242</v>
      </c>
      <c r="K1172" t="s">
        <v>23</v>
      </c>
      <c r="N1172" t="s">
        <v>127</v>
      </c>
      <c r="O1172" t="s">
        <v>27</v>
      </c>
      <c r="P1172" s="1">
        <v>44782</v>
      </c>
      <c r="Q1172">
        <f t="shared" si="90"/>
        <v>0</v>
      </c>
      <c r="R1172">
        <f t="shared" si="91"/>
        <v>0</v>
      </c>
      <c r="S1172">
        <f t="shared" si="92"/>
        <v>1</v>
      </c>
      <c r="T1172" s="11">
        <f t="shared" si="93"/>
        <v>2021</v>
      </c>
      <c r="U1172" s="11">
        <f t="shared" si="94"/>
        <v>26551</v>
      </c>
    </row>
    <row r="1173" spans="1:21" x14ac:dyDescent="0.3">
      <c r="A1173" t="s">
        <v>1807</v>
      </c>
      <c r="B1173">
        <v>2020</v>
      </c>
      <c r="C1173" t="s">
        <v>56</v>
      </c>
      <c r="D1173" t="s">
        <v>32</v>
      </c>
      <c r="E1173">
        <v>16494</v>
      </c>
      <c r="F1173" t="s">
        <v>71</v>
      </c>
      <c r="G1173">
        <v>60200</v>
      </c>
      <c r="H1173" t="s">
        <v>20</v>
      </c>
      <c r="I1173" t="s">
        <v>21</v>
      </c>
      <c r="J1173" t="s">
        <v>449</v>
      </c>
      <c r="K1173" t="s">
        <v>23</v>
      </c>
      <c r="L1173" t="s">
        <v>876</v>
      </c>
      <c r="M1173" t="s">
        <v>220</v>
      </c>
      <c r="N1173" t="s">
        <v>221</v>
      </c>
      <c r="O1173" t="s">
        <v>27</v>
      </c>
      <c r="P1173" s="1">
        <v>44782</v>
      </c>
      <c r="Q1173">
        <f t="shared" si="90"/>
        <v>0</v>
      </c>
      <c r="R1173">
        <f t="shared" si="91"/>
        <v>0</v>
      </c>
      <c r="S1173">
        <f t="shared" si="92"/>
        <v>0</v>
      </c>
      <c r="T1173" s="11">
        <f t="shared" si="93"/>
        <v>2020</v>
      </c>
      <c r="U1173" s="11">
        <f t="shared" si="94"/>
        <v>16494</v>
      </c>
    </row>
    <row r="1174" spans="1:21" x14ac:dyDescent="0.3">
      <c r="A1174" t="s">
        <v>1808</v>
      </c>
      <c r="B1174">
        <v>2021</v>
      </c>
      <c r="C1174" t="s">
        <v>17</v>
      </c>
      <c r="D1174" t="s">
        <v>32</v>
      </c>
      <c r="E1174">
        <v>11885</v>
      </c>
      <c r="F1174" t="s">
        <v>207</v>
      </c>
      <c r="G1174">
        <v>73500</v>
      </c>
      <c r="H1174" t="s">
        <v>20</v>
      </c>
      <c r="I1174" t="s">
        <v>78</v>
      </c>
      <c r="J1174" t="s">
        <v>200</v>
      </c>
      <c r="K1174" t="s">
        <v>23</v>
      </c>
      <c r="L1174" t="s">
        <v>112</v>
      </c>
      <c r="M1174" t="s">
        <v>113</v>
      </c>
      <c r="N1174" t="s">
        <v>114</v>
      </c>
      <c r="O1174" t="s">
        <v>27</v>
      </c>
      <c r="P1174" s="1">
        <v>44782</v>
      </c>
      <c r="Q1174">
        <f t="shared" si="90"/>
        <v>0</v>
      </c>
      <c r="R1174">
        <f t="shared" si="91"/>
        <v>0</v>
      </c>
      <c r="S1174">
        <f t="shared" si="92"/>
        <v>1</v>
      </c>
      <c r="T1174" s="11">
        <f t="shared" si="93"/>
        <v>2021</v>
      </c>
      <c r="U1174" s="11">
        <f t="shared" si="94"/>
        <v>11885</v>
      </c>
    </row>
    <row r="1175" spans="1:21" x14ac:dyDescent="0.3">
      <c r="A1175" t="s">
        <v>1809</v>
      </c>
      <c r="B1175">
        <v>2019</v>
      </c>
      <c r="C1175" t="s">
        <v>29</v>
      </c>
      <c r="D1175" t="s">
        <v>30</v>
      </c>
      <c r="E1175">
        <v>40123</v>
      </c>
      <c r="F1175" t="s">
        <v>177</v>
      </c>
      <c r="G1175">
        <v>90300</v>
      </c>
      <c r="H1175" t="s">
        <v>53</v>
      </c>
      <c r="I1175" t="s">
        <v>110</v>
      </c>
      <c r="J1175" t="s">
        <v>1810</v>
      </c>
      <c r="K1175" t="s">
        <v>23</v>
      </c>
      <c r="L1175" t="s">
        <v>87</v>
      </c>
      <c r="M1175" t="s">
        <v>88</v>
      </c>
      <c r="N1175" t="s">
        <v>89</v>
      </c>
      <c r="O1175" t="s">
        <v>27</v>
      </c>
      <c r="P1175" s="1">
        <v>44782</v>
      </c>
      <c r="Q1175">
        <f t="shared" si="90"/>
        <v>0</v>
      </c>
      <c r="R1175">
        <f t="shared" si="91"/>
        <v>1</v>
      </c>
      <c r="S1175">
        <f t="shared" si="92"/>
        <v>0</v>
      </c>
      <c r="T1175" s="11">
        <f t="shared" si="93"/>
        <v>2019</v>
      </c>
      <c r="U1175" s="11">
        <f t="shared" si="94"/>
        <v>40123</v>
      </c>
    </row>
    <row r="1176" spans="1:21" x14ac:dyDescent="0.3">
      <c r="A1176" t="s">
        <v>1811</v>
      </c>
      <c r="B1176">
        <v>2020</v>
      </c>
      <c r="C1176" t="s">
        <v>17</v>
      </c>
      <c r="D1176" t="s">
        <v>18</v>
      </c>
      <c r="E1176">
        <v>8230</v>
      </c>
      <c r="F1176" t="s">
        <v>207</v>
      </c>
      <c r="G1176">
        <v>71900</v>
      </c>
      <c r="H1176" t="s">
        <v>77</v>
      </c>
      <c r="I1176" t="s">
        <v>21</v>
      </c>
      <c r="J1176" t="s">
        <v>1240</v>
      </c>
      <c r="K1176" t="s">
        <v>23</v>
      </c>
      <c r="L1176" t="s">
        <v>243</v>
      </c>
      <c r="M1176" t="s">
        <v>244</v>
      </c>
      <c r="N1176" t="s">
        <v>245</v>
      </c>
      <c r="O1176" t="s">
        <v>27</v>
      </c>
      <c r="P1176" s="1">
        <v>44782</v>
      </c>
      <c r="Q1176">
        <f t="shared" si="90"/>
        <v>0</v>
      </c>
      <c r="R1176">
        <f t="shared" si="91"/>
        <v>0</v>
      </c>
      <c r="S1176">
        <f t="shared" si="92"/>
        <v>1</v>
      </c>
      <c r="T1176" s="11">
        <f t="shared" si="93"/>
        <v>2020</v>
      </c>
      <c r="U1176" s="11">
        <f t="shared" si="94"/>
        <v>8230</v>
      </c>
    </row>
    <row r="1177" spans="1:21" x14ac:dyDescent="0.3">
      <c r="A1177" t="s">
        <v>1812</v>
      </c>
      <c r="B1177">
        <v>2019</v>
      </c>
      <c r="C1177" t="s">
        <v>29</v>
      </c>
      <c r="D1177" t="s">
        <v>32</v>
      </c>
      <c r="E1177">
        <v>22584</v>
      </c>
      <c r="F1177" t="s">
        <v>44</v>
      </c>
      <c r="G1177">
        <v>104100</v>
      </c>
      <c r="H1177" t="s">
        <v>32</v>
      </c>
      <c r="I1177" t="s">
        <v>21</v>
      </c>
      <c r="J1177" t="s">
        <v>1209</v>
      </c>
      <c r="K1177" t="s">
        <v>23</v>
      </c>
      <c r="L1177" t="s">
        <v>183</v>
      </c>
      <c r="M1177" t="s">
        <v>25</v>
      </c>
      <c r="N1177" t="s">
        <v>26</v>
      </c>
      <c r="O1177" t="s">
        <v>27</v>
      </c>
      <c r="P1177" s="1">
        <v>44781</v>
      </c>
      <c r="Q1177">
        <f t="shared" si="90"/>
        <v>0</v>
      </c>
      <c r="R1177">
        <f t="shared" si="91"/>
        <v>1</v>
      </c>
      <c r="S1177">
        <f t="shared" si="92"/>
        <v>0</v>
      </c>
      <c r="T1177" s="11">
        <f t="shared" si="93"/>
        <v>2019</v>
      </c>
      <c r="U1177" s="11">
        <f t="shared" si="94"/>
        <v>22584</v>
      </c>
    </row>
    <row r="1178" spans="1:21" x14ac:dyDescent="0.3">
      <c r="A1178" t="s">
        <v>1813</v>
      </c>
      <c r="B1178">
        <v>2020</v>
      </c>
      <c r="C1178" t="s">
        <v>29</v>
      </c>
      <c r="D1178" t="s">
        <v>32</v>
      </c>
      <c r="E1178">
        <v>34374</v>
      </c>
      <c r="F1178" t="s">
        <v>177</v>
      </c>
      <c r="G1178">
        <v>102600</v>
      </c>
      <c r="H1178" t="s">
        <v>32</v>
      </c>
      <c r="I1178" t="s">
        <v>21</v>
      </c>
      <c r="J1178" t="s">
        <v>660</v>
      </c>
      <c r="K1178" t="s">
        <v>23</v>
      </c>
      <c r="L1178" t="s">
        <v>456</v>
      </c>
      <c r="M1178" t="s">
        <v>164</v>
      </c>
      <c r="N1178" t="s">
        <v>26</v>
      </c>
      <c r="O1178" t="s">
        <v>27</v>
      </c>
      <c r="P1178" s="1">
        <v>44781</v>
      </c>
      <c r="Q1178">
        <f t="shared" si="90"/>
        <v>0</v>
      </c>
      <c r="R1178">
        <f t="shared" si="91"/>
        <v>1</v>
      </c>
      <c r="S1178">
        <f t="shared" si="92"/>
        <v>0</v>
      </c>
      <c r="T1178" s="11">
        <f t="shared" si="93"/>
        <v>2020</v>
      </c>
      <c r="U1178" s="11">
        <f t="shared" si="94"/>
        <v>34374</v>
      </c>
    </row>
    <row r="1179" spans="1:21" x14ac:dyDescent="0.3">
      <c r="A1179" t="s">
        <v>1814</v>
      </c>
      <c r="B1179">
        <v>2021</v>
      </c>
      <c r="C1179" t="s">
        <v>17</v>
      </c>
      <c r="D1179" t="s">
        <v>32</v>
      </c>
      <c r="E1179">
        <v>19252</v>
      </c>
      <c r="F1179" t="s">
        <v>19</v>
      </c>
      <c r="G1179">
        <v>72700</v>
      </c>
      <c r="H1179" t="s">
        <v>20</v>
      </c>
      <c r="I1179" t="s">
        <v>78</v>
      </c>
      <c r="J1179" t="s">
        <v>200</v>
      </c>
      <c r="K1179" t="s">
        <v>23</v>
      </c>
      <c r="L1179" t="s">
        <v>197</v>
      </c>
      <c r="M1179" t="s">
        <v>198</v>
      </c>
      <c r="N1179" t="s">
        <v>26</v>
      </c>
      <c r="O1179" t="s">
        <v>27</v>
      </c>
      <c r="P1179" s="1">
        <v>44781</v>
      </c>
      <c r="Q1179">
        <f t="shared" si="90"/>
        <v>0</v>
      </c>
      <c r="R1179">
        <f t="shared" si="91"/>
        <v>0</v>
      </c>
      <c r="S1179">
        <f t="shared" si="92"/>
        <v>1</v>
      </c>
      <c r="T1179" s="11">
        <f t="shared" si="93"/>
        <v>2021</v>
      </c>
      <c r="U1179" s="11">
        <f t="shared" si="94"/>
        <v>19252</v>
      </c>
    </row>
    <row r="1180" spans="1:21" x14ac:dyDescent="0.3">
      <c r="A1180" t="s">
        <v>1815</v>
      </c>
      <c r="B1180">
        <v>2021</v>
      </c>
      <c r="C1180" t="s">
        <v>17</v>
      </c>
      <c r="D1180" t="s">
        <v>30</v>
      </c>
      <c r="E1180">
        <v>23430</v>
      </c>
      <c r="F1180" t="s">
        <v>207</v>
      </c>
      <c r="G1180">
        <v>73500</v>
      </c>
      <c r="H1180" t="s">
        <v>20</v>
      </c>
      <c r="I1180" t="s">
        <v>78</v>
      </c>
      <c r="J1180" t="s">
        <v>1816</v>
      </c>
      <c r="K1180" t="s">
        <v>23</v>
      </c>
      <c r="N1180" t="s">
        <v>127</v>
      </c>
      <c r="O1180" t="s">
        <v>27</v>
      </c>
      <c r="P1180" s="1">
        <v>44781</v>
      </c>
      <c r="Q1180">
        <f t="shared" si="90"/>
        <v>0</v>
      </c>
      <c r="R1180">
        <f t="shared" si="91"/>
        <v>0</v>
      </c>
      <c r="S1180">
        <f t="shared" si="92"/>
        <v>1</v>
      </c>
      <c r="T1180" s="11">
        <f t="shared" si="93"/>
        <v>2021</v>
      </c>
      <c r="U1180" s="11">
        <f t="shared" si="94"/>
        <v>23430</v>
      </c>
    </row>
    <row r="1181" spans="1:21" x14ac:dyDescent="0.3">
      <c r="A1181" t="s">
        <v>1817</v>
      </c>
      <c r="B1181">
        <v>2018</v>
      </c>
      <c r="C1181" t="s">
        <v>56</v>
      </c>
      <c r="D1181" t="s">
        <v>93</v>
      </c>
      <c r="E1181">
        <v>69351</v>
      </c>
      <c r="F1181" t="s">
        <v>71</v>
      </c>
      <c r="G1181">
        <v>50000</v>
      </c>
      <c r="H1181" t="s">
        <v>20</v>
      </c>
      <c r="I1181" t="s">
        <v>58</v>
      </c>
      <c r="J1181" t="s">
        <v>541</v>
      </c>
      <c r="K1181" t="s">
        <v>23</v>
      </c>
      <c r="L1181" t="s">
        <v>137</v>
      </c>
      <c r="M1181" t="s">
        <v>138</v>
      </c>
      <c r="N1181" t="s">
        <v>139</v>
      </c>
      <c r="O1181" t="s">
        <v>27</v>
      </c>
      <c r="P1181" s="1">
        <v>44781</v>
      </c>
      <c r="Q1181">
        <f t="shared" si="90"/>
        <v>0</v>
      </c>
      <c r="R1181">
        <f t="shared" si="91"/>
        <v>0</v>
      </c>
      <c r="S1181">
        <f t="shared" si="92"/>
        <v>0</v>
      </c>
      <c r="T1181" s="11">
        <f t="shared" si="93"/>
        <v>2018</v>
      </c>
      <c r="U1181" s="11">
        <f t="shared" si="94"/>
        <v>69351</v>
      </c>
    </row>
    <row r="1182" spans="1:21" x14ac:dyDescent="0.3">
      <c r="A1182" t="s">
        <v>1818</v>
      </c>
      <c r="B1182">
        <v>2021</v>
      </c>
      <c r="C1182" t="s">
        <v>17</v>
      </c>
      <c r="D1182" t="s">
        <v>32</v>
      </c>
      <c r="E1182">
        <v>12801</v>
      </c>
      <c r="F1182" t="s">
        <v>19</v>
      </c>
      <c r="G1182">
        <v>74000</v>
      </c>
      <c r="H1182" t="s">
        <v>20</v>
      </c>
      <c r="I1182" t="s">
        <v>21</v>
      </c>
      <c r="J1182" t="s">
        <v>429</v>
      </c>
      <c r="K1182" t="s">
        <v>23</v>
      </c>
      <c r="N1182" t="s">
        <v>127</v>
      </c>
      <c r="O1182" t="s">
        <v>27</v>
      </c>
      <c r="P1182" s="1">
        <v>44781</v>
      </c>
      <c r="Q1182">
        <f t="shared" si="90"/>
        <v>0</v>
      </c>
      <c r="R1182">
        <f t="shared" si="91"/>
        <v>0</v>
      </c>
      <c r="S1182">
        <f t="shared" si="92"/>
        <v>1</v>
      </c>
      <c r="T1182" s="11">
        <f t="shared" si="93"/>
        <v>2021</v>
      </c>
      <c r="U1182" s="11">
        <f t="shared" si="94"/>
        <v>12801</v>
      </c>
    </row>
    <row r="1183" spans="1:21" x14ac:dyDescent="0.3">
      <c r="A1183" t="s">
        <v>1819</v>
      </c>
      <c r="B1183">
        <v>2019</v>
      </c>
      <c r="C1183" t="s">
        <v>56</v>
      </c>
      <c r="D1183" t="s">
        <v>32</v>
      </c>
      <c r="E1183">
        <v>19243</v>
      </c>
      <c r="F1183" t="s">
        <v>71</v>
      </c>
      <c r="G1183">
        <v>56900</v>
      </c>
      <c r="H1183" t="s">
        <v>20</v>
      </c>
      <c r="I1183" t="s">
        <v>78</v>
      </c>
      <c r="J1183" t="s">
        <v>729</v>
      </c>
      <c r="K1183" t="s">
        <v>23</v>
      </c>
      <c r="L1183" t="s">
        <v>147</v>
      </c>
      <c r="M1183" t="s">
        <v>148</v>
      </c>
      <c r="N1183" t="s">
        <v>149</v>
      </c>
      <c r="O1183" t="s">
        <v>27</v>
      </c>
      <c r="P1183" s="1">
        <v>44781</v>
      </c>
      <c r="Q1183">
        <f t="shared" si="90"/>
        <v>0</v>
      </c>
      <c r="R1183">
        <f t="shared" si="91"/>
        <v>0</v>
      </c>
      <c r="S1183">
        <f t="shared" si="92"/>
        <v>0</v>
      </c>
      <c r="T1183" s="11">
        <f t="shared" si="93"/>
        <v>2019</v>
      </c>
      <c r="U1183" s="11">
        <f t="shared" si="94"/>
        <v>19243</v>
      </c>
    </row>
    <row r="1184" spans="1:21" x14ac:dyDescent="0.3">
      <c r="A1184" t="s">
        <v>1820</v>
      </c>
      <c r="B1184">
        <v>2021</v>
      </c>
      <c r="C1184" t="s">
        <v>17</v>
      </c>
      <c r="D1184" t="s">
        <v>30</v>
      </c>
      <c r="E1184">
        <v>9583</v>
      </c>
      <c r="F1184" t="s">
        <v>207</v>
      </c>
      <c r="G1184">
        <v>76900</v>
      </c>
      <c r="H1184" t="s">
        <v>20</v>
      </c>
      <c r="I1184" t="s">
        <v>78</v>
      </c>
      <c r="J1184" t="s">
        <v>703</v>
      </c>
      <c r="K1184" t="s">
        <v>23</v>
      </c>
      <c r="N1184" t="s">
        <v>127</v>
      </c>
      <c r="O1184" t="s">
        <v>27</v>
      </c>
      <c r="P1184" s="1">
        <v>44781</v>
      </c>
      <c r="Q1184">
        <f t="shared" si="90"/>
        <v>0</v>
      </c>
      <c r="R1184">
        <f t="shared" si="91"/>
        <v>0</v>
      </c>
      <c r="S1184">
        <f t="shared" si="92"/>
        <v>1</v>
      </c>
      <c r="T1184" s="11">
        <f t="shared" si="93"/>
        <v>2021</v>
      </c>
      <c r="U1184" s="11">
        <f t="shared" si="94"/>
        <v>9583</v>
      </c>
    </row>
    <row r="1185" spans="1:21" x14ac:dyDescent="0.3">
      <c r="A1185" t="s">
        <v>1821</v>
      </c>
      <c r="B1185">
        <v>2017</v>
      </c>
      <c r="C1185" t="s">
        <v>29</v>
      </c>
      <c r="D1185" t="s">
        <v>30</v>
      </c>
      <c r="E1185">
        <v>22703</v>
      </c>
      <c r="F1185" t="s">
        <v>52</v>
      </c>
      <c r="G1185">
        <v>88400</v>
      </c>
      <c r="H1185" t="s">
        <v>45</v>
      </c>
      <c r="I1185" t="s">
        <v>21</v>
      </c>
      <c r="J1185" t="s">
        <v>1822</v>
      </c>
      <c r="K1185" t="s">
        <v>23</v>
      </c>
      <c r="L1185" t="s">
        <v>278</v>
      </c>
      <c r="M1185" t="s">
        <v>148</v>
      </c>
      <c r="N1185" t="s">
        <v>149</v>
      </c>
      <c r="O1185" t="s">
        <v>27</v>
      </c>
      <c r="P1185" s="1">
        <v>44781</v>
      </c>
      <c r="Q1185">
        <f t="shared" si="90"/>
        <v>0</v>
      </c>
      <c r="R1185">
        <f t="shared" si="91"/>
        <v>1</v>
      </c>
      <c r="S1185">
        <f t="shared" si="92"/>
        <v>0</v>
      </c>
      <c r="T1185" s="11">
        <f t="shared" si="93"/>
        <v>2017</v>
      </c>
      <c r="U1185" s="11">
        <f t="shared" si="94"/>
        <v>22703</v>
      </c>
    </row>
    <row r="1186" spans="1:21" x14ac:dyDescent="0.3">
      <c r="A1186" t="s">
        <v>1823</v>
      </c>
      <c r="B1186">
        <v>2019</v>
      </c>
      <c r="C1186" t="s">
        <v>29</v>
      </c>
      <c r="D1186" t="s">
        <v>32</v>
      </c>
      <c r="E1186">
        <v>28483</v>
      </c>
      <c r="F1186" t="s">
        <v>44</v>
      </c>
      <c r="G1186">
        <v>97400</v>
      </c>
      <c r="H1186" t="s">
        <v>53</v>
      </c>
      <c r="I1186" t="s">
        <v>21</v>
      </c>
      <c r="J1186" t="s">
        <v>645</v>
      </c>
      <c r="K1186" t="s">
        <v>23</v>
      </c>
      <c r="L1186" t="s">
        <v>494</v>
      </c>
      <c r="M1186" t="s">
        <v>113</v>
      </c>
      <c r="N1186" t="s">
        <v>114</v>
      </c>
      <c r="O1186" t="s">
        <v>27</v>
      </c>
      <c r="P1186" s="1">
        <v>44781</v>
      </c>
      <c r="Q1186">
        <f t="shared" si="90"/>
        <v>0</v>
      </c>
      <c r="R1186">
        <f t="shared" si="91"/>
        <v>1</v>
      </c>
      <c r="S1186">
        <f t="shared" si="92"/>
        <v>0</v>
      </c>
      <c r="T1186" s="11">
        <f t="shared" si="93"/>
        <v>2019</v>
      </c>
      <c r="U1186" s="11">
        <f t="shared" si="94"/>
        <v>28483</v>
      </c>
    </row>
    <row r="1187" spans="1:21" x14ac:dyDescent="0.3">
      <c r="A1187" t="s">
        <v>1824</v>
      </c>
      <c r="B1187">
        <v>2018</v>
      </c>
      <c r="C1187" t="s">
        <v>29</v>
      </c>
      <c r="D1187" t="s">
        <v>53</v>
      </c>
      <c r="E1187">
        <v>31115</v>
      </c>
      <c r="F1187" t="s">
        <v>270</v>
      </c>
      <c r="G1187">
        <v>93900</v>
      </c>
      <c r="H1187" t="s">
        <v>53</v>
      </c>
      <c r="I1187" t="s">
        <v>110</v>
      </c>
      <c r="J1187" t="s">
        <v>1825</v>
      </c>
      <c r="K1187" t="s">
        <v>23</v>
      </c>
      <c r="L1187" t="s">
        <v>490</v>
      </c>
      <c r="M1187" t="s">
        <v>491</v>
      </c>
      <c r="N1187" t="s">
        <v>406</v>
      </c>
      <c r="O1187" t="s">
        <v>27</v>
      </c>
      <c r="P1187" s="1">
        <v>44781</v>
      </c>
      <c r="Q1187">
        <f t="shared" si="90"/>
        <v>0</v>
      </c>
      <c r="R1187">
        <f t="shared" si="91"/>
        <v>1</v>
      </c>
      <c r="S1187">
        <f t="shared" si="92"/>
        <v>0</v>
      </c>
      <c r="T1187" s="11">
        <f t="shared" si="93"/>
        <v>2018</v>
      </c>
      <c r="U1187" s="11">
        <f t="shared" si="94"/>
        <v>31115</v>
      </c>
    </row>
    <row r="1188" spans="1:21" x14ac:dyDescent="0.3">
      <c r="A1188" t="s">
        <v>1826</v>
      </c>
      <c r="B1188">
        <v>2018</v>
      </c>
      <c r="C1188" t="s">
        <v>37</v>
      </c>
      <c r="D1188" t="s">
        <v>32</v>
      </c>
      <c r="E1188">
        <v>30711</v>
      </c>
      <c r="F1188" t="s">
        <v>104</v>
      </c>
      <c r="G1188">
        <v>60700</v>
      </c>
      <c r="H1188" t="s">
        <v>45</v>
      </c>
      <c r="I1188" t="s">
        <v>78</v>
      </c>
      <c r="J1188" t="s">
        <v>1827</v>
      </c>
      <c r="K1188" t="s">
        <v>23</v>
      </c>
      <c r="L1188" t="s">
        <v>60</v>
      </c>
      <c r="M1188" t="s">
        <v>48</v>
      </c>
      <c r="N1188" t="s">
        <v>49</v>
      </c>
      <c r="O1188" t="s">
        <v>27</v>
      </c>
      <c r="P1188" s="1">
        <v>44781</v>
      </c>
      <c r="Q1188">
        <f t="shared" si="90"/>
        <v>1</v>
      </c>
      <c r="R1188">
        <f t="shared" si="91"/>
        <v>0</v>
      </c>
      <c r="S1188">
        <f t="shared" si="92"/>
        <v>0</v>
      </c>
      <c r="T1188" s="11">
        <f t="shared" si="93"/>
        <v>2018</v>
      </c>
      <c r="U1188" s="11">
        <f t="shared" si="94"/>
        <v>30711</v>
      </c>
    </row>
    <row r="1189" spans="1:21" x14ac:dyDescent="0.3">
      <c r="A1189" t="s">
        <v>1828</v>
      </c>
      <c r="B1189">
        <v>2019</v>
      </c>
      <c r="C1189" t="s">
        <v>56</v>
      </c>
      <c r="D1189" t="s">
        <v>30</v>
      </c>
      <c r="E1189">
        <v>50694</v>
      </c>
      <c r="F1189" t="s">
        <v>71</v>
      </c>
      <c r="G1189">
        <v>54400</v>
      </c>
      <c r="H1189" t="s">
        <v>77</v>
      </c>
      <c r="I1189" t="s">
        <v>21</v>
      </c>
      <c r="J1189" t="s">
        <v>444</v>
      </c>
      <c r="K1189" t="s">
        <v>23</v>
      </c>
      <c r="L1189" t="s">
        <v>122</v>
      </c>
      <c r="M1189" t="s">
        <v>113</v>
      </c>
      <c r="N1189" t="s">
        <v>114</v>
      </c>
      <c r="O1189" t="s">
        <v>27</v>
      </c>
      <c r="P1189" s="1">
        <v>44781</v>
      </c>
      <c r="Q1189">
        <f t="shared" si="90"/>
        <v>0</v>
      </c>
      <c r="R1189">
        <f t="shared" si="91"/>
        <v>0</v>
      </c>
      <c r="S1189">
        <f t="shared" si="92"/>
        <v>0</v>
      </c>
      <c r="T1189" s="11">
        <f t="shared" si="93"/>
        <v>2019</v>
      </c>
      <c r="U1189" s="11">
        <f t="shared" si="94"/>
        <v>50694</v>
      </c>
    </row>
    <row r="1190" spans="1:21" x14ac:dyDescent="0.3">
      <c r="A1190" t="s">
        <v>1829</v>
      </c>
      <c r="B1190">
        <v>2019</v>
      </c>
      <c r="C1190" t="s">
        <v>56</v>
      </c>
      <c r="D1190" t="s">
        <v>32</v>
      </c>
      <c r="E1190">
        <v>16410</v>
      </c>
      <c r="F1190" t="s">
        <v>71</v>
      </c>
      <c r="G1190">
        <v>55600</v>
      </c>
      <c r="H1190" t="s">
        <v>20</v>
      </c>
      <c r="I1190" t="s">
        <v>21</v>
      </c>
      <c r="J1190" t="s">
        <v>72</v>
      </c>
      <c r="K1190" t="s">
        <v>23</v>
      </c>
      <c r="L1190" t="s">
        <v>47</v>
      </c>
      <c r="M1190" t="s">
        <v>48</v>
      </c>
      <c r="N1190" t="s">
        <v>49</v>
      </c>
      <c r="O1190" t="s">
        <v>27</v>
      </c>
      <c r="P1190" s="1">
        <v>44781</v>
      </c>
      <c r="Q1190">
        <f t="shared" si="90"/>
        <v>0</v>
      </c>
      <c r="R1190">
        <f t="shared" si="91"/>
        <v>0</v>
      </c>
      <c r="S1190">
        <f t="shared" si="92"/>
        <v>0</v>
      </c>
      <c r="T1190" s="11">
        <f t="shared" si="93"/>
        <v>2019</v>
      </c>
      <c r="U1190" s="11">
        <f t="shared" si="94"/>
        <v>16410</v>
      </c>
    </row>
    <row r="1191" spans="1:21" x14ac:dyDescent="0.3">
      <c r="A1191" t="s">
        <v>1830</v>
      </c>
      <c r="B1191">
        <v>2018</v>
      </c>
      <c r="C1191" t="s">
        <v>29</v>
      </c>
      <c r="D1191" t="s">
        <v>51</v>
      </c>
      <c r="E1191">
        <v>46321</v>
      </c>
      <c r="F1191" t="s">
        <v>52</v>
      </c>
      <c r="G1191">
        <v>79800</v>
      </c>
      <c r="H1191" t="s">
        <v>45</v>
      </c>
      <c r="I1191" t="s">
        <v>21</v>
      </c>
      <c r="J1191" t="s">
        <v>1831</v>
      </c>
      <c r="K1191" t="s">
        <v>23</v>
      </c>
      <c r="L1191" t="s">
        <v>112</v>
      </c>
      <c r="M1191" t="s">
        <v>113</v>
      </c>
      <c r="N1191" t="s">
        <v>114</v>
      </c>
      <c r="O1191" t="s">
        <v>27</v>
      </c>
      <c r="P1191" s="1">
        <v>44781</v>
      </c>
      <c r="Q1191">
        <f t="shared" si="90"/>
        <v>0</v>
      </c>
      <c r="R1191">
        <f t="shared" si="91"/>
        <v>1</v>
      </c>
      <c r="S1191">
        <f t="shared" si="92"/>
        <v>0</v>
      </c>
      <c r="T1191" s="11">
        <f t="shared" si="93"/>
        <v>2018</v>
      </c>
      <c r="U1191" s="11">
        <f t="shared" si="94"/>
        <v>46321</v>
      </c>
    </row>
    <row r="1192" spans="1:21" x14ac:dyDescent="0.3">
      <c r="A1192" t="s">
        <v>1832</v>
      </c>
      <c r="B1192">
        <v>2016</v>
      </c>
      <c r="C1192" t="s">
        <v>29</v>
      </c>
      <c r="D1192" t="s">
        <v>53</v>
      </c>
      <c r="E1192">
        <v>29794</v>
      </c>
      <c r="F1192" t="s">
        <v>270</v>
      </c>
      <c r="G1192">
        <v>81300</v>
      </c>
      <c r="H1192" t="s">
        <v>53</v>
      </c>
      <c r="I1192" t="s">
        <v>110</v>
      </c>
      <c r="J1192" t="s">
        <v>1833</v>
      </c>
      <c r="K1192" t="s">
        <v>23</v>
      </c>
      <c r="L1192" t="s">
        <v>768</v>
      </c>
      <c r="M1192" t="s">
        <v>68</v>
      </c>
      <c r="N1192" t="s">
        <v>69</v>
      </c>
      <c r="O1192" t="s">
        <v>27</v>
      </c>
      <c r="P1192" s="1">
        <v>44781</v>
      </c>
      <c r="Q1192">
        <f t="shared" si="90"/>
        <v>0</v>
      </c>
      <c r="R1192">
        <f t="shared" si="91"/>
        <v>1</v>
      </c>
      <c r="S1192">
        <f t="shared" si="92"/>
        <v>0</v>
      </c>
      <c r="T1192" s="11">
        <f t="shared" si="93"/>
        <v>2016</v>
      </c>
      <c r="U1192" s="11">
        <f t="shared" si="94"/>
        <v>29794</v>
      </c>
    </row>
    <row r="1193" spans="1:21" x14ac:dyDescent="0.3">
      <c r="A1193" t="s">
        <v>1834</v>
      </c>
      <c r="B1193">
        <v>2021</v>
      </c>
      <c r="C1193" t="s">
        <v>17</v>
      </c>
      <c r="D1193" t="s">
        <v>32</v>
      </c>
      <c r="E1193">
        <v>9306</v>
      </c>
      <c r="F1193" t="s">
        <v>19</v>
      </c>
      <c r="G1193">
        <v>81500</v>
      </c>
      <c r="H1193" t="s">
        <v>20</v>
      </c>
      <c r="I1193" t="s">
        <v>21</v>
      </c>
      <c r="J1193" t="s">
        <v>1281</v>
      </c>
      <c r="K1193" t="s">
        <v>23</v>
      </c>
      <c r="L1193" t="s">
        <v>129</v>
      </c>
      <c r="M1193" t="s">
        <v>113</v>
      </c>
      <c r="N1193" t="s">
        <v>114</v>
      </c>
      <c r="O1193" t="s">
        <v>27</v>
      </c>
      <c r="P1193" s="1">
        <v>44781</v>
      </c>
      <c r="Q1193">
        <f t="shared" si="90"/>
        <v>0</v>
      </c>
      <c r="R1193">
        <f t="shared" si="91"/>
        <v>0</v>
      </c>
      <c r="S1193">
        <f t="shared" si="92"/>
        <v>1</v>
      </c>
      <c r="T1193" s="11">
        <f t="shared" si="93"/>
        <v>2021</v>
      </c>
      <c r="U1193" s="11">
        <f t="shared" si="94"/>
        <v>9306</v>
      </c>
    </row>
    <row r="1194" spans="1:21" x14ac:dyDescent="0.3">
      <c r="A1194" t="s">
        <v>1835</v>
      </c>
      <c r="B1194">
        <v>2018</v>
      </c>
      <c r="C1194" t="s">
        <v>29</v>
      </c>
      <c r="D1194" t="s">
        <v>53</v>
      </c>
      <c r="E1194">
        <v>40403</v>
      </c>
      <c r="F1194" t="s">
        <v>104</v>
      </c>
      <c r="G1194">
        <v>84600</v>
      </c>
      <c r="H1194" t="s">
        <v>105</v>
      </c>
      <c r="I1194" t="s">
        <v>21</v>
      </c>
      <c r="J1194" t="s">
        <v>1836</v>
      </c>
      <c r="K1194" t="s">
        <v>23</v>
      </c>
      <c r="L1194" t="s">
        <v>47</v>
      </c>
      <c r="M1194" t="s">
        <v>48</v>
      </c>
      <c r="N1194" t="s">
        <v>49</v>
      </c>
      <c r="O1194" t="s">
        <v>27</v>
      </c>
      <c r="P1194" s="1">
        <v>44781</v>
      </c>
      <c r="Q1194">
        <f t="shared" si="90"/>
        <v>0</v>
      </c>
      <c r="R1194">
        <f t="shared" si="91"/>
        <v>1</v>
      </c>
      <c r="S1194">
        <f t="shared" si="92"/>
        <v>0</v>
      </c>
      <c r="T1194" s="11">
        <f t="shared" si="93"/>
        <v>2018</v>
      </c>
      <c r="U1194" s="11">
        <f t="shared" si="94"/>
        <v>40403</v>
      </c>
    </row>
    <row r="1195" spans="1:21" x14ac:dyDescent="0.3">
      <c r="A1195" t="s">
        <v>1837</v>
      </c>
      <c r="B1195">
        <v>2021</v>
      </c>
      <c r="C1195" t="s">
        <v>17</v>
      </c>
      <c r="D1195" t="s">
        <v>18</v>
      </c>
      <c r="E1195">
        <v>32115</v>
      </c>
      <c r="F1195" t="s">
        <v>207</v>
      </c>
      <c r="G1195">
        <v>75900</v>
      </c>
      <c r="H1195" t="s">
        <v>77</v>
      </c>
      <c r="I1195" t="s">
        <v>21</v>
      </c>
      <c r="J1195" t="s">
        <v>1838</v>
      </c>
      <c r="K1195" t="s">
        <v>23</v>
      </c>
      <c r="L1195" t="s">
        <v>84</v>
      </c>
      <c r="M1195" t="s">
        <v>48</v>
      </c>
      <c r="N1195" t="s">
        <v>69</v>
      </c>
      <c r="O1195" t="s">
        <v>27</v>
      </c>
      <c r="P1195" s="1">
        <v>44781</v>
      </c>
      <c r="Q1195">
        <f t="shared" si="90"/>
        <v>0</v>
      </c>
      <c r="R1195">
        <f t="shared" si="91"/>
        <v>0</v>
      </c>
      <c r="S1195">
        <f t="shared" si="92"/>
        <v>1</v>
      </c>
      <c r="T1195" s="11">
        <f t="shared" si="93"/>
        <v>2021</v>
      </c>
      <c r="U1195" s="11">
        <f t="shared" si="94"/>
        <v>32115</v>
      </c>
    </row>
    <row r="1196" spans="1:21" x14ac:dyDescent="0.3">
      <c r="A1196" t="s">
        <v>1839</v>
      </c>
      <c r="B1196">
        <v>2019</v>
      </c>
      <c r="C1196" t="s">
        <v>29</v>
      </c>
      <c r="D1196" t="s">
        <v>32</v>
      </c>
      <c r="E1196">
        <v>12082</v>
      </c>
      <c r="F1196" t="s">
        <v>177</v>
      </c>
      <c r="G1196">
        <v>109600</v>
      </c>
      <c r="H1196" t="s">
        <v>53</v>
      </c>
      <c r="I1196" t="s">
        <v>110</v>
      </c>
      <c r="J1196" t="s">
        <v>1840</v>
      </c>
      <c r="K1196" t="s">
        <v>23</v>
      </c>
      <c r="L1196" t="s">
        <v>34</v>
      </c>
      <c r="N1196" t="s">
        <v>35</v>
      </c>
      <c r="O1196" t="s">
        <v>27</v>
      </c>
      <c r="P1196" s="1">
        <v>44781</v>
      </c>
      <c r="Q1196">
        <f t="shared" si="90"/>
        <v>0</v>
      </c>
      <c r="R1196">
        <f t="shared" si="91"/>
        <v>1</v>
      </c>
      <c r="S1196">
        <f t="shared" si="92"/>
        <v>0</v>
      </c>
      <c r="T1196" s="11">
        <f t="shared" si="93"/>
        <v>2019</v>
      </c>
      <c r="U1196" s="11">
        <f t="shared" si="94"/>
        <v>12082</v>
      </c>
    </row>
    <row r="1197" spans="1:21" x14ac:dyDescent="0.3">
      <c r="A1197" t="s">
        <v>1841</v>
      </c>
      <c r="B1197">
        <v>2020</v>
      </c>
      <c r="C1197" t="s">
        <v>56</v>
      </c>
      <c r="D1197" t="s">
        <v>32</v>
      </c>
      <c r="E1197">
        <v>17600</v>
      </c>
      <c r="F1197" t="s">
        <v>57</v>
      </c>
      <c r="G1197">
        <v>62600</v>
      </c>
      <c r="H1197" t="s">
        <v>20</v>
      </c>
      <c r="I1197" t="s">
        <v>78</v>
      </c>
      <c r="J1197" t="s">
        <v>275</v>
      </c>
      <c r="K1197" t="s">
        <v>23</v>
      </c>
      <c r="L1197" t="s">
        <v>34</v>
      </c>
      <c r="N1197" t="s">
        <v>35</v>
      </c>
      <c r="O1197" t="s">
        <v>27</v>
      </c>
      <c r="P1197" s="1">
        <v>44781</v>
      </c>
      <c r="Q1197">
        <f t="shared" si="90"/>
        <v>0</v>
      </c>
      <c r="R1197">
        <f t="shared" si="91"/>
        <v>0</v>
      </c>
      <c r="S1197">
        <f t="shared" si="92"/>
        <v>0</v>
      </c>
      <c r="T1197" s="11">
        <f t="shared" si="93"/>
        <v>2020</v>
      </c>
      <c r="U1197" s="11">
        <f t="shared" si="94"/>
        <v>17600</v>
      </c>
    </row>
    <row r="1198" spans="1:21" x14ac:dyDescent="0.3">
      <c r="A1198" t="s">
        <v>1842</v>
      </c>
      <c r="B1198">
        <v>2022</v>
      </c>
      <c r="C1198" t="s">
        <v>17</v>
      </c>
      <c r="D1198" t="s">
        <v>32</v>
      </c>
      <c r="E1198">
        <v>61</v>
      </c>
      <c r="F1198" t="s">
        <v>19</v>
      </c>
      <c r="G1198">
        <v>78400</v>
      </c>
      <c r="H1198" t="s">
        <v>20</v>
      </c>
      <c r="I1198" t="s">
        <v>78</v>
      </c>
      <c r="J1198" t="s">
        <v>200</v>
      </c>
      <c r="K1198" t="s">
        <v>23</v>
      </c>
      <c r="L1198" t="s">
        <v>84</v>
      </c>
      <c r="M1198" t="s">
        <v>48</v>
      </c>
      <c r="N1198" t="s">
        <v>69</v>
      </c>
      <c r="O1198" t="s">
        <v>27</v>
      </c>
      <c r="P1198" s="1">
        <v>44781</v>
      </c>
      <c r="Q1198">
        <f t="shared" si="90"/>
        <v>0</v>
      </c>
      <c r="R1198">
        <f t="shared" si="91"/>
        <v>0</v>
      </c>
      <c r="S1198">
        <f t="shared" si="92"/>
        <v>1</v>
      </c>
      <c r="T1198" s="11">
        <f t="shared" si="93"/>
        <v>2022</v>
      </c>
      <c r="U1198" s="11">
        <f t="shared" si="94"/>
        <v>61</v>
      </c>
    </row>
    <row r="1199" spans="1:21" x14ac:dyDescent="0.3">
      <c r="A1199" t="s">
        <v>1843</v>
      </c>
      <c r="B1199">
        <v>2020</v>
      </c>
      <c r="C1199" t="s">
        <v>56</v>
      </c>
      <c r="D1199" t="s">
        <v>93</v>
      </c>
      <c r="E1199">
        <v>10633</v>
      </c>
      <c r="F1199" t="s">
        <v>71</v>
      </c>
      <c r="G1199">
        <v>67600</v>
      </c>
      <c r="H1199" t="s">
        <v>20</v>
      </c>
      <c r="I1199" t="s">
        <v>21</v>
      </c>
      <c r="J1199" t="s">
        <v>668</v>
      </c>
      <c r="K1199" t="s">
        <v>23</v>
      </c>
      <c r="L1199" t="s">
        <v>34</v>
      </c>
      <c r="N1199" t="s">
        <v>35</v>
      </c>
      <c r="O1199" t="s">
        <v>27</v>
      </c>
      <c r="P1199" s="1">
        <v>44781</v>
      </c>
      <c r="Q1199">
        <f t="shared" si="90"/>
        <v>0</v>
      </c>
      <c r="R1199">
        <f t="shared" si="91"/>
        <v>0</v>
      </c>
      <c r="S1199">
        <f t="shared" si="92"/>
        <v>0</v>
      </c>
      <c r="T1199" s="11">
        <f t="shared" si="93"/>
        <v>2020</v>
      </c>
      <c r="U1199" s="11">
        <f t="shared" si="94"/>
        <v>10633</v>
      </c>
    </row>
    <row r="1200" spans="1:21" x14ac:dyDescent="0.3">
      <c r="A1200" t="s">
        <v>1844</v>
      </c>
      <c r="B1200">
        <v>2018</v>
      </c>
      <c r="C1200" t="s">
        <v>37</v>
      </c>
      <c r="D1200" t="s">
        <v>53</v>
      </c>
      <c r="E1200">
        <v>54348</v>
      </c>
      <c r="F1200" t="s">
        <v>270</v>
      </c>
      <c r="G1200">
        <v>85800</v>
      </c>
      <c r="H1200" t="s">
        <v>53</v>
      </c>
      <c r="I1200" t="s">
        <v>39</v>
      </c>
      <c r="J1200" t="s">
        <v>1845</v>
      </c>
      <c r="K1200" t="s">
        <v>23</v>
      </c>
      <c r="L1200" t="s">
        <v>712</v>
      </c>
      <c r="M1200" t="s">
        <v>25</v>
      </c>
      <c r="N1200" t="s">
        <v>26</v>
      </c>
      <c r="O1200" t="s">
        <v>27</v>
      </c>
      <c r="P1200" s="1">
        <v>44781</v>
      </c>
      <c r="Q1200">
        <f t="shared" si="90"/>
        <v>1</v>
      </c>
      <c r="R1200">
        <f t="shared" si="91"/>
        <v>0</v>
      </c>
      <c r="S1200">
        <f t="shared" si="92"/>
        <v>0</v>
      </c>
      <c r="T1200" s="11">
        <f t="shared" si="93"/>
        <v>2018</v>
      </c>
      <c r="U1200" s="11">
        <f t="shared" si="94"/>
        <v>54348</v>
      </c>
    </row>
    <row r="1201" spans="1:21" x14ac:dyDescent="0.3">
      <c r="A1201" t="s">
        <v>1846</v>
      </c>
      <c r="B1201">
        <v>2021</v>
      </c>
      <c r="C1201" t="s">
        <v>37</v>
      </c>
      <c r="D1201" t="s">
        <v>51</v>
      </c>
      <c r="E1201">
        <v>8121</v>
      </c>
      <c r="F1201" t="s">
        <v>131</v>
      </c>
      <c r="G1201">
        <v>126300</v>
      </c>
      <c r="H1201" t="s">
        <v>53</v>
      </c>
      <c r="I1201" t="s">
        <v>39</v>
      </c>
      <c r="J1201" t="s">
        <v>319</v>
      </c>
      <c r="K1201" t="s">
        <v>23</v>
      </c>
      <c r="L1201" t="s">
        <v>24</v>
      </c>
      <c r="M1201" t="s">
        <v>25</v>
      </c>
      <c r="N1201" t="s">
        <v>26</v>
      </c>
      <c r="O1201" t="s">
        <v>27</v>
      </c>
      <c r="P1201" s="1">
        <v>44781</v>
      </c>
      <c r="Q1201">
        <f t="shared" si="90"/>
        <v>1</v>
      </c>
      <c r="R1201">
        <f t="shared" si="91"/>
        <v>0</v>
      </c>
      <c r="S1201">
        <f t="shared" si="92"/>
        <v>0</v>
      </c>
      <c r="T1201" s="11">
        <f t="shared" si="93"/>
        <v>2021</v>
      </c>
      <c r="U1201" s="11">
        <f t="shared" si="94"/>
        <v>8121</v>
      </c>
    </row>
    <row r="1202" spans="1:21" x14ac:dyDescent="0.3">
      <c r="A1202" t="s">
        <v>1847</v>
      </c>
      <c r="B1202">
        <v>2017</v>
      </c>
      <c r="C1202" t="s">
        <v>29</v>
      </c>
      <c r="D1202" t="s">
        <v>32</v>
      </c>
      <c r="E1202">
        <v>39667</v>
      </c>
      <c r="F1202" t="s">
        <v>52</v>
      </c>
      <c r="G1202">
        <v>84400</v>
      </c>
      <c r="H1202" t="s">
        <v>45</v>
      </c>
      <c r="I1202" t="s">
        <v>21</v>
      </c>
      <c r="J1202" t="s">
        <v>1848</v>
      </c>
      <c r="K1202" t="s">
        <v>23</v>
      </c>
      <c r="L1202" t="s">
        <v>183</v>
      </c>
      <c r="M1202" t="s">
        <v>25</v>
      </c>
      <c r="N1202" t="s">
        <v>26</v>
      </c>
      <c r="O1202" t="s">
        <v>27</v>
      </c>
      <c r="P1202" s="1">
        <v>44781</v>
      </c>
      <c r="Q1202">
        <f t="shared" si="90"/>
        <v>0</v>
      </c>
      <c r="R1202">
        <f t="shared" si="91"/>
        <v>1</v>
      </c>
      <c r="S1202">
        <f t="shared" si="92"/>
        <v>0</v>
      </c>
      <c r="T1202" s="11">
        <f t="shared" si="93"/>
        <v>2017</v>
      </c>
      <c r="U1202" s="11">
        <f t="shared" si="94"/>
        <v>39667</v>
      </c>
    </row>
    <row r="1203" spans="1:21" x14ac:dyDescent="0.3">
      <c r="A1203" t="s">
        <v>1849</v>
      </c>
      <c r="B1203">
        <v>2018</v>
      </c>
      <c r="C1203" t="s">
        <v>29</v>
      </c>
      <c r="D1203" t="s">
        <v>53</v>
      </c>
      <c r="E1203">
        <v>52214</v>
      </c>
      <c r="F1203" t="s">
        <v>52</v>
      </c>
      <c r="G1203">
        <v>92100</v>
      </c>
      <c r="H1203" t="s">
        <v>32</v>
      </c>
      <c r="I1203" t="s">
        <v>21</v>
      </c>
      <c r="J1203" t="s">
        <v>1850</v>
      </c>
      <c r="K1203" t="s">
        <v>23</v>
      </c>
      <c r="L1203" t="s">
        <v>197</v>
      </c>
      <c r="M1203" t="s">
        <v>198</v>
      </c>
      <c r="N1203" t="s">
        <v>26</v>
      </c>
      <c r="O1203" t="s">
        <v>27</v>
      </c>
      <c r="P1203" s="1">
        <v>44781</v>
      </c>
      <c r="Q1203">
        <f t="shared" si="90"/>
        <v>0</v>
      </c>
      <c r="R1203">
        <f t="shared" si="91"/>
        <v>1</v>
      </c>
      <c r="S1203">
        <f t="shared" si="92"/>
        <v>0</v>
      </c>
      <c r="T1203" s="11">
        <f t="shared" si="93"/>
        <v>2018</v>
      </c>
      <c r="U1203" s="11">
        <f t="shared" si="94"/>
        <v>52214</v>
      </c>
    </row>
    <row r="1204" spans="1:21" x14ac:dyDescent="0.3">
      <c r="A1204" t="s">
        <v>1851</v>
      </c>
      <c r="B1204">
        <v>2019</v>
      </c>
      <c r="C1204" t="s">
        <v>29</v>
      </c>
      <c r="D1204" t="s">
        <v>32</v>
      </c>
      <c r="E1204">
        <v>22286</v>
      </c>
      <c r="F1204" t="s">
        <v>1852</v>
      </c>
      <c r="G1204">
        <v>93600</v>
      </c>
      <c r="H1204" t="s">
        <v>53</v>
      </c>
      <c r="I1204" t="s">
        <v>110</v>
      </c>
      <c r="J1204" t="s">
        <v>1853</v>
      </c>
      <c r="K1204" t="s">
        <v>23</v>
      </c>
      <c r="L1204" t="s">
        <v>163</v>
      </c>
      <c r="M1204" t="s">
        <v>164</v>
      </c>
      <c r="N1204" t="s">
        <v>26</v>
      </c>
      <c r="O1204" t="s">
        <v>27</v>
      </c>
      <c r="P1204" s="1">
        <v>44781</v>
      </c>
      <c r="Q1204">
        <f t="shared" si="90"/>
        <v>0</v>
      </c>
      <c r="R1204">
        <f t="shared" si="91"/>
        <v>1</v>
      </c>
      <c r="S1204">
        <f t="shared" si="92"/>
        <v>0</v>
      </c>
      <c r="T1204" s="11">
        <f t="shared" si="93"/>
        <v>2019</v>
      </c>
      <c r="U1204" s="11">
        <f t="shared" si="94"/>
        <v>22286</v>
      </c>
    </row>
    <row r="1205" spans="1:21" x14ac:dyDescent="0.3">
      <c r="A1205" t="s">
        <v>1854</v>
      </c>
      <c r="B1205">
        <v>2018</v>
      </c>
      <c r="C1205" t="s">
        <v>56</v>
      </c>
      <c r="D1205" t="s">
        <v>53</v>
      </c>
      <c r="E1205">
        <v>38283</v>
      </c>
      <c r="F1205" t="s">
        <v>234</v>
      </c>
      <c r="G1205">
        <v>48100</v>
      </c>
      <c r="H1205" t="s">
        <v>20</v>
      </c>
      <c r="I1205" t="s">
        <v>58</v>
      </c>
      <c r="J1205" t="s">
        <v>579</v>
      </c>
      <c r="K1205" t="s">
        <v>23</v>
      </c>
      <c r="L1205" t="s">
        <v>876</v>
      </c>
      <c r="M1205" t="s">
        <v>220</v>
      </c>
      <c r="N1205" t="s">
        <v>221</v>
      </c>
      <c r="O1205" t="s">
        <v>27</v>
      </c>
      <c r="P1205" s="1">
        <v>44780</v>
      </c>
      <c r="Q1205">
        <f t="shared" si="90"/>
        <v>0</v>
      </c>
      <c r="R1205">
        <f t="shared" si="91"/>
        <v>0</v>
      </c>
      <c r="S1205">
        <f t="shared" si="92"/>
        <v>0</v>
      </c>
      <c r="T1205" s="11">
        <f t="shared" si="93"/>
        <v>2018</v>
      </c>
      <c r="U1205" s="11">
        <f t="shared" si="94"/>
        <v>38283</v>
      </c>
    </row>
    <row r="1206" spans="1:21" x14ac:dyDescent="0.3">
      <c r="A1206" t="s">
        <v>1855</v>
      </c>
      <c r="B1206">
        <v>2019</v>
      </c>
      <c r="C1206" t="s">
        <v>56</v>
      </c>
      <c r="D1206" t="s">
        <v>30</v>
      </c>
      <c r="E1206">
        <v>36069</v>
      </c>
      <c r="F1206" t="s">
        <v>57</v>
      </c>
      <c r="G1206">
        <v>51900</v>
      </c>
      <c r="H1206" t="s">
        <v>20</v>
      </c>
      <c r="I1206" t="s">
        <v>78</v>
      </c>
      <c r="J1206" t="s">
        <v>124</v>
      </c>
      <c r="K1206" t="s">
        <v>23</v>
      </c>
      <c r="L1206" t="s">
        <v>806</v>
      </c>
      <c r="N1206" t="s">
        <v>149</v>
      </c>
      <c r="O1206" t="s">
        <v>27</v>
      </c>
      <c r="P1206" s="1">
        <v>44780</v>
      </c>
      <c r="Q1206">
        <f t="shared" si="90"/>
        <v>0</v>
      </c>
      <c r="R1206">
        <f t="shared" si="91"/>
        <v>0</v>
      </c>
      <c r="S1206">
        <f t="shared" si="92"/>
        <v>0</v>
      </c>
      <c r="T1206" s="11">
        <f t="shared" si="93"/>
        <v>2019</v>
      </c>
      <c r="U1206" s="11">
        <f t="shared" si="94"/>
        <v>36069</v>
      </c>
    </row>
    <row r="1207" spans="1:21" x14ac:dyDescent="0.3">
      <c r="A1207" t="s">
        <v>1856</v>
      </c>
      <c r="B1207">
        <v>2019</v>
      </c>
      <c r="C1207" t="s">
        <v>56</v>
      </c>
      <c r="D1207" t="s">
        <v>30</v>
      </c>
      <c r="E1207">
        <v>13723</v>
      </c>
      <c r="F1207" t="s">
        <v>57</v>
      </c>
      <c r="G1207">
        <v>53700</v>
      </c>
      <c r="H1207" t="s">
        <v>77</v>
      </c>
      <c r="I1207" t="s">
        <v>78</v>
      </c>
      <c r="J1207" t="s">
        <v>1702</v>
      </c>
      <c r="K1207" t="s">
        <v>23</v>
      </c>
      <c r="L1207" t="s">
        <v>447</v>
      </c>
      <c r="N1207" t="s">
        <v>203</v>
      </c>
      <c r="O1207" t="s">
        <v>27</v>
      </c>
      <c r="P1207" s="1">
        <v>44780</v>
      </c>
      <c r="Q1207">
        <f t="shared" si="90"/>
        <v>0</v>
      </c>
      <c r="R1207">
        <f t="shared" si="91"/>
        <v>0</v>
      </c>
      <c r="S1207">
        <f t="shared" si="92"/>
        <v>0</v>
      </c>
      <c r="T1207" s="11">
        <f t="shared" si="93"/>
        <v>2019</v>
      </c>
      <c r="U1207" s="11">
        <f t="shared" si="94"/>
        <v>13723</v>
      </c>
    </row>
    <row r="1208" spans="1:21" x14ac:dyDescent="0.3">
      <c r="A1208" t="s">
        <v>1857</v>
      </c>
      <c r="B1208">
        <v>2018</v>
      </c>
      <c r="C1208" t="s">
        <v>56</v>
      </c>
      <c r="D1208" t="s">
        <v>76</v>
      </c>
      <c r="E1208">
        <v>22102</v>
      </c>
      <c r="F1208" t="s">
        <v>57</v>
      </c>
      <c r="G1208">
        <v>50100</v>
      </c>
      <c r="H1208" t="s">
        <v>77</v>
      </c>
      <c r="I1208" t="s">
        <v>58</v>
      </c>
      <c r="J1208" t="s">
        <v>1198</v>
      </c>
      <c r="K1208" t="s">
        <v>23</v>
      </c>
      <c r="L1208" t="s">
        <v>494</v>
      </c>
      <c r="M1208" t="s">
        <v>113</v>
      </c>
      <c r="N1208" t="s">
        <v>114</v>
      </c>
      <c r="O1208" t="s">
        <v>27</v>
      </c>
      <c r="P1208" s="1">
        <v>44780</v>
      </c>
      <c r="Q1208">
        <f t="shared" si="90"/>
        <v>0</v>
      </c>
      <c r="R1208">
        <f t="shared" si="91"/>
        <v>0</v>
      </c>
      <c r="S1208">
        <f t="shared" si="92"/>
        <v>0</v>
      </c>
      <c r="T1208" s="11">
        <f t="shared" si="93"/>
        <v>2018</v>
      </c>
      <c r="U1208" s="11">
        <f t="shared" si="94"/>
        <v>22102</v>
      </c>
    </row>
    <row r="1209" spans="1:21" x14ac:dyDescent="0.3">
      <c r="A1209" t="s">
        <v>1858</v>
      </c>
      <c r="B1209">
        <v>2020</v>
      </c>
      <c r="C1209" t="s">
        <v>29</v>
      </c>
      <c r="D1209" t="s">
        <v>51</v>
      </c>
      <c r="E1209">
        <v>27757</v>
      </c>
      <c r="F1209" t="s">
        <v>44</v>
      </c>
      <c r="G1209">
        <v>111000</v>
      </c>
      <c r="H1209" t="s">
        <v>53</v>
      </c>
      <c r="I1209" t="s">
        <v>110</v>
      </c>
      <c r="J1209" t="s">
        <v>356</v>
      </c>
      <c r="K1209" t="s">
        <v>23</v>
      </c>
      <c r="L1209" t="s">
        <v>201</v>
      </c>
      <c r="M1209" t="s">
        <v>202</v>
      </c>
      <c r="N1209" t="s">
        <v>203</v>
      </c>
      <c r="O1209" t="s">
        <v>27</v>
      </c>
      <c r="P1209" s="1">
        <v>44780</v>
      </c>
      <c r="Q1209">
        <f t="shared" si="90"/>
        <v>0</v>
      </c>
      <c r="R1209">
        <f t="shared" si="91"/>
        <v>1</v>
      </c>
      <c r="S1209">
        <f t="shared" si="92"/>
        <v>0</v>
      </c>
      <c r="T1209" s="11">
        <f t="shared" si="93"/>
        <v>2020</v>
      </c>
      <c r="U1209" s="11">
        <f t="shared" si="94"/>
        <v>27757</v>
      </c>
    </row>
    <row r="1210" spans="1:21" x14ac:dyDescent="0.3">
      <c r="A1210" t="s">
        <v>1859</v>
      </c>
      <c r="B1210">
        <v>2019</v>
      </c>
      <c r="C1210" t="s">
        <v>56</v>
      </c>
      <c r="D1210" t="s">
        <v>32</v>
      </c>
      <c r="E1210">
        <v>26333</v>
      </c>
      <c r="F1210" t="s">
        <v>57</v>
      </c>
      <c r="G1210">
        <v>51600</v>
      </c>
      <c r="H1210" t="s">
        <v>20</v>
      </c>
      <c r="I1210" t="s">
        <v>58</v>
      </c>
      <c r="J1210" t="s">
        <v>168</v>
      </c>
      <c r="K1210" t="s">
        <v>23</v>
      </c>
      <c r="L1210" t="s">
        <v>494</v>
      </c>
      <c r="M1210" t="s">
        <v>113</v>
      </c>
      <c r="N1210" t="s">
        <v>114</v>
      </c>
      <c r="O1210" t="s">
        <v>27</v>
      </c>
      <c r="P1210" s="1">
        <v>44780</v>
      </c>
      <c r="Q1210">
        <f t="shared" si="90"/>
        <v>0</v>
      </c>
      <c r="R1210">
        <f t="shared" si="91"/>
        <v>0</v>
      </c>
      <c r="S1210">
        <f t="shared" si="92"/>
        <v>0</v>
      </c>
      <c r="T1210" s="11">
        <f t="shared" si="93"/>
        <v>2019</v>
      </c>
      <c r="U1210" s="11">
        <f t="shared" si="94"/>
        <v>26333</v>
      </c>
    </row>
    <row r="1211" spans="1:21" x14ac:dyDescent="0.3">
      <c r="A1211" t="s">
        <v>1860</v>
      </c>
      <c r="B1211">
        <v>2018</v>
      </c>
      <c r="C1211" t="s">
        <v>56</v>
      </c>
      <c r="D1211" t="s">
        <v>53</v>
      </c>
      <c r="E1211">
        <v>23205</v>
      </c>
      <c r="F1211" t="s">
        <v>57</v>
      </c>
      <c r="G1211">
        <v>49800</v>
      </c>
      <c r="H1211" t="s">
        <v>20</v>
      </c>
      <c r="I1211" t="s">
        <v>78</v>
      </c>
      <c r="J1211" t="s">
        <v>564</v>
      </c>
      <c r="K1211" t="s">
        <v>23</v>
      </c>
      <c r="L1211" t="s">
        <v>183</v>
      </c>
      <c r="M1211" t="s">
        <v>25</v>
      </c>
      <c r="N1211" t="s">
        <v>26</v>
      </c>
      <c r="O1211" t="s">
        <v>27</v>
      </c>
      <c r="P1211" s="1">
        <v>44780</v>
      </c>
      <c r="Q1211">
        <f t="shared" si="90"/>
        <v>0</v>
      </c>
      <c r="R1211">
        <f t="shared" si="91"/>
        <v>0</v>
      </c>
      <c r="S1211">
        <f t="shared" si="92"/>
        <v>0</v>
      </c>
      <c r="T1211" s="11">
        <f t="shared" si="93"/>
        <v>2018</v>
      </c>
      <c r="U1211" s="11">
        <f t="shared" si="94"/>
        <v>23205</v>
      </c>
    </row>
    <row r="1212" spans="1:21" x14ac:dyDescent="0.3">
      <c r="A1212" t="s">
        <v>1861</v>
      </c>
      <c r="B1212">
        <v>2018</v>
      </c>
      <c r="C1212" t="s">
        <v>56</v>
      </c>
      <c r="D1212" t="s">
        <v>30</v>
      </c>
      <c r="E1212">
        <v>22869</v>
      </c>
      <c r="F1212" t="s">
        <v>57</v>
      </c>
      <c r="G1212">
        <v>50000</v>
      </c>
      <c r="H1212" t="s">
        <v>20</v>
      </c>
      <c r="I1212" t="s">
        <v>58</v>
      </c>
      <c r="J1212" t="s">
        <v>413</v>
      </c>
      <c r="K1212" t="s">
        <v>23</v>
      </c>
      <c r="L1212" t="s">
        <v>95</v>
      </c>
      <c r="M1212" t="s">
        <v>96</v>
      </c>
      <c r="N1212" t="s">
        <v>89</v>
      </c>
      <c r="O1212" t="s">
        <v>27</v>
      </c>
      <c r="P1212" s="1">
        <v>44780</v>
      </c>
      <c r="Q1212">
        <f t="shared" si="90"/>
        <v>0</v>
      </c>
      <c r="R1212">
        <f t="shared" si="91"/>
        <v>0</v>
      </c>
      <c r="S1212">
        <f t="shared" si="92"/>
        <v>0</v>
      </c>
      <c r="T1212" s="11">
        <f t="shared" si="93"/>
        <v>2018</v>
      </c>
      <c r="U1212" s="11">
        <f t="shared" si="94"/>
        <v>22869</v>
      </c>
    </row>
    <row r="1213" spans="1:21" x14ac:dyDescent="0.3">
      <c r="A1213" t="s">
        <v>1862</v>
      </c>
      <c r="B1213">
        <v>2019</v>
      </c>
      <c r="C1213" t="s">
        <v>56</v>
      </c>
      <c r="D1213" t="s">
        <v>76</v>
      </c>
      <c r="E1213">
        <v>32090</v>
      </c>
      <c r="F1213" t="s">
        <v>57</v>
      </c>
      <c r="G1213">
        <v>50600</v>
      </c>
      <c r="H1213" t="s">
        <v>20</v>
      </c>
      <c r="I1213" t="s">
        <v>58</v>
      </c>
      <c r="J1213" t="s">
        <v>979</v>
      </c>
      <c r="K1213" t="s">
        <v>23</v>
      </c>
      <c r="L1213" t="s">
        <v>183</v>
      </c>
      <c r="M1213" t="s">
        <v>25</v>
      </c>
      <c r="N1213" t="s">
        <v>26</v>
      </c>
      <c r="O1213" t="s">
        <v>27</v>
      </c>
      <c r="P1213" s="1">
        <v>44780</v>
      </c>
      <c r="Q1213">
        <f t="shared" si="90"/>
        <v>0</v>
      </c>
      <c r="R1213">
        <f t="shared" si="91"/>
        <v>0</v>
      </c>
      <c r="S1213">
        <f t="shared" si="92"/>
        <v>0</v>
      </c>
      <c r="T1213" s="11">
        <f t="shared" si="93"/>
        <v>2019</v>
      </c>
      <c r="U1213" s="11">
        <f t="shared" si="94"/>
        <v>32090</v>
      </c>
    </row>
    <row r="1214" spans="1:21" x14ac:dyDescent="0.3">
      <c r="A1214" t="s">
        <v>1863</v>
      </c>
      <c r="B1214">
        <v>2019</v>
      </c>
      <c r="C1214" t="s">
        <v>56</v>
      </c>
      <c r="D1214" t="s">
        <v>76</v>
      </c>
      <c r="E1214">
        <v>31397</v>
      </c>
      <c r="F1214" t="s">
        <v>57</v>
      </c>
      <c r="G1214">
        <v>52900</v>
      </c>
      <c r="H1214" t="s">
        <v>20</v>
      </c>
      <c r="I1214" t="s">
        <v>78</v>
      </c>
      <c r="J1214" t="s">
        <v>347</v>
      </c>
      <c r="K1214" t="s">
        <v>23</v>
      </c>
      <c r="L1214" t="s">
        <v>95</v>
      </c>
      <c r="M1214" t="s">
        <v>96</v>
      </c>
      <c r="N1214" t="s">
        <v>89</v>
      </c>
      <c r="O1214" t="s">
        <v>27</v>
      </c>
      <c r="P1214" s="1">
        <v>44780</v>
      </c>
      <c r="Q1214">
        <f t="shared" si="90"/>
        <v>0</v>
      </c>
      <c r="R1214">
        <f t="shared" si="91"/>
        <v>0</v>
      </c>
      <c r="S1214">
        <f t="shared" si="92"/>
        <v>0</v>
      </c>
      <c r="T1214" s="11">
        <f t="shared" si="93"/>
        <v>2019</v>
      </c>
      <c r="U1214" s="11">
        <f t="shared" si="94"/>
        <v>31397</v>
      </c>
    </row>
    <row r="1215" spans="1:21" x14ac:dyDescent="0.3">
      <c r="A1215" t="s">
        <v>1864</v>
      </c>
      <c r="B1215">
        <v>2019</v>
      </c>
      <c r="C1215" t="s">
        <v>56</v>
      </c>
      <c r="D1215" t="s">
        <v>32</v>
      </c>
      <c r="E1215">
        <v>33048</v>
      </c>
      <c r="F1215" t="s">
        <v>57</v>
      </c>
      <c r="G1215">
        <v>52800</v>
      </c>
      <c r="H1215" t="s">
        <v>20</v>
      </c>
      <c r="I1215" t="s">
        <v>78</v>
      </c>
      <c r="J1215" t="s">
        <v>275</v>
      </c>
      <c r="K1215" t="s">
        <v>23</v>
      </c>
      <c r="L1215" t="s">
        <v>230</v>
      </c>
      <c r="M1215" t="s">
        <v>25</v>
      </c>
      <c r="N1215" t="s">
        <v>26</v>
      </c>
      <c r="O1215" t="s">
        <v>27</v>
      </c>
      <c r="P1215" s="1">
        <v>44780</v>
      </c>
      <c r="Q1215">
        <f t="shared" si="90"/>
        <v>0</v>
      </c>
      <c r="R1215">
        <f t="shared" si="91"/>
        <v>0</v>
      </c>
      <c r="S1215">
        <f t="shared" si="92"/>
        <v>0</v>
      </c>
      <c r="T1215" s="11">
        <f t="shared" si="93"/>
        <v>2019</v>
      </c>
      <c r="U1215" s="11">
        <f t="shared" si="94"/>
        <v>33048</v>
      </c>
    </row>
    <row r="1216" spans="1:21" x14ac:dyDescent="0.3">
      <c r="A1216" t="s">
        <v>1865</v>
      </c>
      <c r="B1216">
        <v>2019</v>
      </c>
      <c r="C1216" t="s">
        <v>56</v>
      </c>
      <c r="D1216" t="s">
        <v>93</v>
      </c>
      <c r="E1216">
        <v>29816</v>
      </c>
      <c r="F1216" t="s">
        <v>57</v>
      </c>
      <c r="G1216">
        <v>53100</v>
      </c>
      <c r="H1216" t="s">
        <v>20</v>
      </c>
      <c r="I1216" t="s">
        <v>58</v>
      </c>
      <c r="J1216" t="s">
        <v>842</v>
      </c>
      <c r="K1216" t="s">
        <v>23</v>
      </c>
      <c r="L1216" t="s">
        <v>95</v>
      </c>
      <c r="M1216" t="s">
        <v>96</v>
      </c>
      <c r="N1216" t="s">
        <v>89</v>
      </c>
      <c r="O1216" t="s">
        <v>27</v>
      </c>
      <c r="P1216" s="1">
        <v>44780</v>
      </c>
      <c r="Q1216">
        <f t="shared" si="90"/>
        <v>0</v>
      </c>
      <c r="R1216">
        <f t="shared" si="91"/>
        <v>0</v>
      </c>
      <c r="S1216">
        <f t="shared" si="92"/>
        <v>0</v>
      </c>
      <c r="T1216" s="11">
        <f t="shared" si="93"/>
        <v>2019</v>
      </c>
      <c r="U1216" s="11">
        <f t="shared" si="94"/>
        <v>29816</v>
      </c>
    </row>
    <row r="1217" spans="1:21" x14ac:dyDescent="0.3">
      <c r="A1217" t="s">
        <v>1866</v>
      </c>
      <c r="B1217">
        <v>2019</v>
      </c>
      <c r="C1217" t="s">
        <v>56</v>
      </c>
      <c r="D1217" t="s">
        <v>76</v>
      </c>
      <c r="E1217">
        <v>22233</v>
      </c>
      <c r="F1217" t="s">
        <v>57</v>
      </c>
      <c r="G1217">
        <v>53800</v>
      </c>
      <c r="H1217" t="s">
        <v>77</v>
      </c>
      <c r="I1217" t="s">
        <v>78</v>
      </c>
      <c r="J1217" t="s">
        <v>1688</v>
      </c>
      <c r="K1217" t="s">
        <v>23</v>
      </c>
      <c r="L1217" t="s">
        <v>24</v>
      </c>
      <c r="M1217" t="s">
        <v>25</v>
      </c>
      <c r="N1217" t="s">
        <v>26</v>
      </c>
      <c r="O1217" t="s">
        <v>27</v>
      </c>
      <c r="P1217" s="1">
        <v>44780</v>
      </c>
      <c r="Q1217">
        <f t="shared" si="90"/>
        <v>0</v>
      </c>
      <c r="R1217">
        <f t="shared" si="91"/>
        <v>0</v>
      </c>
      <c r="S1217">
        <f t="shared" si="92"/>
        <v>0</v>
      </c>
      <c r="T1217" s="11">
        <f t="shared" si="93"/>
        <v>2019</v>
      </c>
      <c r="U1217" s="11">
        <f t="shared" si="94"/>
        <v>22233</v>
      </c>
    </row>
    <row r="1218" spans="1:21" x14ac:dyDescent="0.3">
      <c r="A1218" t="s">
        <v>1867</v>
      </c>
      <c r="B1218">
        <v>2018</v>
      </c>
      <c r="C1218" t="s">
        <v>56</v>
      </c>
      <c r="D1218" t="s">
        <v>76</v>
      </c>
      <c r="E1218">
        <v>23937</v>
      </c>
      <c r="F1218" t="s">
        <v>71</v>
      </c>
      <c r="G1218">
        <v>53700</v>
      </c>
      <c r="H1218" t="s">
        <v>77</v>
      </c>
      <c r="I1218" t="s">
        <v>21</v>
      </c>
      <c r="J1218" t="s">
        <v>1868</v>
      </c>
      <c r="K1218" t="s">
        <v>23</v>
      </c>
      <c r="L1218" t="s">
        <v>95</v>
      </c>
      <c r="M1218" t="s">
        <v>96</v>
      </c>
      <c r="N1218" t="s">
        <v>89</v>
      </c>
      <c r="O1218" t="s">
        <v>27</v>
      </c>
      <c r="P1218" s="1">
        <v>44780</v>
      </c>
      <c r="Q1218">
        <f t="shared" ref="Q1218:Q1281" si="95">--(C1218="ms")</f>
        <v>0</v>
      </c>
      <c r="R1218">
        <f t="shared" ref="R1218:R1281" si="96">--(C1218="mx")</f>
        <v>0</v>
      </c>
      <c r="S1218">
        <f t="shared" ref="S1218:S1281" si="97">--(C1218="my")</f>
        <v>0</v>
      </c>
      <c r="T1218" s="11">
        <f t="shared" ref="T1218:T1281" si="98">B1218</f>
        <v>2018</v>
      </c>
      <c r="U1218" s="11">
        <f t="shared" ref="U1218:U1281" si="99">E1218</f>
        <v>23937</v>
      </c>
    </row>
    <row r="1219" spans="1:21" x14ac:dyDescent="0.3">
      <c r="A1219" t="s">
        <v>1869</v>
      </c>
      <c r="B1219">
        <v>2020</v>
      </c>
      <c r="C1219" t="s">
        <v>56</v>
      </c>
      <c r="D1219" t="s">
        <v>32</v>
      </c>
      <c r="E1219">
        <v>19485</v>
      </c>
      <c r="F1219" t="s">
        <v>65</v>
      </c>
      <c r="G1219">
        <v>54700</v>
      </c>
      <c r="H1219" t="s">
        <v>20</v>
      </c>
      <c r="I1219" t="s">
        <v>58</v>
      </c>
      <c r="J1219" t="s">
        <v>192</v>
      </c>
      <c r="K1219" t="s">
        <v>23</v>
      </c>
      <c r="L1219" t="s">
        <v>236</v>
      </c>
      <c r="M1219" t="s">
        <v>25</v>
      </c>
      <c r="N1219" t="s">
        <v>26</v>
      </c>
      <c r="O1219" t="s">
        <v>27</v>
      </c>
      <c r="P1219" s="1">
        <v>44780</v>
      </c>
      <c r="Q1219">
        <f t="shared" si="95"/>
        <v>0</v>
      </c>
      <c r="R1219">
        <f t="shared" si="96"/>
        <v>0</v>
      </c>
      <c r="S1219">
        <f t="shared" si="97"/>
        <v>0</v>
      </c>
      <c r="T1219" s="11">
        <f t="shared" si="98"/>
        <v>2020</v>
      </c>
      <c r="U1219" s="11">
        <f t="shared" si="99"/>
        <v>19485</v>
      </c>
    </row>
    <row r="1220" spans="1:21" x14ac:dyDescent="0.3">
      <c r="A1220" t="s">
        <v>1870</v>
      </c>
      <c r="B1220">
        <v>2021</v>
      </c>
      <c r="C1220" t="s">
        <v>29</v>
      </c>
      <c r="D1220" t="s">
        <v>32</v>
      </c>
      <c r="E1220">
        <v>15448</v>
      </c>
      <c r="F1220" t="s">
        <v>31</v>
      </c>
      <c r="G1220">
        <v>114300</v>
      </c>
      <c r="H1220" t="s">
        <v>45</v>
      </c>
      <c r="I1220" t="s">
        <v>110</v>
      </c>
      <c r="J1220" t="s">
        <v>1803</v>
      </c>
      <c r="K1220" t="s">
        <v>23</v>
      </c>
      <c r="L1220" t="s">
        <v>87</v>
      </c>
      <c r="M1220" t="s">
        <v>88</v>
      </c>
      <c r="N1220" t="s">
        <v>89</v>
      </c>
      <c r="O1220" t="s">
        <v>27</v>
      </c>
      <c r="P1220" s="1">
        <v>44780</v>
      </c>
      <c r="Q1220">
        <f t="shared" si="95"/>
        <v>0</v>
      </c>
      <c r="R1220">
        <f t="shared" si="96"/>
        <v>1</v>
      </c>
      <c r="S1220">
        <f t="shared" si="97"/>
        <v>0</v>
      </c>
      <c r="T1220" s="11">
        <f t="shared" si="98"/>
        <v>2021</v>
      </c>
      <c r="U1220" s="11">
        <f t="shared" si="99"/>
        <v>15448</v>
      </c>
    </row>
    <row r="1221" spans="1:21" x14ac:dyDescent="0.3">
      <c r="A1221" t="s">
        <v>1871</v>
      </c>
      <c r="B1221">
        <v>2019</v>
      </c>
      <c r="C1221" t="s">
        <v>56</v>
      </c>
      <c r="D1221" t="s">
        <v>32</v>
      </c>
      <c r="E1221">
        <v>29770</v>
      </c>
      <c r="F1221" t="s">
        <v>71</v>
      </c>
      <c r="G1221">
        <v>55600</v>
      </c>
      <c r="H1221" t="s">
        <v>77</v>
      </c>
      <c r="I1221" t="s">
        <v>21</v>
      </c>
      <c r="J1221" t="s">
        <v>121</v>
      </c>
      <c r="K1221" t="s">
        <v>23</v>
      </c>
      <c r="L1221" t="s">
        <v>183</v>
      </c>
      <c r="M1221" t="s">
        <v>25</v>
      </c>
      <c r="N1221" t="s">
        <v>26</v>
      </c>
      <c r="O1221" t="s">
        <v>27</v>
      </c>
      <c r="P1221" s="1">
        <v>44780</v>
      </c>
      <c r="Q1221">
        <f t="shared" si="95"/>
        <v>0</v>
      </c>
      <c r="R1221">
        <f t="shared" si="96"/>
        <v>0</v>
      </c>
      <c r="S1221">
        <f t="shared" si="97"/>
        <v>0</v>
      </c>
      <c r="T1221" s="11">
        <f t="shared" si="98"/>
        <v>2019</v>
      </c>
      <c r="U1221" s="11">
        <f t="shared" si="99"/>
        <v>29770</v>
      </c>
    </row>
    <row r="1222" spans="1:21" x14ac:dyDescent="0.3">
      <c r="A1222" t="s">
        <v>1872</v>
      </c>
      <c r="B1222">
        <v>2019</v>
      </c>
      <c r="C1222" t="s">
        <v>56</v>
      </c>
      <c r="D1222" t="s">
        <v>93</v>
      </c>
      <c r="E1222">
        <v>56747</v>
      </c>
      <c r="F1222" t="s">
        <v>57</v>
      </c>
      <c r="G1222">
        <v>48200</v>
      </c>
      <c r="H1222" t="s">
        <v>20</v>
      </c>
      <c r="I1222" t="s">
        <v>58</v>
      </c>
      <c r="J1222" t="s">
        <v>842</v>
      </c>
      <c r="K1222" t="s">
        <v>23</v>
      </c>
      <c r="L1222" t="s">
        <v>84</v>
      </c>
      <c r="M1222" t="s">
        <v>48</v>
      </c>
      <c r="N1222" t="s">
        <v>69</v>
      </c>
      <c r="O1222" t="s">
        <v>27</v>
      </c>
      <c r="P1222" s="1">
        <v>44780</v>
      </c>
      <c r="Q1222">
        <f t="shared" si="95"/>
        <v>0</v>
      </c>
      <c r="R1222">
        <f t="shared" si="96"/>
        <v>0</v>
      </c>
      <c r="S1222">
        <f t="shared" si="97"/>
        <v>0</v>
      </c>
      <c r="T1222" s="11">
        <f t="shared" si="98"/>
        <v>2019</v>
      </c>
      <c r="U1222" s="11">
        <f t="shared" si="99"/>
        <v>56747</v>
      </c>
    </row>
    <row r="1223" spans="1:21" x14ac:dyDescent="0.3">
      <c r="A1223" t="s">
        <v>1873</v>
      </c>
      <c r="B1223">
        <v>2018</v>
      </c>
      <c r="C1223" t="s">
        <v>56</v>
      </c>
      <c r="D1223" t="s">
        <v>32</v>
      </c>
      <c r="E1223">
        <v>22387</v>
      </c>
      <c r="F1223" t="s">
        <v>234</v>
      </c>
      <c r="G1223">
        <v>58200</v>
      </c>
      <c r="H1223" t="s">
        <v>20</v>
      </c>
      <c r="I1223" t="s">
        <v>58</v>
      </c>
      <c r="J1223" t="s">
        <v>373</v>
      </c>
      <c r="K1223" t="s">
        <v>23</v>
      </c>
      <c r="L1223" t="s">
        <v>24</v>
      </c>
      <c r="M1223" t="s">
        <v>25</v>
      </c>
      <c r="N1223" t="s">
        <v>26</v>
      </c>
      <c r="O1223" t="s">
        <v>27</v>
      </c>
      <c r="P1223" s="1">
        <v>44780</v>
      </c>
      <c r="Q1223">
        <f t="shared" si="95"/>
        <v>0</v>
      </c>
      <c r="R1223">
        <f t="shared" si="96"/>
        <v>0</v>
      </c>
      <c r="S1223">
        <f t="shared" si="97"/>
        <v>0</v>
      </c>
      <c r="T1223" s="11">
        <f t="shared" si="98"/>
        <v>2018</v>
      </c>
      <c r="U1223" s="11">
        <f t="shared" si="99"/>
        <v>22387</v>
      </c>
    </row>
    <row r="1224" spans="1:21" x14ac:dyDescent="0.3">
      <c r="A1224" t="s">
        <v>1874</v>
      </c>
      <c r="B1224">
        <v>2018</v>
      </c>
      <c r="C1224" t="s">
        <v>56</v>
      </c>
      <c r="D1224" t="s">
        <v>76</v>
      </c>
      <c r="E1224">
        <v>14013</v>
      </c>
      <c r="F1224" t="s">
        <v>57</v>
      </c>
      <c r="G1224">
        <v>51000</v>
      </c>
      <c r="H1224" t="s">
        <v>77</v>
      </c>
      <c r="I1224" t="s">
        <v>78</v>
      </c>
      <c r="J1224" t="s">
        <v>1688</v>
      </c>
      <c r="K1224" t="s">
        <v>23</v>
      </c>
      <c r="L1224" t="s">
        <v>371</v>
      </c>
      <c r="M1224" t="s">
        <v>48</v>
      </c>
      <c r="N1224" t="s">
        <v>49</v>
      </c>
      <c r="O1224" t="s">
        <v>27</v>
      </c>
      <c r="P1224" s="1">
        <v>44780</v>
      </c>
      <c r="Q1224">
        <f t="shared" si="95"/>
        <v>0</v>
      </c>
      <c r="R1224">
        <f t="shared" si="96"/>
        <v>0</v>
      </c>
      <c r="S1224">
        <f t="shared" si="97"/>
        <v>0</v>
      </c>
      <c r="T1224" s="11">
        <f t="shared" si="98"/>
        <v>2018</v>
      </c>
      <c r="U1224" s="11">
        <f t="shared" si="99"/>
        <v>14013</v>
      </c>
    </row>
    <row r="1225" spans="1:21" x14ac:dyDescent="0.3">
      <c r="A1225" t="s">
        <v>1875</v>
      </c>
      <c r="B1225">
        <v>2019</v>
      </c>
      <c r="C1225" t="s">
        <v>56</v>
      </c>
      <c r="D1225" t="s">
        <v>53</v>
      </c>
      <c r="E1225">
        <v>43770</v>
      </c>
      <c r="F1225" t="s">
        <v>65</v>
      </c>
      <c r="G1225">
        <v>47700</v>
      </c>
      <c r="H1225" t="s">
        <v>20</v>
      </c>
      <c r="I1225" t="s">
        <v>78</v>
      </c>
      <c r="J1225" t="s">
        <v>534</v>
      </c>
      <c r="K1225" t="s">
        <v>23</v>
      </c>
      <c r="L1225" t="s">
        <v>205</v>
      </c>
      <c r="M1225" t="s">
        <v>42</v>
      </c>
      <c r="N1225" t="s">
        <v>26</v>
      </c>
      <c r="O1225" t="s">
        <v>27</v>
      </c>
      <c r="P1225" s="1">
        <v>44780</v>
      </c>
      <c r="Q1225">
        <f t="shared" si="95"/>
        <v>0</v>
      </c>
      <c r="R1225">
        <f t="shared" si="96"/>
        <v>0</v>
      </c>
      <c r="S1225">
        <f t="shared" si="97"/>
        <v>0</v>
      </c>
      <c r="T1225" s="11">
        <f t="shared" si="98"/>
        <v>2019</v>
      </c>
      <c r="U1225" s="11">
        <f t="shared" si="99"/>
        <v>43770</v>
      </c>
    </row>
    <row r="1226" spans="1:21" x14ac:dyDescent="0.3">
      <c r="A1226" t="s">
        <v>1876</v>
      </c>
      <c r="B1226">
        <v>2019</v>
      </c>
      <c r="C1226" t="s">
        <v>56</v>
      </c>
      <c r="D1226" t="s">
        <v>76</v>
      </c>
      <c r="E1226">
        <v>35562</v>
      </c>
      <c r="F1226" t="s">
        <v>57</v>
      </c>
      <c r="G1226">
        <v>51800</v>
      </c>
      <c r="H1226" t="s">
        <v>77</v>
      </c>
      <c r="I1226" t="s">
        <v>78</v>
      </c>
      <c r="J1226" t="s">
        <v>1688</v>
      </c>
      <c r="K1226" t="s">
        <v>23</v>
      </c>
      <c r="L1226" t="s">
        <v>47</v>
      </c>
      <c r="M1226" t="s">
        <v>48</v>
      </c>
      <c r="N1226" t="s">
        <v>49</v>
      </c>
      <c r="O1226" t="s">
        <v>27</v>
      </c>
      <c r="P1226" s="1">
        <v>44780</v>
      </c>
      <c r="Q1226">
        <f t="shared" si="95"/>
        <v>0</v>
      </c>
      <c r="R1226">
        <f t="shared" si="96"/>
        <v>0</v>
      </c>
      <c r="S1226">
        <f t="shared" si="97"/>
        <v>0</v>
      </c>
      <c r="T1226" s="11">
        <f t="shared" si="98"/>
        <v>2019</v>
      </c>
      <c r="U1226" s="11">
        <f t="shared" si="99"/>
        <v>35562</v>
      </c>
    </row>
    <row r="1227" spans="1:21" x14ac:dyDescent="0.3">
      <c r="A1227" t="s">
        <v>1877</v>
      </c>
      <c r="B1227">
        <v>2019</v>
      </c>
      <c r="C1227" t="s">
        <v>56</v>
      </c>
      <c r="D1227" t="s">
        <v>32</v>
      </c>
      <c r="E1227">
        <v>26531</v>
      </c>
      <c r="F1227" t="s">
        <v>57</v>
      </c>
      <c r="G1227">
        <v>54000</v>
      </c>
      <c r="H1227" t="s">
        <v>20</v>
      </c>
      <c r="I1227" t="s">
        <v>58</v>
      </c>
      <c r="J1227" t="s">
        <v>168</v>
      </c>
      <c r="K1227" t="s">
        <v>23</v>
      </c>
      <c r="L1227" t="s">
        <v>197</v>
      </c>
      <c r="M1227" t="s">
        <v>198</v>
      </c>
      <c r="N1227" t="s">
        <v>26</v>
      </c>
      <c r="O1227" t="s">
        <v>27</v>
      </c>
      <c r="P1227" s="1">
        <v>44780</v>
      </c>
      <c r="Q1227">
        <f t="shared" si="95"/>
        <v>0</v>
      </c>
      <c r="R1227">
        <f t="shared" si="96"/>
        <v>0</v>
      </c>
      <c r="S1227">
        <f t="shared" si="97"/>
        <v>0</v>
      </c>
      <c r="T1227" s="11">
        <f t="shared" si="98"/>
        <v>2019</v>
      </c>
      <c r="U1227" s="11">
        <f t="shared" si="99"/>
        <v>26531</v>
      </c>
    </row>
    <row r="1228" spans="1:21" x14ac:dyDescent="0.3">
      <c r="A1228" t="s">
        <v>1878</v>
      </c>
      <c r="B1228">
        <v>2019</v>
      </c>
      <c r="C1228" t="s">
        <v>56</v>
      </c>
      <c r="D1228" t="s">
        <v>32</v>
      </c>
      <c r="E1228">
        <v>27210</v>
      </c>
      <c r="F1228" t="s">
        <v>57</v>
      </c>
      <c r="G1228">
        <v>52500</v>
      </c>
      <c r="H1228" t="s">
        <v>77</v>
      </c>
      <c r="I1228" t="s">
        <v>78</v>
      </c>
      <c r="J1228" t="s">
        <v>650</v>
      </c>
      <c r="K1228" t="s">
        <v>23</v>
      </c>
      <c r="L1228" t="s">
        <v>47</v>
      </c>
      <c r="M1228" t="s">
        <v>48</v>
      </c>
      <c r="N1228" t="s">
        <v>49</v>
      </c>
      <c r="O1228" t="s">
        <v>27</v>
      </c>
      <c r="P1228" s="1">
        <v>44780</v>
      </c>
      <c r="Q1228">
        <f t="shared" si="95"/>
        <v>0</v>
      </c>
      <c r="R1228">
        <f t="shared" si="96"/>
        <v>0</v>
      </c>
      <c r="S1228">
        <f t="shared" si="97"/>
        <v>0</v>
      </c>
      <c r="T1228" s="11">
        <f t="shared" si="98"/>
        <v>2019</v>
      </c>
      <c r="U1228" s="11">
        <f t="shared" si="99"/>
        <v>27210</v>
      </c>
    </row>
    <row r="1229" spans="1:21" x14ac:dyDescent="0.3">
      <c r="A1229" t="s">
        <v>1879</v>
      </c>
      <c r="B1229">
        <v>2019</v>
      </c>
      <c r="C1229" t="s">
        <v>56</v>
      </c>
      <c r="D1229" t="s">
        <v>93</v>
      </c>
      <c r="E1229">
        <v>32935</v>
      </c>
      <c r="F1229" t="s">
        <v>65</v>
      </c>
      <c r="G1229">
        <v>54000</v>
      </c>
      <c r="H1229" t="s">
        <v>20</v>
      </c>
      <c r="I1229" t="s">
        <v>58</v>
      </c>
      <c r="J1229" t="s">
        <v>294</v>
      </c>
      <c r="K1229" t="s">
        <v>23</v>
      </c>
      <c r="L1229" t="s">
        <v>509</v>
      </c>
      <c r="N1229" t="s">
        <v>26</v>
      </c>
      <c r="O1229" t="s">
        <v>27</v>
      </c>
      <c r="P1229" s="1">
        <v>44780</v>
      </c>
      <c r="Q1229">
        <f t="shared" si="95"/>
        <v>0</v>
      </c>
      <c r="R1229">
        <f t="shared" si="96"/>
        <v>0</v>
      </c>
      <c r="S1229">
        <f t="shared" si="97"/>
        <v>0</v>
      </c>
      <c r="T1229" s="11">
        <f t="shared" si="98"/>
        <v>2019</v>
      </c>
      <c r="U1229" s="11">
        <f t="shared" si="99"/>
        <v>32935</v>
      </c>
    </row>
    <row r="1230" spans="1:21" x14ac:dyDescent="0.3">
      <c r="A1230" t="s">
        <v>1880</v>
      </c>
      <c r="B1230">
        <v>2019</v>
      </c>
      <c r="C1230" t="s">
        <v>56</v>
      </c>
      <c r="D1230" t="s">
        <v>30</v>
      </c>
      <c r="E1230">
        <v>25410</v>
      </c>
      <c r="F1230" t="s">
        <v>57</v>
      </c>
      <c r="G1230">
        <v>53100</v>
      </c>
      <c r="H1230" t="s">
        <v>77</v>
      </c>
      <c r="I1230" t="s">
        <v>78</v>
      </c>
      <c r="J1230" t="s">
        <v>1702</v>
      </c>
      <c r="K1230" t="s">
        <v>23</v>
      </c>
      <c r="L1230" t="s">
        <v>47</v>
      </c>
      <c r="M1230" t="s">
        <v>48</v>
      </c>
      <c r="N1230" t="s">
        <v>49</v>
      </c>
      <c r="O1230" t="s">
        <v>27</v>
      </c>
      <c r="P1230" s="1">
        <v>44780</v>
      </c>
      <c r="Q1230">
        <f t="shared" si="95"/>
        <v>0</v>
      </c>
      <c r="R1230">
        <f t="shared" si="96"/>
        <v>0</v>
      </c>
      <c r="S1230">
        <f t="shared" si="97"/>
        <v>0</v>
      </c>
      <c r="T1230" s="11">
        <f t="shared" si="98"/>
        <v>2019</v>
      </c>
      <c r="U1230" s="11">
        <f t="shared" si="99"/>
        <v>25410</v>
      </c>
    </row>
    <row r="1231" spans="1:21" x14ac:dyDescent="0.3">
      <c r="A1231" t="s">
        <v>1881</v>
      </c>
      <c r="B1231">
        <v>2020</v>
      </c>
      <c r="C1231" t="s">
        <v>17</v>
      </c>
      <c r="D1231" t="s">
        <v>53</v>
      </c>
      <c r="E1231">
        <v>35788</v>
      </c>
      <c r="F1231" t="s">
        <v>156</v>
      </c>
      <c r="G1231">
        <v>73200</v>
      </c>
      <c r="H1231" t="s">
        <v>20</v>
      </c>
      <c r="I1231" t="s">
        <v>39</v>
      </c>
      <c r="J1231" t="s">
        <v>538</v>
      </c>
      <c r="K1231" t="s">
        <v>23</v>
      </c>
      <c r="L1231" t="s">
        <v>205</v>
      </c>
      <c r="M1231" t="s">
        <v>42</v>
      </c>
      <c r="N1231" t="s">
        <v>26</v>
      </c>
      <c r="O1231" t="s">
        <v>27</v>
      </c>
      <c r="P1231" s="1">
        <v>44780</v>
      </c>
      <c r="Q1231">
        <f t="shared" si="95"/>
        <v>0</v>
      </c>
      <c r="R1231">
        <f t="shared" si="96"/>
        <v>0</v>
      </c>
      <c r="S1231">
        <f t="shared" si="97"/>
        <v>1</v>
      </c>
      <c r="T1231" s="11">
        <f t="shared" si="98"/>
        <v>2020</v>
      </c>
      <c r="U1231" s="11">
        <f t="shared" si="99"/>
        <v>35788</v>
      </c>
    </row>
    <row r="1232" spans="1:21" x14ac:dyDescent="0.3">
      <c r="A1232" t="s">
        <v>1882</v>
      </c>
      <c r="B1232">
        <v>2020</v>
      </c>
      <c r="C1232" t="s">
        <v>56</v>
      </c>
      <c r="D1232" t="s">
        <v>32</v>
      </c>
      <c r="E1232">
        <v>23102</v>
      </c>
      <c r="F1232" t="s">
        <v>57</v>
      </c>
      <c r="G1232">
        <v>53600</v>
      </c>
      <c r="H1232" t="s">
        <v>77</v>
      </c>
      <c r="I1232" t="s">
        <v>78</v>
      </c>
      <c r="J1232" t="s">
        <v>650</v>
      </c>
      <c r="K1232" t="s">
        <v>23</v>
      </c>
      <c r="L1232" t="s">
        <v>47</v>
      </c>
      <c r="M1232" t="s">
        <v>48</v>
      </c>
      <c r="N1232" t="s">
        <v>49</v>
      </c>
      <c r="O1232" t="s">
        <v>27</v>
      </c>
      <c r="P1232" s="1">
        <v>44780</v>
      </c>
      <c r="Q1232">
        <f t="shared" si="95"/>
        <v>0</v>
      </c>
      <c r="R1232">
        <f t="shared" si="96"/>
        <v>0</v>
      </c>
      <c r="S1232">
        <f t="shared" si="97"/>
        <v>0</v>
      </c>
      <c r="T1232" s="11">
        <f t="shared" si="98"/>
        <v>2020</v>
      </c>
      <c r="U1232" s="11">
        <f t="shared" si="99"/>
        <v>23102</v>
      </c>
    </row>
    <row r="1233" spans="1:21" x14ac:dyDescent="0.3">
      <c r="A1233" t="s">
        <v>1883</v>
      </c>
      <c r="B1233">
        <v>2018</v>
      </c>
      <c r="C1233" t="s">
        <v>56</v>
      </c>
      <c r="D1233" t="s">
        <v>32</v>
      </c>
      <c r="E1233">
        <v>10486</v>
      </c>
      <c r="F1233" t="s">
        <v>57</v>
      </c>
      <c r="G1233">
        <v>51100</v>
      </c>
      <c r="H1233" t="s">
        <v>20</v>
      </c>
      <c r="I1233" t="s">
        <v>78</v>
      </c>
      <c r="J1233" t="s">
        <v>275</v>
      </c>
      <c r="K1233" t="s">
        <v>23</v>
      </c>
      <c r="L1233" t="s">
        <v>292</v>
      </c>
      <c r="M1233" t="s">
        <v>172</v>
      </c>
      <c r="N1233" t="s">
        <v>173</v>
      </c>
      <c r="O1233" t="s">
        <v>27</v>
      </c>
      <c r="P1233" s="1">
        <v>44780</v>
      </c>
      <c r="Q1233">
        <f t="shared" si="95"/>
        <v>0</v>
      </c>
      <c r="R1233">
        <f t="shared" si="96"/>
        <v>0</v>
      </c>
      <c r="S1233">
        <f t="shared" si="97"/>
        <v>0</v>
      </c>
      <c r="T1233" s="11">
        <f t="shared" si="98"/>
        <v>2018</v>
      </c>
      <c r="U1233" s="11">
        <f t="shared" si="99"/>
        <v>10486</v>
      </c>
    </row>
    <row r="1234" spans="1:21" x14ac:dyDescent="0.3">
      <c r="A1234" t="s">
        <v>1884</v>
      </c>
      <c r="B1234">
        <v>2019</v>
      </c>
      <c r="C1234" t="s">
        <v>56</v>
      </c>
      <c r="D1234" t="s">
        <v>53</v>
      </c>
      <c r="E1234">
        <v>17428</v>
      </c>
      <c r="F1234" t="s">
        <v>57</v>
      </c>
      <c r="G1234">
        <v>54000</v>
      </c>
      <c r="H1234" t="s">
        <v>20</v>
      </c>
      <c r="I1234" t="s">
        <v>78</v>
      </c>
      <c r="J1234" t="s">
        <v>564</v>
      </c>
      <c r="K1234" t="s">
        <v>23</v>
      </c>
      <c r="L1234" t="s">
        <v>67</v>
      </c>
      <c r="M1234" t="s">
        <v>68</v>
      </c>
      <c r="N1234" t="s">
        <v>69</v>
      </c>
      <c r="O1234" t="s">
        <v>27</v>
      </c>
      <c r="P1234" s="1">
        <v>44780</v>
      </c>
      <c r="Q1234">
        <f t="shared" si="95"/>
        <v>0</v>
      </c>
      <c r="R1234">
        <f t="shared" si="96"/>
        <v>0</v>
      </c>
      <c r="S1234">
        <f t="shared" si="97"/>
        <v>0</v>
      </c>
      <c r="T1234" s="11">
        <f t="shared" si="98"/>
        <v>2019</v>
      </c>
      <c r="U1234" s="11">
        <f t="shared" si="99"/>
        <v>17428</v>
      </c>
    </row>
    <row r="1235" spans="1:21" x14ac:dyDescent="0.3">
      <c r="A1235" t="s">
        <v>1885</v>
      </c>
      <c r="B1235">
        <v>2019</v>
      </c>
      <c r="C1235" t="s">
        <v>56</v>
      </c>
      <c r="D1235" t="s">
        <v>76</v>
      </c>
      <c r="E1235">
        <v>23424</v>
      </c>
      <c r="F1235" t="s">
        <v>57</v>
      </c>
      <c r="G1235">
        <v>52400</v>
      </c>
      <c r="H1235" t="s">
        <v>20</v>
      </c>
      <c r="I1235" t="s">
        <v>58</v>
      </c>
      <c r="J1235" t="s">
        <v>979</v>
      </c>
      <c r="K1235" t="s">
        <v>23</v>
      </c>
      <c r="L1235" t="s">
        <v>179</v>
      </c>
      <c r="M1235" t="s">
        <v>180</v>
      </c>
      <c r="N1235" t="s">
        <v>173</v>
      </c>
      <c r="O1235" t="s">
        <v>27</v>
      </c>
      <c r="P1235" s="1">
        <v>44780</v>
      </c>
      <c r="Q1235">
        <f t="shared" si="95"/>
        <v>0</v>
      </c>
      <c r="R1235">
        <f t="shared" si="96"/>
        <v>0</v>
      </c>
      <c r="S1235">
        <f t="shared" si="97"/>
        <v>0</v>
      </c>
      <c r="T1235" s="11">
        <f t="shared" si="98"/>
        <v>2019</v>
      </c>
      <c r="U1235" s="11">
        <f t="shared" si="99"/>
        <v>23424</v>
      </c>
    </row>
    <row r="1236" spans="1:21" x14ac:dyDescent="0.3">
      <c r="A1236" t="s">
        <v>1886</v>
      </c>
      <c r="B1236">
        <v>2018</v>
      </c>
      <c r="C1236" t="s">
        <v>56</v>
      </c>
      <c r="D1236" t="s">
        <v>32</v>
      </c>
      <c r="E1236">
        <v>17588</v>
      </c>
      <c r="F1236" t="s">
        <v>57</v>
      </c>
      <c r="G1236">
        <v>54500</v>
      </c>
      <c r="H1236" t="s">
        <v>77</v>
      </c>
      <c r="I1236" t="s">
        <v>78</v>
      </c>
      <c r="J1236" t="s">
        <v>650</v>
      </c>
      <c r="K1236" t="s">
        <v>23</v>
      </c>
      <c r="L1236" t="s">
        <v>371</v>
      </c>
      <c r="M1236" t="s">
        <v>48</v>
      </c>
      <c r="N1236" t="s">
        <v>49</v>
      </c>
      <c r="O1236" t="s">
        <v>27</v>
      </c>
      <c r="P1236" s="1">
        <v>44780</v>
      </c>
      <c r="Q1236">
        <f t="shared" si="95"/>
        <v>0</v>
      </c>
      <c r="R1236">
        <f t="shared" si="96"/>
        <v>0</v>
      </c>
      <c r="S1236">
        <f t="shared" si="97"/>
        <v>0</v>
      </c>
      <c r="T1236" s="11">
        <f t="shared" si="98"/>
        <v>2018</v>
      </c>
      <c r="U1236" s="11">
        <f t="shared" si="99"/>
        <v>17588</v>
      </c>
    </row>
    <row r="1237" spans="1:21" x14ac:dyDescent="0.3">
      <c r="A1237" t="s">
        <v>1887</v>
      </c>
      <c r="B1237">
        <v>2020</v>
      </c>
      <c r="C1237" t="s">
        <v>56</v>
      </c>
      <c r="D1237" t="s">
        <v>93</v>
      </c>
      <c r="E1237">
        <v>21900</v>
      </c>
      <c r="F1237" t="s">
        <v>57</v>
      </c>
      <c r="G1237">
        <v>55200</v>
      </c>
      <c r="H1237" t="s">
        <v>77</v>
      </c>
      <c r="I1237" t="s">
        <v>78</v>
      </c>
      <c r="J1237" t="s">
        <v>280</v>
      </c>
      <c r="K1237" t="s">
        <v>23</v>
      </c>
      <c r="L1237" t="s">
        <v>292</v>
      </c>
      <c r="M1237" t="s">
        <v>172</v>
      </c>
      <c r="N1237" t="s">
        <v>173</v>
      </c>
      <c r="O1237" t="s">
        <v>27</v>
      </c>
      <c r="P1237" s="1">
        <v>44780</v>
      </c>
      <c r="Q1237">
        <f t="shared" si="95"/>
        <v>0</v>
      </c>
      <c r="R1237">
        <f t="shared" si="96"/>
        <v>0</v>
      </c>
      <c r="S1237">
        <f t="shared" si="97"/>
        <v>0</v>
      </c>
      <c r="T1237" s="11">
        <f t="shared" si="98"/>
        <v>2020</v>
      </c>
      <c r="U1237" s="11">
        <f t="shared" si="99"/>
        <v>21900</v>
      </c>
    </row>
    <row r="1238" spans="1:21" x14ac:dyDescent="0.3">
      <c r="A1238" t="s">
        <v>1888</v>
      </c>
      <c r="B1238">
        <v>2020</v>
      </c>
      <c r="C1238" t="s">
        <v>56</v>
      </c>
      <c r="D1238" t="s">
        <v>32</v>
      </c>
      <c r="E1238">
        <v>18458</v>
      </c>
      <c r="F1238" t="s">
        <v>57</v>
      </c>
      <c r="G1238">
        <v>55200</v>
      </c>
      <c r="H1238" t="s">
        <v>20</v>
      </c>
      <c r="I1238" t="s">
        <v>58</v>
      </c>
      <c r="J1238" t="s">
        <v>168</v>
      </c>
      <c r="K1238" t="s">
        <v>23</v>
      </c>
      <c r="L1238" t="s">
        <v>47</v>
      </c>
      <c r="M1238" t="s">
        <v>48</v>
      </c>
      <c r="N1238" t="s">
        <v>49</v>
      </c>
      <c r="O1238" t="s">
        <v>27</v>
      </c>
      <c r="P1238" s="1">
        <v>44780</v>
      </c>
      <c r="Q1238">
        <f t="shared" si="95"/>
        <v>0</v>
      </c>
      <c r="R1238">
        <f t="shared" si="96"/>
        <v>0</v>
      </c>
      <c r="S1238">
        <f t="shared" si="97"/>
        <v>0</v>
      </c>
      <c r="T1238" s="11">
        <f t="shared" si="98"/>
        <v>2020</v>
      </c>
      <c r="U1238" s="11">
        <f t="shared" si="99"/>
        <v>18458</v>
      </c>
    </row>
    <row r="1239" spans="1:21" x14ac:dyDescent="0.3">
      <c r="A1239" t="s">
        <v>1889</v>
      </c>
      <c r="B1239">
        <v>2020</v>
      </c>
      <c r="C1239" t="s">
        <v>56</v>
      </c>
      <c r="D1239" t="s">
        <v>30</v>
      </c>
      <c r="E1239">
        <v>28834</v>
      </c>
      <c r="F1239" t="s">
        <v>65</v>
      </c>
      <c r="G1239">
        <v>48700</v>
      </c>
      <c r="H1239" t="s">
        <v>20</v>
      </c>
      <c r="I1239" t="s">
        <v>58</v>
      </c>
      <c r="J1239" t="s">
        <v>774</v>
      </c>
      <c r="K1239" t="s">
        <v>23</v>
      </c>
      <c r="N1239" t="s">
        <v>127</v>
      </c>
      <c r="O1239" t="s">
        <v>27</v>
      </c>
      <c r="P1239" s="1">
        <v>44780</v>
      </c>
      <c r="Q1239">
        <f t="shared" si="95"/>
        <v>0</v>
      </c>
      <c r="R1239">
        <f t="shared" si="96"/>
        <v>0</v>
      </c>
      <c r="S1239">
        <f t="shared" si="97"/>
        <v>0</v>
      </c>
      <c r="T1239" s="11">
        <f t="shared" si="98"/>
        <v>2020</v>
      </c>
      <c r="U1239" s="11">
        <f t="shared" si="99"/>
        <v>28834</v>
      </c>
    </row>
    <row r="1240" spans="1:21" x14ac:dyDescent="0.3">
      <c r="A1240" t="s">
        <v>1890</v>
      </c>
      <c r="B1240">
        <v>2020</v>
      </c>
      <c r="C1240" t="s">
        <v>56</v>
      </c>
      <c r="D1240" t="s">
        <v>32</v>
      </c>
      <c r="E1240">
        <v>7224</v>
      </c>
      <c r="F1240" t="s">
        <v>65</v>
      </c>
      <c r="G1240">
        <v>56000</v>
      </c>
      <c r="H1240" t="s">
        <v>20</v>
      </c>
      <c r="I1240" t="s">
        <v>58</v>
      </c>
      <c r="J1240" t="s">
        <v>192</v>
      </c>
      <c r="K1240" t="s">
        <v>23</v>
      </c>
      <c r="L1240" t="s">
        <v>779</v>
      </c>
      <c r="M1240" t="s">
        <v>780</v>
      </c>
      <c r="N1240" t="s">
        <v>256</v>
      </c>
      <c r="O1240" t="s">
        <v>27</v>
      </c>
      <c r="P1240" s="1">
        <v>44780</v>
      </c>
      <c r="Q1240">
        <f t="shared" si="95"/>
        <v>0</v>
      </c>
      <c r="R1240">
        <f t="shared" si="96"/>
        <v>0</v>
      </c>
      <c r="S1240">
        <f t="shared" si="97"/>
        <v>0</v>
      </c>
      <c r="T1240" s="11">
        <f t="shared" si="98"/>
        <v>2020</v>
      </c>
      <c r="U1240" s="11">
        <f t="shared" si="99"/>
        <v>7224</v>
      </c>
    </row>
    <row r="1241" spans="1:21" x14ac:dyDescent="0.3">
      <c r="A1241" t="s">
        <v>1891</v>
      </c>
      <c r="B1241">
        <v>2018</v>
      </c>
      <c r="C1241" t="s">
        <v>56</v>
      </c>
      <c r="D1241" t="s">
        <v>18</v>
      </c>
      <c r="E1241">
        <v>53086</v>
      </c>
      <c r="F1241" t="s">
        <v>57</v>
      </c>
      <c r="G1241">
        <v>49000</v>
      </c>
      <c r="H1241" t="s">
        <v>20</v>
      </c>
      <c r="I1241" t="s">
        <v>58</v>
      </c>
      <c r="J1241" t="s">
        <v>253</v>
      </c>
      <c r="K1241" t="s">
        <v>23</v>
      </c>
      <c r="N1241" t="s">
        <v>127</v>
      </c>
      <c r="O1241" t="s">
        <v>27</v>
      </c>
      <c r="P1241" s="1">
        <v>44780</v>
      </c>
      <c r="Q1241">
        <f t="shared" si="95"/>
        <v>0</v>
      </c>
      <c r="R1241">
        <f t="shared" si="96"/>
        <v>0</v>
      </c>
      <c r="S1241">
        <f t="shared" si="97"/>
        <v>0</v>
      </c>
      <c r="T1241" s="11">
        <f t="shared" si="98"/>
        <v>2018</v>
      </c>
      <c r="U1241" s="11">
        <f t="shared" si="99"/>
        <v>53086</v>
      </c>
    </row>
    <row r="1242" spans="1:21" x14ac:dyDescent="0.3">
      <c r="A1242" t="s">
        <v>1892</v>
      </c>
      <c r="B1242">
        <v>2020</v>
      </c>
      <c r="C1242" t="s">
        <v>56</v>
      </c>
      <c r="D1242" t="s">
        <v>93</v>
      </c>
      <c r="E1242">
        <v>34501</v>
      </c>
      <c r="F1242" t="s">
        <v>71</v>
      </c>
      <c r="G1242">
        <v>56400</v>
      </c>
      <c r="H1242" t="s">
        <v>77</v>
      </c>
      <c r="I1242" t="s">
        <v>21</v>
      </c>
      <c r="J1242" t="s">
        <v>1893</v>
      </c>
      <c r="K1242" t="s">
        <v>23</v>
      </c>
      <c r="L1242" t="s">
        <v>67</v>
      </c>
      <c r="M1242" t="s">
        <v>68</v>
      </c>
      <c r="N1242" t="s">
        <v>69</v>
      </c>
      <c r="O1242" t="s">
        <v>27</v>
      </c>
      <c r="P1242" s="1">
        <v>44780</v>
      </c>
      <c r="Q1242">
        <f t="shared" si="95"/>
        <v>0</v>
      </c>
      <c r="R1242">
        <f t="shared" si="96"/>
        <v>0</v>
      </c>
      <c r="S1242">
        <f t="shared" si="97"/>
        <v>0</v>
      </c>
      <c r="T1242" s="11">
        <f t="shared" si="98"/>
        <v>2020</v>
      </c>
      <c r="U1242" s="11">
        <f t="shared" si="99"/>
        <v>34501</v>
      </c>
    </row>
    <row r="1243" spans="1:21" x14ac:dyDescent="0.3">
      <c r="A1243" t="s">
        <v>1894</v>
      </c>
      <c r="B1243">
        <v>2019</v>
      </c>
      <c r="C1243" t="s">
        <v>56</v>
      </c>
      <c r="D1243" t="s">
        <v>76</v>
      </c>
      <c r="E1243">
        <v>30184</v>
      </c>
      <c r="F1243" t="s">
        <v>57</v>
      </c>
      <c r="G1243">
        <v>51100</v>
      </c>
      <c r="H1243" t="s">
        <v>77</v>
      </c>
      <c r="I1243" t="s">
        <v>58</v>
      </c>
      <c r="J1243" t="s">
        <v>1198</v>
      </c>
      <c r="K1243" t="s">
        <v>23</v>
      </c>
      <c r="N1243" t="s">
        <v>127</v>
      </c>
      <c r="O1243" t="s">
        <v>27</v>
      </c>
      <c r="P1243" s="1">
        <v>44780</v>
      </c>
      <c r="Q1243">
        <f t="shared" si="95"/>
        <v>0</v>
      </c>
      <c r="R1243">
        <f t="shared" si="96"/>
        <v>0</v>
      </c>
      <c r="S1243">
        <f t="shared" si="97"/>
        <v>0</v>
      </c>
      <c r="T1243" s="11">
        <f t="shared" si="98"/>
        <v>2019</v>
      </c>
      <c r="U1243" s="11">
        <f t="shared" si="99"/>
        <v>30184</v>
      </c>
    </row>
    <row r="1244" spans="1:21" x14ac:dyDescent="0.3">
      <c r="A1244" t="s">
        <v>1895</v>
      </c>
      <c r="B1244">
        <v>2018</v>
      </c>
      <c r="C1244" t="s">
        <v>56</v>
      </c>
      <c r="D1244" t="s">
        <v>32</v>
      </c>
      <c r="E1244">
        <v>69973</v>
      </c>
      <c r="F1244" t="s">
        <v>57</v>
      </c>
      <c r="G1244">
        <v>48500</v>
      </c>
      <c r="H1244" t="s">
        <v>20</v>
      </c>
      <c r="I1244" t="s">
        <v>58</v>
      </c>
      <c r="J1244" t="s">
        <v>168</v>
      </c>
      <c r="K1244" t="s">
        <v>23</v>
      </c>
      <c r="L1244" t="s">
        <v>876</v>
      </c>
      <c r="M1244" t="s">
        <v>220</v>
      </c>
      <c r="N1244" t="s">
        <v>221</v>
      </c>
      <c r="O1244" t="s">
        <v>27</v>
      </c>
      <c r="P1244" s="1">
        <v>44780</v>
      </c>
      <c r="Q1244">
        <f t="shared" si="95"/>
        <v>0</v>
      </c>
      <c r="R1244">
        <f t="shared" si="96"/>
        <v>0</v>
      </c>
      <c r="S1244">
        <f t="shared" si="97"/>
        <v>0</v>
      </c>
      <c r="T1244" s="11">
        <f t="shared" si="98"/>
        <v>2018</v>
      </c>
      <c r="U1244" s="11">
        <f t="shared" si="99"/>
        <v>69973</v>
      </c>
    </row>
    <row r="1245" spans="1:21" x14ac:dyDescent="0.3">
      <c r="A1245" t="s">
        <v>1896</v>
      </c>
      <c r="B1245">
        <v>2018</v>
      </c>
      <c r="C1245" t="s">
        <v>56</v>
      </c>
      <c r="D1245" t="s">
        <v>32</v>
      </c>
      <c r="E1245">
        <v>15498</v>
      </c>
      <c r="F1245" t="s">
        <v>57</v>
      </c>
      <c r="G1245">
        <v>52200</v>
      </c>
      <c r="H1245" t="s">
        <v>77</v>
      </c>
      <c r="I1245" t="s">
        <v>78</v>
      </c>
      <c r="J1245" t="s">
        <v>650</v>
      </c>
      <c r="K1245" t="s">
        <v>23</v>
      </c>
      <c r="N1245" t="s">
        <v>127</v>
      </c>
      <c r="O1245" t="s">
        <v>27</v>
      </c>
      <c r="P1245" s="1">
        <v>44780</v>
      </c>
      <c r="Q1245">
        <f t="shared" si="95"/>
        <v>0</v>
      </c>
      <c r="R1245">
        <f t="shared" si="96"/>
        <v>0</v>
      </c>
      <c r="S1245">
        <f t="shared" si="97"/>
        <v>0</v>
      </c>
      <c r="T1245" s="11">
        <f t="shared" si="98"/>
        <v>2018</v>
      </c>
      <c r="U1245" s="11">
        <f t="shared" si="99"/>
        <v>15498</v>
      </c>
    </row>
    <row r="1246" spans="1:21" x14ac:dyDescent="0.3">
      <c r="A1246" t="s">
        <v>1897</v>
      </c>
      <c r="B1246">
        <v>2018</v>
      </c>
      <c r="C1246" t="s">
        <v>37</v>
      </c>
      <c r="D1246" t="s">
        <v>18</v>
      </c>
      <c r="E1246">
        <v>9695</v>
      </c>
      <c r="F1246" t="s">
        <v>104</v>
      </c>
      <c r="G1246">
        <v>80000</v>
      </c>
      <c r="H1246" t="s">
        <v>105</v>
      </c>
      <c r="I1246" t="s">
        <v>78</v>
      </c>
      <c r="J1246" t="s">
        <v>1898</v>
      </c>
      <c r="K1246" t="s">
        <v>23</v>
      </c>
      <c r="L1246" t="s">
        <v>183</v>
      </c>
      <c r="M1246" t="s">
        <v>25</v>
      </c>
      <c r="N1246" t="s">
        <v>26</v>
      </c>
      <c r="O1246" t="s">
        <v>27</v>
      </c>
      <c r="P1246" s="1">
        <v>44780</v>
      </c>
      <c r="Q1246">
        <f t="shared" si="95"/>
        <v>1</v>
      </c>
      <c r="R1246">
        <f t="shared" si="96"/>
        <v>0</v>
      </c>
      <c r="S1246">
        <f t="shared" si="97"/>
        <v>0</v>
      </c>
      <c r="T1246" s="11">
        <f t="shared" si="98"/>
        <v>2018</v>
      </c>
      <c r="U1246" s="11">
        <f t="shared" si="99"/>
        <v>9695</v>
      </c>
    </row>
    <row r="1247" spans="1:21" x14ac:dyDescent="0.3">
      <c r="A1247" t="s">
        <v>1899</v>
      </c>
      <c r="B1247">
        <v>2019</v>
      </c>
      <c r="C1247" t="s">
        <v>56</v>
      </c>
      <c r="D1247" t="s">
        <v>30</v>
      </c>
      <c r="E1247">
        <v>17628</v>
      </c>
      <c r="F1247" t="s">
        <v>57</v>
      </c>
      <c r="G1247">
        <v>53000</v>
      </c>
      <c r="H1247" t="s">
        <v>77</v>
      </c>
      <c r="I1247" t="s">
        <v>58</v>
      </c>
      <c r="J1247" t="s">
        <v>284</v>
      </c>
      <c r="K1247" t="s">
        <v>23</v>
      </c>
      <c r="N1247" t="s">
        <v>127</v>
      </c>
      <c r="O1247" t="s">
        <v>27</v>
      </c>
      <c r="P1247" s="1">
        <v>44780</v>
      </c>
      <c r="Q1247">
        <f t="shared" si="95"/>
        <v>0</v>
      </c>
      <c r="R1247">
        <f t="shared" si="96"/>
        <v>0</v>
      </c>
      <c r="S1247">
        <f t="shared" si="97"/>
        <v>0</v>
      </c>
      <c r="T1247" s="11">
        <f t="shared" si="98"/>
        <v>2019</v>
      </c>
      <c r="U1247" s="11">
        <f t="shared" si="99"/>
        <v>17628</v>
      </c>
    </row>
    <row r="1248" spans="1:21" x14ac:dyDescent="0.3">
      <c r="A1248" t="s">
        <v>1900</v>
      </c>
      <c r="B1248">
        <v>2018</v>
      </c>
      <c r="C1248" t="s">
        <v>56</v>
      </c>
      <c r="D1248" t="s">
        <v>93</v>
      </c>
      <c r="E1248">
        <v>55688</v>
      </c>
      <c r="F1248" t="s">
        <v>71</v>
      </c>
      <c r="G1248">
        <v>53000</v>
      </c>
      <c r="H1248" t="s">
        <v>20</v>
      </c>
      <c r="I1248" t="s">
        <v>21</v>
      </c>
      <c r="J1248" t="s">
        <v>332</v>
      </c>
      <c r="K1248" t="s">
        <v>23</v>
      </c>
      <c r="L1248" t="s">
        <v>236</v>
      </c>
      <c r="M1248" t="s">
        <v>25</v>
      </c>
      <c r="N1248" t="s">
        <v>26</v>
      </c>
      <c r="O1248" t="s">
        <v>27</v>
      </c>
      <c r="P1248" s="1">
        <v>44780</v>
      </c>
      <c r="Q1248">
        <f t="shared" si="95"/>
        <v>0</v>
      </c>
      <c r="R1248">
        <f t="shared" si="96"/>
        <v>0</v>
      </c>
      <c r="S1248">
        <f t="shared" si="97"/>
        <v>0</v>
      </c>
      <c r="T1248" s="11">
        <f t="shared" si="98"/>
        <v>2018</v>
      </c>
      <c r="U1248" s="11">
        <f t="shared" si="99"/>
        <v>55688</v>
      </c>
    </row>
    <row r="1249" spans="1:21" x14ac:dyDescent="0.3">
      <c r="A1249" t="s">
        <v>1901</v>
      </c>
      <c r="B1249">
        <v>2019</v>
      </c>
      <c r="C1249" t="s">
        <v>56</v>
      </c>
      <c r="D1249" t="s">
        <v>32</v>
      </c>
      <c r="E1249">
        <v>24905</v>
      </c>
      <c r="F1249" t="s">
        <v>71</v>
      </c>
      <c r="G1249">
        <v>55000</v>
      </c>
      <c r="H1249" t="s">
        <v>20</v>
      </c>
      <c r="I1249" t="s">
        <v>21</v>
      </c>
      <c r="J1249" t="s">
        <v>72</v>
      </c>
      <c r="K1249" t="s">
        <v>23</v>
      </c>
      <c r="N1249" t="s">
        <v>127</v>
      </c>
      <c r="O1249" t="s">
        <v>27</v>
      </c>
      <c r="P1249" s="1">
        <v>44780</v>
      </c>
      <c r="Q1249">
        <f t="shared" si="95"/>
        <v>0</v>
      </c>
      <c r="R1249">
        <f t="shared" si="96"/>
        <v>0</v>
      </c>
      <c r="S1249">
        <f t="shared" si="97"/>
        <v>0</v>
      </c>
      <c r="T1249" s="11">
        <f t="shared" si="98"/>
        <v>2019</v>
      </c>
      <c r="U1249" s="11">
        <f t="shared" si="99"/>
        <v>24905</v>
      </c>
    </row>
    <row r="1250" spans="1:21" x14ac:dyDescent="0.3">
      <c r="A1250" t="s">
        <v>1902</v>
      </c>
      <c r="B1250">
        <v>2019</v>
      </c>
      <c r="C1250" t="s">
        <v>56</v>
      </c>
      <c r="D1250" t="s">
        <v>53</v>
      </c>
      <c r="E1250">
        <v>21761</v>
      </c>
      <c r="F1250" t="s">
        <v>57</v>
      </c>
      <c r="G1250">
        <v>54200</v>
      </c>
      <c r="H1250" t="s">
        <v>77</v>
      </c>
      <c r="I1250" t="s">
        <v>78</v>
      </c>
      <c r="J1250" t="s">
        <v>638</v>
      </c>
      <c r="K1250" t="s">
        <v>23</v>
      </c>
      <c r="L1250" t="s">
        <v>24</v>
      </c>
      <c r="M1250" t="s">
        <v>25</v>
      </c>
      <c r="N1250" t="s">
        <v>26</v>
      </c>
      <c r="O1250" t="s">
        <v>27</v>
      </c>
      <c r="P1250" s="1">
        <v>44780</v>
      </c>
      <c r="Q1250">
        <f t="shared" si="95"/>
        <v>0</v>
      </c>
      <c r="R1250">
        <f t="shared" si="96"/>
        <v>0</v>
      </c>
      <c r="S1250">
        <f t="shared" si="97"/>
        <v>0</v>
      </c>
      <c r="T1250" s="11">
        <f t="shared" si="98"/>
        <v>2019</v>
      </c>
      <c r="U1250" s="11">
        <f t="shared" si="99"/>
        <v>21761</v>
      </c>
    </row>
    <row r="1251" spans="1:21" x14ac:dyDescent="0.3">
      <c r="A1251" t="s">
        <v>1903</v>
      </c>
      <c r="B1251">
        <v>2020</v>
      </c>
      <c r="C1251" t="s">
        <v>56</v>
      </c>
      <c r="D1251" t="s">
        <v>32</v>
      </c>
      <c r="E1251">
        <v>53311</v>
      </c>
      <c r="F1251" t="s">
        <v>57</v>
      </c>
      <c r="G1251">
        <v>57200</v>
      </c>
      <c r="H1251" t="s">
        <v>20</v>
      </c>
      <c r="I1251" t="s">
        <v>58</v>
      </c>
      <c r="J1251" t="s">
        <v>168</v>
      </c>
      <c r="K1251" t="s">
        <v>23</v>
      </c>
      <c r="N1251" t="s">
        <v>127</v>
      </c>
      <c r="O1251" t="s">
        <v>27</v>
      </c>
      <c r="P1251" s="1">
        <v>44780</v>
      </c>
      <c r="Q1251">
        <f t="shared" si="95"/>
        <v>0</v>
      </c>
      <c r="R1251">
        <f t="shared" si="96"/>
        <v>0</v>
      </c>
      <c r="S1251">
        <f t="shared" si="97"/>
        <v>0</v>
      </c>
      <c r="T1251" s="11">
        <f t="shared" si="98"/>
        <v>2020</v>
      </c>
      <c r="U1251" s="11">
        <f t="shared" si="99"/>
        <v>53311</v>
      </c>
    </row>
    <row r="1252" spans="1:21" x14ac:dyDescent="0.3">
      <c r="A1252" t="s">
        <v>1904</v>
      </c>
      <c r="B1252">
        <v>2019</v>
      </c>
      <c r="C1252" t="s">
        <v>56</v>
      </c>
      <c r="D1252" t="s">
        <v>53</v>
      </c>
      <c r="E1252">
        <v>33594</v>
      </c>
      <c r="F1252" t="s">
        <v>57</v>
      </c>
      <c r="G1252">
        <v>55900</v>
      </c>
      <c r="H1252" t="s">
        <v>77</v>
      </c>
      <c r="I1252" t="s">
        <v>58</v>
      </c>
      <c r="J1252" t="s">
        <v>770</v>
      </c>
      <c r="K1252" t="s">
        <v>23</v>
      </c>
      <c r="L1252" t="s">
        <v>24</v>
      </c>
      <c r="M1252" t="s">
        <v>25</v>
      </c>
      <c r="N1252" t="s">
        <v>26</v>
      </c>
      <c r="O1252" t="s">
        <v>27</v>
      </c>
      <c r="P1252" s="1">
        <v>44780</v>
      </c>
      <c r="Q1252">
        <f t="shared" si="95"/>
        <v>0</v>
      </c>
      <c r="R1252">
        <f t="shared" si="96"/>
        <v>0</v>
      </c>
      <c r="S1252">
        <f t="shared" si="97"/>
        <v>0</v>
      </c>
      <c r="T1252" s="11">
        <f t="shared" si="98"/>
        <v>2019</v>
      </c>
      <c r="U1252" s="11">
        <f t="shared" si="99"/>
        <v>33594</v>
      </c>
    </row>
    <row r="1253" spans="1:21" x14ac:dyDescent="0.3">
      <c r="A1253" t="s">
        <v>1905</v>
      </c>
      <c r="B1253">
        <v>2021</v>
      </c>
      <c r="C1253" t="s">
        <v>56</v>
      </c>
      <c r="D1253" t="s">
        <v>93</v>
      </c>
      <c r="E1253">
        <v>7265</v>
      </c>
      <c r="F1253" t="s">
        <v>57</v>
      </c>
      <c r="G1253">
        <v>67300</v>
      </c>
      <c r="H1253" t="s">
        <v>20</v>
      </c>
      <c r="I1253" t="s">
        <v>58</v>
      </c>
      <c r="J1253" t="s">
        <v>842</v>
      </c>
      <c r="K1253" t="s">
        <v>23</v>
      </c>
      <c r="N1253" t="s">
        <v>127</v>
      </c>
      <c r="O1253" t="s">
        <v>27</v>
      </c>
      <c r="P1253" s="1">
        <v>44780</v>
      </c>
      <c r="Q1253">
        <f t="shared" si="95"/>
        <v>0</v>
      </c>
      <c r="R1253">
        <f t="shared" si="96"/>
        <v>0</v>
      </c>
      <c r="S1253">
        <f t="shared" si="97"/>
        <v>0</v>
      </c>
      <c r="T1253" s="11">
        <f t="shared" si="98"/>
        <v>2021</v>
      </c>
      <c r="U1253" s="11">
        <f t="shared" si="99"/>
        <v>7265</v>
      </c>
    </row>
    <row r="1254" spans="1:21" x14ac:dyDescent="0.3">
      <c r="A1254" t="s">
        <v>1906</v>
      </c>
      <c r="B1254">
        <v>2020</v>
      </c>
      <c r="C1254" t="s">
        <v>17</v>
      </c>
      <c r="D1254" t="s">
        <v>32</v>
      </c>
      <c r="E1254">
        <v>34979</v>
      </c>
      <c r="F1254" t="s">
        <v>207</v>
      </c>
      <c r="G1254">
        <v>72100</v>
      </c>
      <c r="H1254" t="s">
        <v>20</v>
      </c>
      <c r="I1254" t="s">
        <v>78</v>
      </c>
      <c r="J1254" t="s">
        <v>200</v>
      </c>
      <c r="K1254" t="s">
        <v>23</v>
      </c>
      <c r="L1254" t="s">
        <v>193</v>
      </c>
      <c r="M1254" t="s">
        <v>194</v>
      </c>
      <c r="N1254" t="s">
        <v>26</v>
      </c>
      <c r="O1254" t="s">
        <v>27</v>
      </c>
      <c r="P1254" s="1">
        <v>44780</v>
      </c>
      <c r="Q1254">
        <f t="shared" si="95"/>
        <v>0</v>
      </c>
      <c r="R1254">
        <f t="shared" si="96"/>
        <v>0</v>
      </c>
      <c r="S1254">
        <f t="shared" si="97"/>
        <v>1</v>
      </c>
      <c r="T1254" s="11">
        <f t="shared" si="98"/>
        <v>2020</v>
      </c>
      <c r="U1254" s="11">
        <f t="shared" si="99"/>
        <v>34979</v>
      </c>
    </row>
    <row r="1255" spans="1:21" x14ac:dyDescent="0.3">
      <c r="A1255" t="s">
        <v>1907</v>
      </c>
      <c r="B1255">
        <v>2021</v>
      </c>
      <c r="C1255" t="s">
        <v>56</v>
      </c>
      <c r="D1255" t="s">
        <v>93</v>
      </c>
      <c r="E1255">
        <v>23183</v>
      </c>
      <c r="F1255" t="s">
        <v>57</v>
      </c>
      <c r="G1255">
        <v>61200</v>
      </c>
      <c r="H1255" t="s">
        <v>20</v>
      </c>
      <c r="I1255" t="s">
        <v>58</v>
      </c>
      <c r="J1255" t="s">
        <v>842</v>
      </c>
      <c r="K1255" t="s">
        <v>23</v>
      </c>
      <c r="L1255" t="s">
        <v>806</v>
      </c>
      <c r="N1255" t="s">
        <v>149</v>
      </c>
      <c r="O1255" t="s">
        <v>27</v>
      </c>
      <c r="P1255" s="1">
        <v>44780</v>
      </c>
      <c r="Q1255">
        <f t="shared" si="95"/>
        <v>0</v>
      </c>
      <c r="R1255">
        <f t="shared" si="96"/>
        <v>0</v>
      </c>
      <c r="S1255">
        <f t="shared" si="97"/>
        <v>0</v>
      </c>
      <c r="T1255" s="11">
        <f t="shared" si="98"/>
        <v>2021</v>
      </c>
      <c r="U1255" s="11">
        <f t="shared" si="99"/>
        <v>23183</v>
      </c>
    </row>
    <row r="1256" spans="1:21" x14ac:dyDescent="0.3">
      <c r="A1256" t="s">
        <v>1908</v>
      </c>
      <c r="B1256">
        <v>2019</v>
      </c>
      <c r="C1256" t="s">
        <v>56</v>
      </c>
      <c r="D1256" t="s">
        <v>30</v>
      </c>
      <c r="E1256">
        <v>45424</v>
      </c>
      <c r="F1256" t="s">
        <v>57</v>
      </c>
      <c r="G1256">
        <v>51400</v>
      </c>
      <c r="H1256" t="s">
        <v>20</v>
      </c>
      <c r="I1256" t="s">
        <v>58</v>
      </c>
      <c r="J1256" t="s">
        <v>413</v>
      </c>
      <c r="K1256" t="s">
        <v>23</v>
      </c>
      <c r="L1256" t="s">
        <v>197</v>
      </c>
      <c r="M1256" t="s">
        <v>198</v>
      </c>
      <c r="N1256" t="s">
        <v>26</v>
      </c>
      <c r="O1256" t="s">
        <v>27</v>
      </c>
      <c r="P1256" s="1">
        <v>44780</v>
      </c>
      <c r="Q1256">
        <f t="shared" si="95"/>
        <v>0</v>
      </c>
      <c r="R1256">
        <f t="shared" si="96"/>
        <v>0</v>
      </c>
      <c r="S1256">
        <f t="shared" si="97"/>
        <v>0</v>
      </c>
      <c r="T1256" s="11">
        <f t="shared" si="98"/>
        <v>2019</v>
      </c>
      <c r="U1256" s="11">
        <f t="shared" si="99"/>
        <v>45424</v>
      </c>
    </row>
    <row r="1257" spans="1:21" x14ac:dyDescent="0.3">
      <c r="A1257" t="s">
        <v>1909</v>
      </c>
      <c r="B1257">
        <v>2021</v>
      </c>
      <c r="C1257" t="s">
        <v>56</v>
      </c>
      <c r="D1257" t="s">
        <v>32</v>
      </c>
      <c r="E1257">
        <v>21682</v>
      </c>
      <c r="F1257" t="s">
        <v>57</v>
      </c>
      <c r="G1257">
        <v>66600</v>
      </c>
      <c r="H1257" t="s">
        <v>20</v>
      </c>
      <c r="I1257" t="s">
        <v>58</v>
      </c>
      <c r="J1257" t="s">
        <v>168</v>
      </c>
      <c r="K1257" t="s">
        <v>23</v>
      </c>
      <c r="L1257" t="s">
        <v>806</v>
      </c>
      <c r="N1257" t="s">
        <v>149</v>
      </c>
      <c r="O1257" t="s">
        <v>27</v>
      </c>
      <c r="P1257" s="1">
        <v>44780</v>
      </c>
      <c r="Q1257">
        <f t="shared" si="95"/>
        <v>0</v>
      </c>
      <c r="R1257">
        <f t="shared" si="96"/>
        <v>0</v>
      </c>
      <c r="S1257">
        <f t="shared" si="97"/>
        <v>0</v>
      </c>
      <c r="T1257" s="11">
        <f t="shared" si="98"/>
        <v>2021</v>
      </c>
      <c r="U1257" s="11">
        <f t="shared" si="99"/>
        <v>21682</v>
      </c>
    </row>
    <row r="1258" spans="1:21" x14ac:dyDescent="0.3">
      <c r="A1258" t="s">
        <v>1910</v>
      </c>
      <c r="B1258">
        <v>2019</v>
      </c>
      <c r="C1258" t="s">
        <v>56</v>
      </c>
      <c r="D1258" t="s">
        <v>30</v>
      </c>
      <c r="E1258">
        <v>20008</v>
      </c>
      <c r="F1258" t="s">
        <v>57</v>
      </c>
      <c r="G1258">
        <v>52600</v>
      </c>
      <c r="H1258" t="s">
        <v>77</v>
      </c>
      <c r="I1258" t="s">
        <v>58</v>
      </c>
      <c r="J1258" t="s">
        <v>284</v>
      </c>
      <c r="K1258" t="s">
        <v>23</v>
      </c>
      <c r="L1258" t="s">
        <v>175</v>
      </c>
      <c r="M1258" t="s">
        <v>42</v>
      </c>
      <c r="N1258" t="s">
        <v>26</v>
      </c>
      <c r="O1258" t="s">
        <v>27</v>
      </c>
      <c r="P1258" s="1">
        <v>44780</v>
      </c>
      <c r="Q1258">
        <f t="shared" si="95"/>
        <v>0</v>
      </c>
      <c r="R1258">
        <f t="shared" si="96"/>
        <v>0</v>
      </c>
      <c r="S1258">
        <f t="shared" si="97"/>
        <v>0</v>
      </c>
      <c r="T1258" s="11">
        <f t="shared" si="98"/>
        <v>2019</v>
      </c>
      <c r="U1258" s="11">
        <f t="shared" si="99"/>
        <v>20008</v>
      </c>
    </row>
    <row r="1259" spans="1:21" x14ac:dyDescent="0.3">
      <c r="A1259" t="s">
        <v>1911</v>
      </c>
      <c r="B1259">
        <v>2018</v>
      </c>
      <c r="C1259" t="s">
        <v>37</v>
      </c>
      <c r="D1259" t="s">
        <v>32</v>
      </c>
      <c r="E1259">
        <v>24109</v>
      </c>
      <c r="F1259" t="s">
        <v>52</v>
      </c>
      <c r="G1259">
        <v>89900</v>
      </c>
      <c r="H1259" t="s">
        <v>45</v>
      </c>
      <c r="I1259" t="s">
        <v>78</v>
      </c>
      <c r="J1259" t="s">
        <v>1912</v>
      </c>
      <c r="K1259" t="s">
        <v>23</v>
      </c>
      <c r="L1259" t="s">
        <v>122</v>
      </c>
      <c r="M1259" t="s">
        <v>113</v>
      </c>
      <c r="N1259" t="s">
        <v>114</v>
      </c>
      <c r="O1259" t="s">
        <v>27</v>
      </c>
      <c r="P1259" s="1">
        <v>44780</v>
      </c>
      <c r="Q1259">
        <f t="shared" si="95"/>
        <v>1</v>
      </c>
      <c r="R1259">
        <f t="shared" si="96"/>
        <v>0</v>
      </c>
      <c r="S1259">
        <f t="shared" si="97"/>
        <v>0</v>
      </c>
      <c r="T1259" s="11">
        <f t="shared" si="98"/>
        <v>2018</v>
      </c>
      <c r="U1259" s="11">
        <f t="shared" si="99"/>
        <v>24109</v>
      </c>
    </row>
    <row r="1260" spans="1:21" x14ac:dyDescent="0.3">
      <c r="A1260" t="s">
        <v>1913</v>
      </c>
      <c r="B1260">
        <v>2019</v>
      </c>
      <c r="C1260" t="s">
        <v>56</v>
      </c>
      <c r="D1260" t="s">
        <v>93</v>
      </c>
      <c r="E1260">
        <v>7524</v>
      </c>
      <c r="F1260" t="s">
        <v>57</v>
      </c>
      <c r="G1260">
        <v>53000</v>
      </c>
      <c r="H1260" t="s">
        <v>20</v>
      </c>
      <c r="I1260" t="s">
        <v>78</v>
      </c>
      <c r="J1260" t="s">
        <v>218</v>
      </c>
      <c r="K1260" t="s">
        <v>23</v>
      </c>
      <c r="L1260" t="s">
        <v>292</v>
      </c>
      <c r="M1260" t="s">
        <v>172</v>
      </c>
      <c r="N1260" t="s">
        <v>173</v>
      </c>
      <c r="O1260" t="s">
        <v>27</v>
      </c>
      <c r="P1260" s="1">
        <v>44780</v>
      </c>
      <c r="Q1260">
        <f t="shared" si="95"/>
        <v>0</v>
      </c>
      <c r="R1260">
        <f t="shared" si="96"/>
        <v>0</v>
      </c>
      <c r="S1260">
        <f t="shared" si="97"/>
        <v>0</v>
      </c>
      <c r="T1260" s="11">
        <f t="shared" si="98"/>
        <v>2019</v>
      </c>
      <c r="U1260" s="11">
        <f t="shared" si="99"/>
        <v>7524</v>
      </c>
    </row>
    <row r="1261" spans="1:21" x14ac:dyDescent="0.3">
      <c r="A1261" t="s">
        <v>1914</v>
      </c>
      <c r="B1261">
        <v>2018</v>
      </c>
      <c r="C1261" t="s">
        <v>56</v>
      </c>
      <c r="D1261" t="s">
        <v>32</v>
      </c>
      <c r="E1261">
        <v>27486</v>
      </c>
      <c r="F1261" t="s">
        <v>57</v>
      </c>
      <c r="G1261">
        <v>50600</v>
      </c>
      <c r="H1261" t="s">
        <v>20</v>
      </c>
      <c r="I1261" t="s">
        <v>78</v>
      </c>
      <c r="J1261" t="s">
        <v>275</v>
      </c>
      <c r="K1261" t="s">
        <v>23</v>
      </c>
      <c r="L1261" t="s">
        <v>122</v>
      </c>
      <c r="M1261" t="s">
        <v>113</v>
      </c>
      <c r="N1261" t="s">
        <v>114</v>
      </c>
      <c r="O1261" t="s">
        <v>27</v>
      </c>
      <c r="P1261" s="1">
        <v>44780</v>
      </c>
      <c r="Q1261">
        <f t="shared" si="95"/>
        <v>0</v>
      </c>
      <c r="R1261">
        <f t="shared" si="96"/>
        <v>0</v>
      </c>
      <c r="S1261">
        <f t="shared" si="97"/>
        <v>0</v>
      </c>
      <c r="T1261" s="11">
        <f t="shared" si="98"/>
        <v>2018</v>
      </c>
      <c r="U1261" s="11">
        <f t="shared" si="99"/>
        <v>27486</v>
      </c>
    </row>
    <row r="1262" spans="1:21" x14ac:dyDescent="0.3">
      <c r="A1262" t="s">
        <v>1915</v>
      </c>
      <c r="B1262">
        <v>2021</v>
      </c>
      <c r="C1262" t="s">
        <v>29</v>
      </c>
      <c r="D1262" t="s">
        <v>53</v>
      </c>
      <c r="E1262">
        <v>28975</v>
      </c>
      <c r="F1262" t="s">
        <v>177</v>
      </c>
      <c r="G1262">
        <v>119000</v>
      </c>
      <c r="H1262" t="s">
        <v>53</v>
      </c>
      <c r="I1262" t="s">
        <v>110</v>
      </c>
      <c r="J1262" t="s">
        <v>1916</v>
      </c>
      <c r="K1262" t="s">
        <v>23</v>
      </c>
      <c r="L1262" t="s">
        <v>292</v>
      </c>
      <c r="M1262" t="s">
        <v>172</v>
      </c>
      <c r="N1262" t="s">
        <v>173</v>
      </c>
      <c r="O1262" t="s">
        <v>27</v>
      </c>
      <c r="P1262" s="1">
        <v>44780</v>
      </c>
      <c r="Q1262">
        <f t="shared" si="95"/>
        <v>0</v>
      </c>
      <c r="R1262">
        <f t="shared" si="96"/>
        <v>1</v>
      </c>
      <c r="S1262">
        <f t="shared" si="97"/>
        <v>0</v>
      </c>
      <c r="T1262" s="11">
        <f t="shared" si="98"/>
        <v>2021</v>
      </c>
      <c r="U1262" s="11">
        <f t="shared" si="99"/>
        <v>28975</v>
      </c>
    </row>
    <row r="1263" spans="1:21" x14ac:dyDescent="0.3">
      <c r="A1263" t="s">
        <v>1917</v>
      </c>
      <c r="B1263">
        <v>2020</v>
      </c>
      <c r="C1263" t="s">
        <v>56</v>
      </c>
      <c r="D1263" t="s">
        <v>53</v>
      </c>
      <c r="E1263">
        <v>23741</v>
      </c>
      <c r="F1263" t="s">
        <v>57</v>
      </c>
      <c r="G1263">
        <v>53400</v>
      </c>
      <c r="H1263" t="s">
        <v>20</v>
      </c>
      <c r="I1263" t="s">
        <v>58</v>
      </c>
      <c r="J1263" t="s">
        <v>59</v>
      </c>
      <c r="K1263" t="s">
        <v>23</v>
      </c>
      <c r="L1263" t="s">
        <v>129</v>
      </c>
      <c r="M1263" t="s">
        <v>113</v>
      </c>
      <c r="N1263" t="s">
        <v>114</v>
      </c>
      <c r="O1263" t="s">
        <v>27</v>
      </c>
      <c r="P1263" s="1">
        <v>44780</v>
      </c>
      <c r="Q1263">
        <f t="shared" si="95"/>
        <v>0</v>
      </c>
      <c r="R1263">
        <f t="shared" si="96"/>
        <v>0</v>
      </c>
      <c r="S1263">
        <f t="shared" si="97"/>
        <v>0</v>
      </c>
      <c r="T1263" s="11">
        <f t="shared" si="98"/>
        <v>2020</v>
      </c>
      <c r="U1263" s="11">
        <f t="shared" si="99"/>
        <v>23741</v>
      </c>
    </row>
    <row r="1264" spans="1:21" x14ac:dyDescent="0.3">
      <c r="A1264" t="s">
        <v>1918</v>
      </c>
      <c r="B1264">
        <v>2018</v>
      </c>
      <c r="C1264" t="s">
        <v>56</v>
      </c>
      <c r="D1264" t="s">
        <v>93</v>
      </c>
      <c r="E1264">
        <v>41529</v>
      </c>
      <c r="F1264" t="s">
        <v>234</v>
      </c>
      <c r="G1264">
        <v>48600</v>
      </c>
      <c r="H1264" t="s">
        <v>20</v>
      </c>
      <c r="I1264" t="s">
        <v>78</v>
      </c>
      <c r="J1264" t="s">
        <v>290</v>
      </c>
      <c r="K1264" t="s">
        <v>23</v>
      </c>
      <c r="N1264" t="s">
        <v>127</v>
      </c>
      <c r="O1264" t="s">
        <v>27</v>
      </c>
      <c r="P1264" s="1">
        <v>44780</v>
      </c>
      <c r="Q1264">
        <f t="shared" si="95"/>
        <v>0</v>
      </c>
      <c r="R1264">
        <f t="shared" si="96"/>
        <v>0</v>
      </c>
      <c r="S1264">
        <f t="shared" si="97"/>
        <v>0</v>
      </c>
      <c r="T1264" s="11">
        <f t="shared" si="98"/>
        <v>2018</v>
      </c>
      <c r="U1264" s="11">
        <f t="shared" si="99"/>
        <v>41529</v>
      </c>
    </row>
    <row r="1265" spans="1:21" x14ac:dyDescent="0.3">
      <c r="A1265" t="s">
        <v>1919</v>
      </c>
      <c r="B1265">
        <v>2020</v>
      </c>
      <c r="C1265" t="s">
        <v>56</v>
      </c>
      <c r="D1265" t="s">
        <v>32</v>
      </c>
      <c r="E1265">
        <v>25906</v>
      </c>
      <c r="F1265" t="s">
        <v>57</v>
      </c>
      <c r="G1265">
        <v>59000</v>
      </c>
      <c r="H1265" t="s">
        <v>20</v>
      </c>
      <c r="I1265" t="s">
        <v>78</v>
      </c>
      <c r="J1265" t="s">
        <v>275</v>
      </c>
      <c r="K1265" t="s">
        <v>23</v>
      </c>
      <c r="L1265" t="s">
        <v>112</v>
      </c>
      <c r="M1265" t="s">
        <v>113</v>
      </c>
      <c r="N1265" t="s">
        <v>114</v>
      </c>
      <c r="O1265" t="s">
        <v>27</v>
      </c>
      <c r="P1265" s="1">
        <v>44780</v>
      </c>
      <c r="Q1265">
        <f t="shared" si="95"/>
        <v>0</v>
      </c>
      <c r="R1265">
        <f t="shared" si="96"/>
        <v>0</v>
      </c>
      <c r="S1265">
        <f t="shared" si="97"/>
        <v>0</v>
      </c>
      <c r="T1265" s="11">
        <f t="shared" si="98"/>
        <v>2020</v>
      </c>
      <c r="U1265" s="11">
        <f t="shared" si="99"/>
        <v>25906</v>
      </c>
    </row>
    <row r="1266" spans="1:21" x14ac:dyDescent="0.3">
      <c r="A1266" t="s">
        <v>1920</v>
      </c>
      <c r="B1266">
        <v>2019</v>
      </c>
      <c r="C1266" t="s">
        <v>56</v>
      </c>
      <c r="D1266" t="s">
        <v>32</v>
      </c>
      <c r="E1266">
        <v>15827</v>
      </c>
      <c r="F1266" t="s">
        <v>57</v>
      </c>
      <c r="G1266">
        <v>53400</v>
      </c>
      <c r="H1266" t="s">
        <v>77</v>
      </c>
      <c r="I1266" t="s">
        <v>78</v>
      </c>
      <c r="J1266" t="s">
        <v>650</v>
      </c>
      <c r="K1266" t="s">
        <v>23</v>
      </c>
      <c r="N1266" t="s">
        <v>127</v>
      </c>
      <c r="O1266" t="s">
        <v>27</v>
      </c>
      <c r="P1266" s="1">
        <v>44780</v>
      </c>
      <c r="Q1266">
        <f t="shared" si="95"/>
        <v>0</v>
      </c>
      <c r="R1266">
        <f t="shared" si="96"/>
        <v>0</v>
      </c>
      <c r="S1266">
        <f t="shared" si="97"/>
        <v>0</v>
      </c>
      <c r="T1266" s="11">
        <f t="shared" si="98"/>
        <v>2019</v>
      </c>
      <c r="U1266" s="11">
        <f t="shared" si="99"/>
        <v>15827</v>
      </c>
    </row>
    <row r="1267" spans="1:21" x14ac:dyDescent="0.3">
      <c r="A1267" t="s">
        <v>1921</v>
      </c>
      <c r="B1267">
        <v>2018</v>
      </c>
      <c r="C1267" t="s">
        <v>56</v>
      </c>
      <c r="D1267" t="s">
        <v>76</v>
      </c>
      <c r="E1267">
        <v>33063</v>
      </c>
      <c r="F1267" t="s">
        <v>57</v>
      </c>
      <c r="G1267">
        <v>50900</v>
      </c>
      <c r="H1267" t="s">
        <v>77</v>
      </c>
      <c r="I1267" t="s">
        <v>78</v>
      </c>
      <c r="J1267" t="s">
        <v>1688</v>
      </c>
      <c r="K1267" t="s">
        <v>23</v>
      </c>
      <c r="L1267" t="s">
        <v>117</v>
      </c>
      <c r="M1267" t="s">
        <v>118</v>
      </c>
      <c r="N1267" t="s">
        <v>119</v>
      </c>
      <c r="O1267" t="s">
        <v>27</v>
      </c>
      <c r="P1267" s="1">
        <v>44780</v>
      </c>
      <c r="Q1267">
        <f t="shared" si="95"/>
        <v>0</v>
      </c>
      <c r="R1267">
        <f t="shared" si="96"/>
        <v>0</v>
      </c>
      <c r="S1267">
        <f t="shared" si="97"/>
        <v>0</v>
      </c>
      <c r="T1267" s="11">
        <f t="shared" si="98"/>
        <v>2018</v>
      </c>
      <c r="U1267" s="11">
        <f t="shared" si="99"/>
        <v>33063</v>
      </c>
    </row>
    <row r="1268" spans="1:21" x14ac:dyDescent="0.3">
      <c r="A1268" t="s">
        <v>1922</v>
      </c>
      <c r="B1268">
        <v>2019</v>
      </c>
      <c r="C1268" t="s">
        <v>56</v>
      </c>
      <c r="D1268" t="s">
        <v>76</v>
      </c>
      <c r="E1268">
        <v>18656</v>
      </c>
      <c r="F1268" t="s">
        <v>57</v>
      </c>
      <c r="G1268">
        <v>55000</v>
      </c>
      <c r="H1268" t="s">
        <v>20</v>
      </c>
      <c r="I1268" t="s">
        <v>78</v>
      </c>
      <c r="J1268" t="s">
        <v>347</v>
      </c>
      <c r="K1268" t="s">
        <v>23</v>
      </c>
      <c r="N1268" t="s">
        <v>127</v>
      </c>
      <c r="O1268" t="s">
        <v>27</v>
      </c>
      <c r="P1268" s="1">
        <v>44780</v>
      </c>
      <c r="Q1268">
        <f t="shared" si="95"/>
        <v>0</v>
      </c>
      <c r="R1268">
        <f t="shared" si="96"/>
        <v>0</v>
      </c>
      <c r="S1268">
        <f t="shared" si="97"/>
        <v>0</v>
      </c>
      <c r="T1268" s="11">
        <f t="shared" si="98"/>
        <v>2019</v>
      </c>
      <c r="U1268" s="11">
        <f t="shared" si="99"/>
        <v>18656</v>
      </c>
    </row>
    <row r="1269" spans="1:21" x14ac:dyDescent="0.3">
      <c r="A1269" t="s">
        <v>1923</v>
      </c>
      <c r="B1269">
        <v>2018</v>
      </c>
      <c r="C1269" t="s">
        <v>56</v>
      </c>
      <c r="D1269" t="s">
        <v>18</v>
      </c>
      <c r="E1269">
        <v>26743</v>
      </c>
      <c r="F1269" t="s">
        <v>57</v>
      </c>
      <c r="G1269">
        <v>49000</v>
      </c>
      <c r="H1269" t="s">
        <v>20</v>
      </c>
      <c r="I1269" t="s">
        <v>78</v>
      </c>
      <c r="J1269" t="s">
        <v>1924</v>
      </c>
      <c r="K1269" t="s">
        <v>23</v>
      </c>
      <c r="L1269" t="s">
        <v>95</v>
      </c>
      <c r="M1269" t="s">
        <v>96</v>
      </c>
      <c r="N1269" t="s">
        <v>89</v>
      </c>
      <c r="O1269" t="s">
        <v>27</v>
      </c>
      <c r="P1269" s="1">
        <v>44780</v>
      </c>
      <c r="Q1269">
        <f t="shared" si="95"/>
        <v>0</v>
      </c>
      <c r="R1269">
        <f t="shared" si="96"/>
        <v>0</v>
      </c>
      <c r="S1269">
        <f t="shared" si="97"/>
        <v>0</v>
      </c>
      <c r="T1269" s="11">
        <f t="shared" si="98"/>
        <v>2018</v>
      </c>
      <c r="U1269" s="11">
        <f t="shared" si="99"/>
        <v>26743</v>
      </c>
    </row>
    <row r="1270" spans="1:21" x14ac:dyDescent="0.3">
      <c r="A1270" t="s">
        <v>1925</v>
      </c>
      <c r="B1270">
        <v>2019</v>
      </c>
      <c r="C1270" t="s">
        <v>56</v>
      </c>
      <c r="D1270" t="s">
        <v>76</v>
      </c>
      <c r="E1270">
        <v>22744</v>
      </c>
      <c r="F1270" t="s">
        <v>71</v>
      </c>
      <c r="G1270">
        <v>56000</v>
      </c>
      <c r="H1270" t="s">
        <v>77</v>
      </c>
      <c r="I1270" t="s">
        <v>21</v>
      </c>
      <c r="J1270" t="s">
        <v>146</v>
      </c>
      <c r="K1270" t="s">
        <v>23</v>
      </c>
      <c r="N1270" t="s">
        <v>127</v>
      </c>
      <c r="O1270" t="s">
        <v>27</v>
      </c>
      <c r="P1270" s="1">
        <v>44780</v>
      </c>
      <c r="Q1270">
        <f t="shared" si="95"/>
        <v>0</v>
      </c>
      <c r="R1270">
        <f t="shared" si="96"/>
        <v>0</v>
      </c>
      <c r="S1270">
        <f t="shared" si="97"/>
        <v>0</v>
      </c>
      <c r="T1270" s="11">
        <f t="shared" si="98"/>
        <v>2019</v>
      </c>
      <c r="U1270" s="11">
        <f t="shared" si="99"/>
        <v>22744</v>
      </c>
    </row>
    <row r="1271" spans="1:21" x14ac:dyDescent="0.3">
      <c r="A1271" t="s">
        <v>1926</v>
      </c>
      <c r="B1271">
        <v>2019</v>
      </c>
      <c r="C1271" t="s">
        <v>56</v>
      </c>
      <c r="D1271" t="s">
        <v>32</v>
      </c>
      <c r="E1271">
        <v>39022</v>
      </c>
      <c r="F1271" t="s">
        <v>57</v>
      </c>
      <c r="G1271">
        <v>49600</v>
      </c>
      <c r="H1271" t="s">
        <v>20</v>
      </c>
      <c r="I1271" t="s">
        <v>78</v>
      </c>
      <c r="J1271" t="s">
        <v>275</v>
      </c>
      <c r="K1271" t="s">
        <v>23</v>
      </c>
      <c r="L1271" t="s">
        <v>95</v>
      </c>
      <c r="M1271" t="s">
        <v>96</v>
      </c>
      <c r="N1271" t="s">
        <v>89</v>
      </c>
      <c r="O1271" t="s">
        <v>27</v>
      </c>
      <c r="P1271" s="1">
        <v>44780</v>
      </c>
      <c r="Q1271">
        <f t="shared" si="95"/>
        <v>0</v>
      </c>
      <c r="R1271">
        <f t="shared" si="96"/>
        <v>0</v>
      </c>
      <c r="S1271">
        <f t="shared" si="97"/>
        <v>0</v>
      </c>
      <c r="T1271" s="11">
        <f t="shared" si="98"/>
        <v>2019</v>
      </c>
      <c r="U1271" s="11">
        <f t="shared" si="99"/>
        <v>39022</v>
      </c>
    </row>
    <row r="1272" spans="1:21" x14ac:dyDescent="0.3">
      <c r="A1272" t="s">
        <v>1927</v>
      </c>
      <c r="B1272">
        <v>2018</v>
      </c>
      <c r="C1272" t="s">
        <v>56</v>
      </c>
      <c r="D1272" t="s">
        <v>32</v>
      </c>
      <c r="E1272">
        <v>26454</v>
      </c>
      <c r="F1272" t="s">
        <v>234</v>
      </c>
      <c r="G1272">
        <v>48200</v>
      </c>
      <c r="H1272" t="s">
        <v>20</v>
      </c>
      <c r="I1272" t="s">
        <v>58</v>
      </c>
      <c r="J1272" t="s">
        <v>373</v>
      </c>
      <c r="K1272" t="s">
        <v>23</v>
      </c>
      <c r="L1272" t="s">
        <v>806</v>
      </c>
      <c r="N1272" t="s">
        <v>149</v>
      </c>
      <c r="O1272" t="s">
        <v>27</v>
      </c>
      <c r="P1272" s="1">
        <v>44780</v>
      </c>
      <c r="Q1272">
        <f t="shared" si="95"/>
        <v>0</v>
      </c>
      <c r="R1272">
        <f t="shared" si="96"/>
        <v>0</v>
      </c>
      <c r="S1272">
        <f t="shared" si="97"/>
        <v>0</v>
      </c>
      <c r="T1272" s="11">
        <f t="shared" si="98"/>
        <v>2018</v>
      </c>
      <c r="U1272" s="11">
        <f t="shared" si="99"/>
        <v>26454</v>
      </c>
    </row>
    <row r="1273" spans="1:21" x14ac:dyDescent="0.3">
      <c r="A1273" t="s">
        <v>1928</v>
      </c>
      <c r="B1273">
        <v>2019</v>
      </c>
      <c r="C1273" t="s">
        <v>56</v>
      </c>
      <c r="D1273" t="s">
        <v>93</v>
      </c>
      <c r="E1273">
        <v>23633</v>
      </c>
      <c r="F1273" t="s">
        <v>57</v>
      </c>
      <c r="G1273">
        <v>51300</v>
      </c>
      <c r="H1273" t="s">
        <v>20</v>
      </c>
      <c r="I1273" t="s">
        <v>58</v>
      </c>
      <c r="J1273" t="s">
        <v>842</v>
      </c>
      <c r="K1273" t="s">
        <v>23</v>
      </c>
      <c r="L1273" t="s">
        <v>87</v>
      </c>
      <c r="M1273" t="s">
        <v>88</v>
      </c>
      <c r="N1273" t="s">
        <v>89</v>
      </c>
      <c r="O1273" t="s">
        <v>27</v>
      </c>
      <c r="P1273" s="1">
        <v>44780</v>
      </c>
      <c r="Q1273">
        <f t="shared" si="95"/>
        <v>0</v>
      </c>
      <c r="R1273">
        <f t="shared" si="96"/>
        <v>0</v>
      </c>
      <c r="S1273">
        <f t="shared" si="97"/>
        <v>0</v>
      </c>
      <c r="T1273" s="11">
        <f t="shared" si="98"/>
        <v>2019</v>
      </c>
      <c r="U1273" s="11">
        <f t="shared" si="99"/>
        <v>23633</v>
      </c>
    </row>
    <row r="1274" spans="1:21" x14ac:dyDescent="0.3">
      <c r="A1274" t="s">
        <v>1929</v>
      </c>
      <c r="B1274">
        <v>2018</v>
      </c>
      <c r="C1274" t="s">
        <v>56</v>
      </c>
      <c r="D1274" t="s">
        <v>30</v>
      </c>
      <c r="E1274">
        <v>42740</v>
      </c>
      <c r="F1274" t="s">
        <v>57</v>
      </c>
      <c r="G1274">
        <v>47700</v>
      </c>
      <c r="H1274" t="s">
        <v>77</v>
      </c>
      <c r="I1274" t="s">
        <v>58</v>
      </c>
      <c r="J1274" t="s">
        <v>284</v>
      </c>
      <c r="K1274" t="s">
        <v>23</v>
      </c>
      <c r="L1274" t="s">
        <v>768</v>
      </c>
      <c r="M1274" t="s">
        <v>68</v>
      </c>
      <c r="N1274" t="s">
        <v>69</v>
      </c>
      <c r="O1274" t="s">
        <v>27</v>
      </c>
      <c r="P1274" s="1">
        <v>44780</v>
      </c>
      <c r="Q1274">
        <f t="shared" si="95"/>
        <v>0</v>
      </c>
      <c r="R1274">
        <f t="shared" si="96"/>
        <v>0</v>
      </c>
      <c r="S1274">
        <f t="shared" si="97"/>
        <v>0</v>
      </c>
      <c r="T1274" s="11">
        <f t="shared" si="98"/>
        <v>2018</v>
      </c>
      <c r="U1274" s="11">
        <f t="shared" si="99"/>
        <v>42740</v>
      </c>
    </row>
    <row r="1275" spans="1:21" x14ac:dyDescent="0.3">
      <c r="A1275" t="s">
        <v>1930</v>
      </c>
      <c r="B1275">
        <v>2018</v>
      </c>
      <c r="C1275" t="s">
        <v>56</v>
      </c>
      <c r="D1275" t="s">
        <v>76</v>
      </c>
      <c r="E1275">
        <v>43349</v>
      </c>
      <c r="F1275" t="s">
        <v>57</v>
      </c>
      <c r="G1275">
        <v>47700</v>
      </c>
      <c r="H1275" t="s">
        <v>20</v>
      </c>
      <c r="I1275" t="s">
        <v>78</v>
      </c>
      <c r="J1275" t="s">
        <v>347</v>
      </c>
      <c r="K1275" t="s">
        <v>23</v>
      </c>
      <c r="L1275" t="s">
        <v>67</v>
      </c>
      <c r="M1275" t="s">
        <v>68</v>
      </c>
      <c r="N1275" t="s">
        <v>69</v>
      </c>
      <c r="O1275" t="s">
        <v>27</v>
      </c>
      <c r="P1275" s="1">
        <v>44780</v>
      </c>
      <c r="Q1275">
        <f t="shared" si="95"/>
        <v>0</v>
      </c>
      <c r="R1275">
        <f t="shared" si="96"/>
        <v>0</v>
      </c>
      <c r="S1275">
        <f t="shared" si="97"/>
        <v>0</v>
      </c>
      <c r="T1275" s="11">
        <f t="shared" si="98"/>
        <v>2018</v>
      </c>
      <c r="U1275" s="11">
        <f t="shared" si="99"/>
        <v>43349</v>
      </c>
    </row>
    <row r="1276" spans="1:21" x14ac:dyDescent="0.3">
      <c r="A1276" t="s">
        <v>1931</v>
      </c>
      <c r="B1276">
        <v>2018</v>
      </c>
      <c r="C1276" t="s">
        <v>56</v>
      </c>
      <c r="D1276" t="s">
        <v>32</v>
      </c>
      <c r="E1276">
        <v>45240</v>
      </c>
      <c r="F1276" t="s">
        <v>57</v>
      </c>
      <c r="G1276">
        <v>49600</v>
      </c>
      <c r="H1276" t="s">
        <v>77</v>
      </c>
      <c r="I1276" t="s">
        <v>78</v>
      </c>
      <c r="J1276" t="s">
        <v>650</v>
      </c>
      <c r="K1276" t="s">
        <v>23</v>
      </c>
      <c r="L1276" t="s">
        <v>47</v>
      </c>
      <c r="M1276" t="s">
        <v>48</v>
      </c>
      <c r="N1276" t="s">
        <v>49</v>
      </c>
      <c r="O1276" t="s">
        <v>27</v>
      </c>
      <c r="P1276" s="1">
        <v>44780</v>
      </c>
      <c r="Q1276">
        <f t="shared" si="95"/>
        <v>0</v>
      </c>
      <c r="R1276">
        <f t="shared" si="96"/>
        <v>0</v>
      </c>
      <c r="S1276">
        <f t="shared" si="97"/>
        <v>0</v>
      </c>
      <c r="T1276" s="11">
        <f t="shared" si="98"/>
        <v>2018</v>
      </c>
      <c r="U1276" s="11">
        <f t="shared" si="99"/>
        <v>45240</v>
      </c>
    </row>
    <row r="1277" spans="1:21" x14ac:dyDescent="0.3">
      <c r="A1277" t="s">
        <v>1932</v>
      </c>
      <c r="B1277">
        <v>2019</v>
      </c>
      <c r="C1277" t="s">
        <v>56</v>
      </c>
      <c r="D1277" t="s">
        <v>53</v>
      </c>
      <c r="E1277">
        <v>46366</v>
      </c>
      <c r="F1277" t="s">
        <v>57</v>
      </c>
      <c r="G1277">
        <v>49700</v>
      </c>
      <c r="H1277" t="s">
        <v>20</v>
      </c>
      <c r="I1277" t="s">
        <v>58</v>
      </c>
      <c r="J1277" t="s">
        <v>59</v>
      </c>
      <c r="K1277" t="s">
        <v>23</v>
      </c>
      <c r="L1277" t="s">
        <v>67</v>
      </c>
      <c r="M1277" t="s">
        <v>68</v>
      </c>
      <c r="N1277" t="s">
        <v>69</v>
      </c>
      <c r="O1277" t="s">
        <v>27</v>
      </c>
      <c r="P1277" s="1">
        <v>44780</v>
      </c>
      <c r="Q1277">
        <f t="shared" si="95"/>
        <v>0</v>
      </c>
      <c r="R1277">
        <f t="shared" si="96"/>
        <v>0</v>
      </c>
      <c r="S1277">
        <f t="shared" si="97"/>
        <v>0</v>
      </c>
      <c r="T1277" s="11">
        <f t="shared" si="98"/>
        <v>2019</v>
      </c>
      <c r="U1277" s="11">
        <f t="shared" si="99"/>
        <v>46366</v>
      </c>
    </row>
    <row r="1278" spans="1:21" x14ac:dyDescent="0.3">
      <c r="A1278" t="s">
        <v>1933</v>
      </c>
      <c r="B1278">
        <v>2018</v>
      </c>
      <c r="C1278" t="s">
        <v>56</v>
      </c>
      <c r="D1278" t="s">
        <v>93</v>
      </c>
      <c r="E1278">
        <v>24926</v>
      </c>
      <c r="F1278" t="s">
        <v>57</v>
      </c>
      <c r="G1278">
        <v>49900</v>
      </c>
      <c r="H1278" t="s">
        <v>20</v>
      </c>
      <c r="I1278" t="s">
        <v>58</v>
      </c>
      <c r="J1278" t="s">
        <v>842</v>
      </c>
      <c r="K1278" t="s">
        <v>23</v>
      </c>
      <c r="L1278" t="s">
        <v>84</v>
      </c>
      <c r="M1278" t="s">
        <v>48</v>
      </c>
      <c r="N1278" t="s">
        <v>69</v>
      </c>
      <c r="O1278" t="s">
        <v>27</v>
      </c>
      <c r="P1278" s="1">
        <v>44780</v>
      </c>
      <c r="Q1278">
        <f t="shared" si="95"/>
        <v>0</v>
      </c>
      <c r="R1278">
        <f t="shared" si="96"/>
        <v>0</v>
      </c>
      <c r="S1278">
        <f t="shared" si="97"/>
        <v>0</v>
      </c>
      <c r="T1278" s="11">
        <f t="shared" si="98"/>
        <v>2018</v>
      </c>
      <c r="U1278" s="11">
        <f t="shared" si="99"/>
        <v>24926</v>
      </c>
    </row>
    <row r="1279" spans="1:21" x14ac:dyDescent="0.3">
      <c r="A1279" t="s">
        <v>1934</v>
      </c>
      <c r="B1279">
        <v>2019</v>
      </c>
      <c r="C1279" t="s">
        <v>56</v>
      </c>
      <c r="D1279" t="s">
        <v>30</v>
      </c>
      <c r="E1279">
        <v>41070</v>
      </c>
      <c r="F1279" t="s">
        <v>57</v>
      </c>
      <c r="G1279">
        <v>50100</v>
      </c>
      <c r="H1279" t="s">
        <v>20</v>
      </c>
      <c r="I1279" t="s">
        <v>78</v>
      </c>
      <c r="J1279" t="s">
        <v>124</v>
      </c>
      <c r="K1279" t="s">
        <v>23</v>
      </c>
      <c r="L1279" t="s">
        <v>84</v>
      </c>
      <c r="M1279" t="s">
        <v>48</v>
      </c>
      <c r="N1279" t="s">
        <v>69</v>
      </c>
      <c r="O1279" t="s">
        <v>27</v>
      </c>
      <c r="P1279" s="1">
        <v>44780</v>
      </c>
      <c r="Q1279">
        <f t="shared" si="95"/>
        <v>0</v>
      </c>
      <c r="R1279">
        <f t="shared" si="96"/>
        <v>0</v>
      </c>
      <c r="S1279">
        <f t="shared" si="97"/>
        <v>0</v>
      </c>
      <c r="T1279" s="11">
        <f t="shared" si="98"/>
        <v>2019</v>
      </c>
      <c r="U1279" s="11">
        <f t="shared" si="99"/>
        <v>41070</v>
      </c>
    </row>
    <row r="1280" spans="1:21" x14ac:dyDescent="0.3">
      <c r="A1280" t="s">
        <v>1935</v>
      </c>
      <c r="B1280">
        <v>2019</v>
      </c>
      <c r="C1280" t="s">
        <v>56</v>
      </c>
      <c r="D1280" t="s">
        <v>32</v>
      </c>
      <c r="E1280">
        <v>51087</v>
      </c>
      <c r="F1280" t="s">
        <v>57</v>
      </c>
      <c r="G1280">
        <v>51100</v>
      </c>
      <c r="H1280" t="s">
        <v>77</v>
      </c>
      <c r="I1280" t="s">
        <v>58</v>
      </c>
      <c r="J1280" t="s">
        <v>411</v>
      </c>
      <c r="K1280" t="s">
        <v>23</v>
      </c>
      <c r="L1280" t="s">
        <v>47</v>
      </c>
      <c r="M1280" t="s">
        <v>48</v>
      </c>
      <c r="N1280" t="s">
        <v>49</v>
      </c>
      <c r="O1280" t="s">
        <v>27</v>
      </c>
      <c r="P1280" s="1">
        <v>44780</v>
      </c>
      <c r="Q1280">
        <f t="shared" si="95"/>
        <v>0</v>
      </c>
      <c r="R1280">
        <f t="shared" si="96"/>
        <v>0</v>
      </c>
      <c r="S1280">
        <f t="shared" si="97"/>
        <v>0</v>
      </c>
      <c r="T1280" s="11">
        <f t="shared" si="98"/>
        <v>2019</v>
      </c>
      <c r="U1280" s="11">
        <f t="shared" si="99"/>
        <v>51087</v>
      </c>
    </row>
    <row r="1281" spans="1:21" x14ac:dyDescent="0.3">
      <c r="A1281" t="s">
        <v>1936</v>
      </c>
      <c r="B1281">
        <v>2020</v>
      </c>
      <c r="C1281" t="s">
        <v>56</v>
      </c>
      <c r="D1281" t="s">
        <v>93</v>
      </c>
      <c r="E1281">
        <v>34332</v>
      </c>
      <c r="F1281" t="s">
        <v>57</v>
      </c>
      <c r="G1281">
        <v>52400</v>
      </c>
      <c r="H1281" t="s">
        <v>20</v>
      </c>
      <c r="I1281" t="s">
        <v>58</v>
      </c>
      <c r="J1281" t="s">
        <v>842</v>
      </c>
      <c r="K1281" t="s">
        <v>23</v>
      </c>
      <c r="L1281" t="s">
        <v>67</v>
      </c>
      <c r="M1281" t="s">
        <v>68</v>
      </c>
      <c r="N1281" t="s">
        <v>69</v>
      </c>
      <c r="O1281" t="s">
        <v>27</v>
      </c>
      <c r="P1281" s="1">
        <v>44780</v>
      </c>
      <c r="Q1281">
        <f t="shared" si="95"/>
        <v>0</v>
      </c>
      <c r="R1281">
        <f t="shared" si="96"/>
        <v>0</v>
      </c>
      <c r="S1281">
        <f t="shared" si="97"/>
        <v>0</v>
      </c>
      <c r="T1281" s="11">
        <f t="shared" si="98"/>
        <v>2020</v>
      </c>
      <c r="U1281" s="11">
        <f t="shared" si="99"/>
        <v>34332</v>
      </c>
    </row>
    <row r="1282" spans="1:21" x14ac:dyDescent="0.3">
      <c r="A1282" t="s">
        <v>1937</v>
      </c>
      <c r="B1282">
        <v>2019</v>
      </c>
      <c r="C1282" t="s">
        <v>56</v>
      </c>
      <c r="D1282" t="s">
        <v>76</v>
      </c>
      <c r="E1282">
        <v>11118</v>
      </c>
      <c r="F1282" t="s">
        <v>57</v>
      </c>
      <c r="G1282">
        <v>53300</v>
      </c>
      <c r="H1282" t="s">
        <v>20</v>
      </c>
      <c r="I1282" t="s">
        <v>78</v>
      </c>
      <c r="J1282" t="s">
        <v>347</v>
      </c>
      <c r="K1282" t="s">
        <v>23</v>
      </c>
      <c r="L1282" t="s">
        <v>47</v>
      </c>
      <c r="M1282" t="s">
        <v>48</v>
      </c>
      <c r="N1282" t="s">
        <v>49</v>
      </c>
      <c r="O1282" t="s">
        <v>27</v>
      </c>
      <c r="P1282" s="1">
        <v>44780</v>
      </c>
      <c r="Q1282">
        <f t="shared" ref="Q1282:Q1345" si="100">--(C1282="ms")</f>
        <v>0</v>
      </c>
      <c r="R1282">
        <f t="shared" ref="R1282:R1345" si="101">--(C1282="mx")</f>
        <v>0</v>
      </c>
      <c r="S1282">
        <f t="shared" ref="S1282:S1345" si="102">--(C1282="my")</f>
        <v>0</v>
      </c>
      <c r="T1282" s="11">
        <f t="shared" ref="T1282:T1345" si="103">B1282</f>
        <v>2019</v>
      </c>
      <c r="U1282" s="11">
        <f t="shared" ref="U1282:U1345" si="104">E1282</f>
        <v>11118</v>
      </c>
    </row>
    <row r="1283" spans="1:21" x14ac:dyDescent="0.3">
      <c r="A1283" t="s">
        <v>1938</v>
      </c>
      <c r="B1283">
        <v>2020</v>
      </c>
      <c r="C1283" t="s">
        <v>56</v>
      </c>
      <c r="D1283" t="s">
        <v>53</v>
      </c>
      <c r="E1283">
        <v>28393</v>
      </c>
      <c r="F1283" t="s">
        <v>57</v>
      </c>
      <c r="G1283">
        <v>54000</v>
      </c>
      <c r="H1283" t="s">
        <v>20</v>
      </c>
      <c r="I1283" t="s">
        <v>78</v>
      </c>
      <c r="J1283" t="s">
        <v>564</v>
      </c>
      <c r="K1283" t="s">
        <v>23</v>
      </c>
      <c r="L1283" t="s">
        <v>47</v>
      </c>
      <c r="M1283" t="s">
        <v>48</v>
      </c>
      <c r="N1283" t="s">
        <v>49</v>
      </c>
      <c r="O1283" t="s">
        <v>27</v>
      </c>
      <c r="P1283" s="1">
        <v>44780</v>
      </c>
      <c r="Q1283">
        <f t="shared" si="100"/>
        <v>0</v>
      </c>
      <c r="R1283">
        <f t="shared" si="101"/>
        <v>0</v>
      </c>
      <c r="S1283">
        <f t="shared" si="102"/>
        <v>0</v>
      </c>
      <c r="T1283" s="11">
        <f t="shared" si="103"/>
        <v>2020</v>
      </c>
      <c r="U1283" s="11">
        <f t="shared" si="104"/>
        <v>28393</v>
      </c>
    </row>
    <row r="1284" spans="1:21" x14ac:dyDescent="0.3">
      <c r="A1284" t="s">
        <v>1939</v>
      </c>
      <c r="B1284">
        <v>2020</v>
      </c>
      <c r="C1284" t="s">
        <v>56</v>
      </c>
      <c r="D1284" t="s">
        <v>32</v>
      </c>
      <c r="E1284">
        <v>17702</v>
      </c>
      <c r="F1284" t="s">
        <v>57</v>
      </c>
      <c r="G1284">
        <v>56700</v>
      </c>
      <c r="H1284" t="s">
        <v>77</v>
      </c>
      <c r="I1284" t="s">
        <v>78</v>
      </c>
      <c r="J1284" t="s">
        <v>650</v>
      </c>
      <c r="K1284" t="s">
        <v>23</v>
      </c>
      <c r="L1284" t="s">
        <v>47</v>
      </c>
      <c r="M1284" t="s">
        <v>48</v>
      </c>
      <c r="N1284" t="s">
        <v>49</v>
      </c>
      <c r="O1284" t="s">
        <v>27</v>
      </c>
      <c r="P1284" s="1">
        <v>44780</v>
      </c>
      <c r="Q1284">
        <f t="shared" si="100"/>
        <v>0</v>
      </c>
      <c r="R1284">
        <f t="shared" si="101"/>
        <v>0</v>
      </c>
      <c r="S1284">
        <f t="shared" si="102"/>
        <v>0</v>
      </c>
      <c r="T1284" s="11">
        <f t="shared" si="103"/>
        <v>2020</v>
      </c>
      <c r="U1284" s="11">
        <f t="shared" si="104"/>
        <v>17702</v>
      </c>
    </row>
    <row r="1285" spans="1:21" x14ac:dyDescent="0.3">
      <c r="A1285" t="s">
        <v>1940</v>
      </c>
      <c r="B1285">
        <v>2020</v>
      </c>
      <c r="C1285" t="s">
        <v>56</v>
      </c>
      <c r="D1285" t="s">
        <v>32</v>
      </c>
      <c r="E1285">
        <v>15595</v>
      </c>
      <c r="F1285" t="s">
        <v>57</v>
      </c>
      <c r="G1285">
        <v>58200</v>
      </c>
      <c r="H1285" t="s">
        <v>20</v>
      </c>
      <c r="I1285" t="s">
        <v>58</v>
      </c>
      <c r="J1285" t="s">
        <v>168</v>
      </c>
      <c r="K1285" t="s">
        <v>23</v>
      </c>
      <c r="L1285" t="s">
        <v>47</v>
      </c>
      <c r="M1285" t="s">
        <v>48</v>
      </c>
      <c r="N1285" t="s">
        <v>49</v>
      </c>
      <c r="O1285" t="s">
        <v>27</v>
      </c>
      <c r="P1285" s="1">
        <v>44780</v>
      </c>
      <c r="Q1285">
        <f t="shared" si="100"/>
        <v>0</v>
      </c>
      <c r="R1285">
        <f t="shared" si="101"/>
        <v>0</v>
      </c>
      <c r="S1285">
        <f t="shared" si="102"/>
        <v>0</v>
      </c>
      <c r="T1285" s="11">
        <f t="shared" si="103"/>
        <v>2020</v>
      </c>
      <c r="U1285" s="11">
        <f t="shared" si="104"/>
        <v>15595</v>
      </c>
    </row>
    <row r="1286" spans="1:21" x14ac:dyDescent="0.3">
      <c r="A1286" t="s">
        <v>1941</v>
      </c>
      <c r="B1286">
        <v>2020</v>
      </c>
      <c r="C1286" t="s">
        <v>29</v>
      </c>
      <c r="D1286" t="s">
        <v>51</v>
      </c>
      <c r="E1286">
        <v>18123</v>
      </c>
      <c r="F1286" t="s">
        <v>177</v>
      </c>
      <c r="G1286">
        <v>108300</v>
      </c>
      <c r="H1286" t="s">
        <v>53</v>
      </c>
      <c r="I1286" t="s">
        <v>21</v>
      </c>
      <c r="J1286" t="s">
        <v>1942</v>
      </c>
      <c r="K1286" t="s">
        <v>23</v>
      </c>
      <c r="L1286" t="s">
        <v>47</v>
      </c>
      <c r="M1286" t="s">
        <v>48</v>
      </c>
      <c r="N1286" t="s">
        <v>49</v>
      </c>
      <c r="O1286" t="s">
        <v>27</v>
      </c>
      <c r="P1286" s="1">
        <v>44780</v>
      </c>
      <c r="Q1286">
        <f t="shared" si="100"/>
        <v>0</v>
      </c>
      <c r="R1286">
        <f t="shared" si="101"/>
        <v>1</v>
      </c>
      <c r="S1286">
        <f t="shared" si="102"/>
        <v>0</v>
      </c>
      <c r="T1286" s="11">
        <f t="shared" si="103"/>
        <v>2020</v>
      </c>
      <c r="U1286" s="11">
        <f t="shared" si="104"/>
        <v>18123</v>
      </c>
    </row>
    <row r="1287" spans="1:21" x14ac:dyDescent="0.3">
      <c r="A1287" t="s">
        <v>1943</v>
      </c>
      <c r="B1287">
        <v>2021</v>
      </c>
      <c r="C1287" t="s">
        <v>17</v>
      </c>
      <c r="D1287" t="s">
        <v>18</v>
      </c>
      <c r="E1287">
        <v>10977</v>
      </c>
      <c r="F1287" t="s">
        <v>19</v>
      </c>
      <c r="G1287">
        <v>72800</v>
      </c>
      <c r="H1287" t="s">
        <v>20</v>
      </c>
      <c r="I1287" t="s">
        <v>21</v>
      </c>
      <c r="J1287" t="s">
        <v>326</v>
      </c>
      <c r="K1287" t="s">
        <v>23</v>
      </c>
      <c r="L1287" t="s">
        <v>47</v>
      </c>
      <c r="M1287" t="s">
        <v>48</v>
      </c>
      <c r="N1287" t="s">
        <v>49</v>
      </c>
      <c r="O1287" t="s">
        <v>27</v>
      </c>
      <c r="P1287" s="1">
        <v>44780</v>
      </c>
      <c r="Q1287">
        <f t="shared" si="100"/>
        <v>0</v>
      </c>
      <c r="R1287">
        <f t="shared" si="101"/>
        <v>0</v>
      </c>
      <c r="S1287">
        <f t="shared" si="102"/>
        <v>1</v>
      </c>
      <c r="T1287" s="11">
        <f t="shared" si="103"/>
        <v>2021</v>
      </c>
      <c r="U1287" s="11">
        <f t="shared" si="104"/>
        <v>10977</v>
      </c>
    </row>
    <row r="1288" spans="1:21" x14ac:dyDescent="0.3">
      <c r="A1288" t="s">
        <v>1944</v>
      </c>
      <c r="B1288">
        <v>2021</v>
      </c>
      <c r="C1288" t="s">
        <v>17</v>
      </c>
      <c r="D1288" t="s">
        <v>76</v>
      </c>
      <c r="E1288">
        <v>9735</v>
      </c>
      <c r="F1288" t="s">
        <v>207</v>
      </c>
      <c r="G1288">
        <v>73900</v>
      </c>
      <c r="H1288" t="s">
        <v>20</v>
      </c>
      <c r="I1288" t="s">
        <v>21</v>
      </c>
      <c r="J1288" t="s">
        <v>570</v>
      </c>
      <c r="K1288" t="s">
        <v>23</v>
      </c>
      <c r="L1288" t="s">
        <v>247</v>
      </c>
      <c r="M1288" t="s">
        <v>248</v>
      </c>
      <c r="N1288" t="s">
        <v>249</v>
      </c>
      <c r="O1288" t="s">
        <v>27</v>
      </c>
      <c r="P1288" s="1">
        <v>44780</v>
      </c>
      <c r="Q1288">
        <f t="shared" si="100"/>
        <v>0</v>
      </c>
      <c r="R1288">
        <f t="shared" si="101"/>
        <v>0</v>
      </c>
      <c r="S1288">
        <f t="shared" si="102"/>
        <v>1</v>
      </c>
      <c r="T1288" s="11">
        <f t="shared" si="103"/>
        <v>2021</v>
      </c>
      <c r="U1288" s="11">
        <f t="shared" si="104"/>
        <v>9735</v>
      </c>
    </row>
    <row r="1289" spans="1:21" x14ac:dyDescent="0.3">
      <c r="A1289" t="s">
        <v>1945</v>
      </c>
      <c r="B1289">
        <v>2017</v>
      </c>
      <c r="C1289" t="s">
        <v>37</v>
      </c>
      <c r="D1289" t="s">
        <v>76</v>
      </c>
      <c r="E1289">
        <v>27562</v>
      </c>
      <c r="F1289" t="s">
        <v>52</v>
      </c>
      <c r="G1289">
        <v>76400</v>
      </c>
      <c r="H1289" t="s">
        <v>53</v>
      </c>
      <c r="I1289" t="s">
        <v>78</v>
      </c>
      <c r="J1289" t="s">
        <v>1946</v>
      </c>
      <c r="K1289" t="s">
        <v>23</v>
      </c>
      <c r="L1289" t="s">
        <v>201</v>
      </c>
      <c r="M1289" t="s">
        <v>202</v>
      </c>
      <c r="N1289" t="s">
        <v>203</v>
      </c>
      <c r="O1289" t="s">
        <v>27</v>
      </c>
      <c r="P1289" s="1">
        <v>44779</v>
      </c>
      <c r="Q1289">
        <f t="shared" si="100"/>
        <v>1</v>
      </c>
      <c r="R1289">
        <f t="shared" si="101"/>
        <v>0</v>
      </c>
      <c r="S1289">
        <f t="shared" si="102"/>
        <v>0</v>
      </c>
      <c r="T1289" s="11">
        <f t="shared" si="103"/>
        <v>2017</v>
      </c>
      <c r="U1289" s="11">
        <f t="shared" si="104"/>
        <v>27562</v>
      </c>
    </row>
    <row r="1290" spans="1:21" x14ac:dyDescent="0.3">
      <c r="A1290" t="s">
        <v>1947</v>
      </c>
      <c r="B1290">
        <v>2018</v>
      </c>
      <c r="C1290" t="s">
        <v>56</v>
      </c>
      <c r="D1290" t="s">
        <v>53</v>
      </c>
      <c r="E1290">
        <v>42032</v>
      </c>
      <c r="F1290" t="s">
        <v>234</v>
      </c>
      <c r="G1290">
        <v>48100</v>
      </c>
      <c r="H1290" t="s">
        <v>20</v>
      </c>
      <c r="I1290" t="s">
        <v>78</v>
      </c>
      <c r="J1290" t="s">
        <v>403</v>
      </c>
      <c r="K1290" t="s">
        <v>23</v>
      </c>
      <c r="L1290" t="s">
        <v>876</v>
      </c>
      <c r="M1290" t="s">
        <v>220</v>
      </c>
      <c r="N1290" t="s">
        <v>221</v>
      </c>
      <c r="O1290" t="s">
        <v>27</v>
      </c>
      <c r="P1290" s="1">
        <v>44779</v>
      </c>
      <c r="Q1290">
        <f t="shared" si="100"/>
        <v>0</v>
      </c>
      <c r="R1290">
        <f t="shared" si="101"/>
        <v>0</v>
      </c>
      <c r="S1290">
        <f t="shared" si="102"/>
        <v>0</v>
      </c>
      <c r="T1290" s="11">
        <f t="shared" si="103"/>
        <v>2018</v>
      </c>
      <c r="U1290" s="11">
        <f t="shared" si="104"/>
        <v>42032</v>
      </c>
    </row>
    <row r="1291" spans="1:21" x14ac:dyDescent="0.3">
      <c r="A1291" t="s">
        <v>1948</v>
      </c>
      <c r="B1291">
        <v>2019</v>
      </c>
      <c r="C1291" t="s">
        <v>56</v>
      </c>
      <c r="D1291" t="s">
        <v>53</v>
      </c>
      <c r="E1291">
        <v>57884</v>
      </c>
      <c r="F1291" t="s">
        <v>57</v>
      </c>
      <c r="G1291">
        <v>47100</v>
      </c>
      <c r="H1291" t="s">
        <v>20</v>
      </c>
      <c r="I1291" t="s">
        <v>58</v>
      </c>
      <c r="J1291" t="s">
        <v>59</v>
      </c>
      <c r="K1291" t="s">
        <v>23</v>
      </c>
      <c r="L1291" t="s">
        <v>876</v>
      </c>
      <c r="M1291" t="s">
        <v>220</v>
      </c>
      <c r="N1291" t="s">
        <v>221</v>
      </c>
      <c r="O1291" t="s">
        <v>27</v>
      </c>
      <c r="P1291" s="1">
        <v>44779</v>
      </c>
      <c r="Q1291">
        <f t="shared" si="100"/>
        <v>0</v>
      </c>
      <c r="R1291">
        <f t="shared" si="101"/>
        <v>0</v>
      </c>
      <c r="S1291">
        <f t="shared" si="102"/>
        <v>0</v>
      </c>
      <c r="T1291" s="11">
        <f t="shared" si="103"/>
        <v>2019</v>
      </c>
      <c r="U1291" s="11">
        <f t="shared" si="104"/>
        <v>57884</v>
      </c>
    </row>
    <row r="1292" spans="1:21" x14ac:dyDescent="0.3">
      <c r="A1292" t="s">
        <v>1949</v>
      </c>
      <c r="B1292">
        <v>2018</v>
      </c>
      <c r="C1292" t="s">
        <v>56</v>
      </c>
      <c r="D1292" t="s">
        <v>18</v>
      </c>
      <c r="E1292">
        <v>34085</v>
      </c>
      <c r="F1292" t="s">
        <v>57</v>
      </c>
      <c r="G1292">
        <v>48400</v>
      </c>
      <c r="H1292" t="s">
        <v>20</v>
      </c>
      <c r="I1292" t="s">
        <v>58</v>
      </c>
      <c r="J1292" t="s">
        <v>253</v>
      </c>
      <c r="K1292" t="s">
        <v>23</v>
      </c>
      <c r="L1292" t="s">
        <v>224</v>
      </c>
      <c r="M1292" t="s">
        <v>202</v>
      </c>
      <c r="N1292" t="s">
        <v>203</v>
      </c>
      <c r="O1292" t="s">
        <v>27</v>
      </c>
      <c r="P1292" s="1">
        <v>44779</v>
      </c>
      <c r="Q1292">
        <f t="shared" si="100"/>
        <v>0</v>
      </c>
      <c r="R1292">
        <f t="shared" si="101"/>
        <v>0</v>
      </c>
      <c r="S1292">
        <f t="shared" si="102"/>
        <v>0</v>
      </c>
      <c r="T1292" s="11">
        <f t="shared" si="103"/>
        <v>2018</v>
      </c>
      <c r="U1292" s="11">
        <f t="shared" si="104"/>
        <v>34085</v>
      </c>
    </row>
    <row r="1293" spans="1:21" x14ac:dyDescent="0.3">
      <c r="A1293" t="s">
        <v>1950</v>
      </c>
      <c r="B1293">
        <v>2019</v>
      </c>
      <c r="C1293" t="s">
        <v>56</v>
      </c>
      <c r="D1293" t="s">
        <v>32</v>
      </c>
      <c r="E1293">
        <v>23166</v>
      </c>
      <c r="F1293" t="s">
        <v>57</v>
      </c>
      <c r="G1293">
        <v>51800</v>
      </c>
      <c r="H1293" t="s">
        <v>20</v>
      </c>
      <c r="I1293" t="s">
        <v>58</v>
      </c>
      <c r="J1293" t="s">
        <v>168</v>
      </c>
      <c r="K1293" t="s">
        <v>23</v>
      </c>
      <c r="L1293" t="s">
        <v>201</v>
      </c>
      <c r="M1293" t="s">
        <v>202</v>
      </c>
      <c r="N1293" t="s">
        <v>203</v>
      </c>
      <c r="O1293" t="s">
        <v>27</v>
      </c>
      <c r="P1293" s="1">
        <v>44779</v>
      </c>
      <c r="Q1293">
        <f t="shared" si="100"/>
        <v>0</v>
      </c>
      <c r="R1293">
        <f t="shared" si="101"/>
        <v>0</v>
      </c>
      <c r="S1293">
        <f t="shared" si="102"/>
        <v>0</v>
      </c>
      <c r="T1293" s="11">
        <f t="shared" si="103"/>
        <v>2019</v>
      </c>
      <c r="U1293" s="11">
        <f t="shared" si="104"/>
        <v>23166</v>
      </c>
    </row>
    <row r="1294" spans="1:21" x14ac:dyDescent="0.3">
      <c r="A1294" t="s">
        <v>1951</v>
      </c>
      <c r="B1294">
        <v>2018</v>
      </c>
      <c r="C1294" t="s">
        <v>56</v>
      </c>
      <c r="D1294" t="s">
        <v>93</v>
      </c>
      <c r="E1294">
        <v>32267</v>
      </c>
      <c r="F1294" t="s">
        <v>57</v>
      </c>
      <c r="G1294">
        <v>52100</v>
      </c>
      <c r="H1294" t="s">
        <v>20</v>
      </c>
      <c r="I1294" t="s">
        <v>58</v>
      </c>
      <c r="J1294" t="s">
        <v>842</v>
      </c>
      <c r="K1294" t="s">
        <v>23</v>
      </c>
      <c r="L1294" t="s">
        <v>876</v>
      </c>
      <c r="M1294" t="s">
        <v>220</v>
      </c>
      <c r="N1294" t="s">
        <v>221</v>
      </c>
      <c r="O1294" t="s">
        <v>27</v>
      </c>
      <c r="P1294" s="1">
        <v>44779</v>
      </c>
      <c r="Q1294">
        <f t="shared" si="100"/>
        <v>0</v>
      </c>
      <c r="R1294">
        <f t="shared" si="101"/>
        <v>0</v>
      </c>
      <c r="S1294">
        <f t="shared" si="102"/>
        <v>0</v>
      </c>
      <c r="T1294" s="11">
        <f t="shared" si="103"/>
        <v>2018</v>
      </c>
      <c r="U1294" s="11">
        <f t="shared" si="104"/>
        <v>32267</v>
      </c>
    </row>
    <row r="1295" spans="1:21" x14ac:dyDescent="0.3">
      <c r="A1295" t="s">
        <v>1952</v>
      </c>
      <c r="B1295">
        <v>2018</v>
      </c>
      <c r="C1295" t="s">
        <v>56</v>
      </c>
      <c r="D1295" t="s">
        <v>53</v>
      </c>
      <c r="E1295">
        <v>32836</v>
      </c>
      <c r="F1295" t="s">
        <v>57</v>
      </c>
      <c r="G1295">
        <v>55100</v>
      </c>
      <c r="H1295" t="s">
        <v>77</v>
      </c>
      <c r="I1295" t="s">
        <v>78</v>
      </c>
      <c r="J1295" t="s">
        <v>638</v>
      </c>
      <c r="K1295" t="s">
        <v>23</v>
      </c>
      <c r="L1295" t="s">
        <v>1160</v>
      </c>
      <c r="M1295" t="s">
        <v>202</v>
      </c>
      <c r="N1295" t="s">
        <v>203</v>
      </c>
      <c r="O1295" t="s">
        <v>27</v>
      </c>
      <c r="P1295" s="1">
        <v>44779</v>
      </c>
      <c r="Q1295">
        <f t="shared" si="100"/>
        <v>0</v>
      </c>
      <c r="R1295">
        <f t="shared" si="101"/>
        <v>0</v>
      </c>
      <c r="S1295">
        <f t="shared" si="102"/>
        <v>0</v>
      </c>
      <c r="T1295" s="11">
        <f t="shared" si="103"/>
        <v>2018</v>
      </c>
      <c r="U1295" s="11">
        <f t="shared" si="104"/>
        <v>32836</v>
      </c>
    </row>
    <row r="1296" spans="1:21" x14ac:dyDescent="0.3">
      <c r="A1296" t="s">
        <v>1953</v>
      </c>
      <c r="B1296">
        <v>2019</v>
      </c>
      <c r="C1296" t="s">
        <v>56</v>
      </c>
      <c r="D1296" t="s">
        <v>93</v>
      </c>
      <c r="E1296">
        <v>43719</v>
      </c>
      <c r="F1296" t="s">
        <v>65</v>
      </c>
      <c r="G1296">
        <v>47900</v>
      </c>
      <c r="H1296" t="s">
        <v>77</v>
      </c>
      <c r="I1296" t="s">
        <v>58</v>
      </c>
      <c r="J1296" t="s">
        <v>94</v>
      </c>
      <c r="K1296" t="s">
        <v>23</v>
      </c>
      <c r="L1296" t="s">
        <v>158</v>
      </c>
      <c r="M1296" t="s">
        <v>42</v>
      </c>
      <c r="N1296" t="s">
        <v>26</v>
      </c>
      <c r="O1296" t="s">
        <v>27</v>
      </c>
      <c r="P1296" s="1">
        <v>44779</v>
      </c>
      <c r="Q1296">
        <f t="shared" si="100"/>
        <v>0</v>
      </c>
      <c r="R1296">
        <f t="shared" si="101"/>
        <v>0</v>
      </c>
      <c r="S1296">
        <f t="shared" si="102"/>
        <v>0</v>
      </c>
      <c r="T1296" s="11">
        <f t="shared" si="103"/>
        <v>2019</v>
      </c>
      <c r="U1296" s="11">
        <f t="shared" si="104"/>
        <v>43719</v>
      </c>
    </row>
    <row r="1297" spans="1:21" x14ac:dyDescent="0.3">
      <c r="A1297" t="s">
        <v>1954</v>
      </c>
      <c r="B1297">
        <v>2019</v>
      </c>
      <c r="C1297" t="s">
        <v>56</v>
      </c>
      <c r="D1297" t="s">
        <v>53</v>
      </c>
      <c r="E1297">
        <v>27531</v>
      </c>
      <c r="F1297" t="s">
        <v>65</v>
      </c>
      <c r="G1297">
        <v>48800</v>
      </c>
      <c r="H1297" t="s">
        <v>20</v>
      </c>
      <c r="I1297" t="s">
        <v>58</v>
      </c>
      <c r="J1297" t="s">
        <v>66</v>
      </c>
      <c r="K1297" t="s">
        <v>23</v>
      </c>
      <c r="L1297" t="s">
        <v>24</v>
      </c>
      <c r="M1297" t="s">
        <v>25</v>
      </c>
      <c r="N1297" t="s">
        <v>26</v>
      </c>
      <c r="O1297" t="s">
        <v>27</v>
      </c>
      <c r="P1297" s="1">
        <v>44779</v>
      </c>
      <c r="Q1297">
        <f t="shared" si="100"/>
        <v>0</v>
      </c>
      <c r="R1297">
        <f t="shared" si="101"/>
        <v>0</v>
      </c>
      <c r="S1297">
        <f t="shared" si="102"/>
        <v>0</v>
      </c>
      <c r="T1297" s="11">
        <f t="shared" si="103"/>
        <v>2019</v>
      </c>
      <c r="U1297" s="11">
        <f t="shared" si="104"/>
        <v>27531</v>
      </c>
    </row>
    <row r="1298" spans="1:21" x14ac:dyDescent="0.3">
      <c r="A1298" t="s">
        <v>1955</v>
      </c>
      <c r="B1298">
        <v>2020</v>
      </c>
      <c r="C1298" t="s">
        <v>56</v>
      </c>
      <c r="D1298" t="s">
        <v>93</v>
      </c>
      <c r="E1298">
        <v>35170</v>
      </c>
      <c r="F1298" t="s">
        <v>65</v>
      </c>
      <c r="G1298">
        <v>50300</v>
      </c>
      <c r="H1298" t="s">
        <v>20</v>
      </c>
      <c r="I1298" t="s">
        <v>58</v>
      </c>
      <c r="J1298" t="s">
        <v>294</v>
      </c>
      <c r="K1298" t="s">
        <v>23</v>
      </c>
      <c r="L1298" t="s">
        <v>41</v>
      </c>
      <c r="M1298" t="s">
        <v>42</v>
      </c>
      <c r="N1298" t="s">
        <v>26</v>
      </c>
      <c r="O1298" t="s">
        <v>27</v>
      </c>
      <c r="P1298" s="1">
        <v>44779</v>
      </c>
      <c r="Q1298">
        <f t="shared" si="100"/>
        <v>0</v>
      </c>
      <c r="R1298">
        <f t="shared" si="101"/>
        <v>0</v>
      </c>
      <c r="S1298">
        <f t="shared" si="102"/>
        <v>0</v>
      </c>
      <c r="T1298" s="11">
        <f t="shared" si="103"/>
        <v>2020</v>
      </c>
      <c r="U1298" s="11">
        <f t="shared" si="104"/>
        <v>35170</v>
      </c>
    </row>
    <row r="1299" spans="1:21" x14ac:dyDescent="0.3">
      <c r="A1299" t="s">
        <v>1956</v>
      </c>
      <c r="B1299">
        <v>2020</v>
      </c>
      <c r="C1299" t="s">
        <v>56</v>
      </c>
      <c r="D1299" t="s">
        <v>32</v>
      </c>
      <c r="E1299">
        <v>22558</v>
      </c>
      <c r="F1299" t="s">
        <v>57</v>
      </c>
      <c r="G1299">
        <v>56700</v>
      </c>
      <c r="H1299" t="s">
        <v>77</v>
      </c>
      <c r="I1299" t="s">
        <v>58</v>
      </c>
      <c r="J1299" t="s">
        <v>411</v>
      </c>
      <c r="K1299" t="s">
        <v>23</v>
      </c>
      <c r="L1299" t="s">
        <v>24</v>
      </c>
      <c r="M1299" t="s">
        <v>25</v>
      </c>
      <c r="N1299" t="s">
        <v>26</v>
      </c>
      <c r="O1299" t="s">
        <v>27</v>
      </c>
      <c r="P1299" s="1">
        <v>44779</v>
      </c>
      <c r="Q1299">
        <f t="shared" si="100"/>
        <v>0</v>
      </c>
      <c r="R1299">
        <f t="shared" si="101"/>
        <v>0</v>
      </c>
      <c r="S1299">
        <f t="shared" si="102"/>
        <v>0</v>
      </c>
      <c r="T1299" s="11">
        <f t="shared" si="103"/>
        <v>2020</v>
      </c>
      <c r="U1299" s="11">
        <f t="shared" si="104"/>
        <v>22558</v>
      </c>
    </row>
    <row r="1300" spans="1:21" x14ac:dyDescent="0.3">
      <c r="A1300" t="s">
        <v>1957</v>
      </c>
      <c r="B1300">
        <v>2020</v>
      </c>
      <c r="C1300" t="s">
        <v>56</v>
      </c>
      <c r="D1300" t="s">
        <v>76</v>
      </c>
      <c r="E1300">
        <v>24187</v>
      </c>
      <c r="F1300" t="s">
        <v>65</v>
      </c>
      <c r="G1300">
        <v>53200</v>
      </c>
      <c r="H1300" t="s">
        <v>20</v>
      </c>
      <c r="I1300" t="s">
        <v>58</v>
      </c>
      <c r="J1300" t="s">
        <v>399</v>
      </c>
      <c r="K1300" t="s">
        <v>23</v>
      </c>
      <c r="L1300" t="s">
        <v>197</v>
      </c>
      <c r="M1300" t="s">
        <v>198</v>
      </c>
      <c r="N1300" t="s">
        <v>26</v>
      </c>
      <c r="O1300" t="s">
        <v>27</v>
      </c>
      <c r="P1300" s="1">
        <v>44779</v>
      </c>
      <c r="Q1300">
        <f t="shared" si="100"/>
        <v>0</v>
      </c>
      <c r="R1300">
        <f t="shared" si="101"/>
        <v>0</v>
      </c>
      <c r="S1300">
        <f t="shared" si="102"/>
        <v>0</v>
      </c>
      <c r="T1300" s="11">
        <f t="shared" si="103"/>
        <v>2020</v>
      </c>
      <c r="U1300" s="11">
        <f t="shared" si="104"/>
        <v>24187</v>
      </c>
    </row>
    <row r="1301" spans="1:21" x14ac:dyDescent="0.3">
      <c r="A1301" t="s">
        <v>1958</v>
      </c>
      <c r="B1301">
        <v>2020</v>
      </c>
      <c r="C1301" t="s">
        <v>56</v>
      </c>
      <c r="D1301" t="s">
        <v>93</v>
      </c>
      <c r="E1301">
        <v>9408</v>
      </c>
      <c r="F1301" t="s">
        <v>57</v>
      </c>
      <c r="G1301">
        <v>58000</v>
      </c>
      <c r="H1301" t="s">
        <v>20</v>
      </c>
      <c r="I1301" t="s">
        <v>78</v>
      </c>
      <c r="J1301" t="s">
        <v>218</v>
      </c>
      <c r="K1301" t="s">
        <v>23</v>
      </c>
      <c r="L1301" t="s">
        <v>24</v>
      </c>
      <c r="M1301" t="s">
        <v>25</v>
      </c>
      <c r="N1301" t="s">
        <v>26</v>
      </c>
      <c r="O1301" t="s">
        <v>27</v>
      </c>
      <c r="P1301" s="1">
        <v>44779</v>
      </c>
      <c r="Q1301">
        <f t="shared" si="100"/>
        <v>0</v>
      </c>
      <c r="R1301">
        <f t="shared" si="101"/>
        <v>0</v>
      </c>
      <c r="S1301">
        <f t="shared" si="102"/>
        <v>0</v>
      </c>
      <c r="T1301" s="11">
        <f t="shared" si="103"/>
        <v>2020</v>
      </c>
      <c r="U1301" s="11">
        <f t="shared" si="104"/>
        <v>9408</v>
      </c>
    </row>
    <row r="1302" spans="1:21" x14ac:dyDescent="0.3">
      <c r="A1302" t="s">
        <v>1959</v>
      </c>
      <c r="B1302">
        <v>2019</v>
      </c>
      <c r="C1302" t="s">
        <v>56</v>
      </c>
      <c r="D1302" t="s">
        <v>76</v>
      </c>
      <c r="E1302">
        <v>13278</v>
      </c>
      <c r="F1302" t="s">
        <v>57</v>
      </c>
      <c r="G1302">
        <v>54300</v>
      </c>
      <c r="H1302" t="s">
        <v>20</v>
      </c>
      <c r="I1302" t="s">
        <v>78</v>
      </c>
      <c r="J1302" t="s">
        <v>347</v>
      </c>
      <c r="K1302" t="s">
        <v>23</v>
      </c>
      <c r="L1302" t="s">
        <v>205</v>
      </c>
      <c r="M1302" t="s">
        <v>42</v>
      </c>
      <c r="N1302" t="s">
        <v>26</v>
      </c>
      <c r="O1302" t="s">
        <v>27</v>
      </c>
      <c r="P1302" s="1">
        <v>44779</v>
      </c>
      <c r="Q1302">
        <f t="shared" si="100"/>
        <v>0</v>
      </c>
      <c r="R1302">
        <f t="shared" si="101"/>
        <v>0</v>
      </c>
      <c r="S1302">
        <f t="shared" si="102"/>
        <v>0</v>
      </c>
      <c r="T1302" s="11">
        <f t="shared" si="103"/>
        <v>2019</v>
      </c>
      <c r="U1302" s="11">
        <f t="shared" si="104"/>
        <v>13278</v>
      </c>
    </row>
    <row r="1303" spans="1:21" x14ac:dyDescent="0.3">
      <c r="A1303" t="s">
        <v>1960</v>
      </c>
      <c r="B1303">
        <v>2021</v>
      </c>
      <c r="C1303" t="s">
        <v>37</v>
      </c>
      <c r="D1303" t="s">
        <v>53</v>
      </c>
      <c r="E1303">
        <v>2513</v>
      </c>
      <c r="F1303" t="s">
        <v>211</v>
      </c>
      <c r="G1303">
        <v>111000</v>
      </c>
      <c r="H1303" t="s">
        <v>53</v>
      </c>
      <c r="I1303" t="s">
        <v>39</v>
      </c>
      <c r="J1303" t="s">
        <v>552</v>
      </c>
      <c r="K1303" t="s">
        <v>23</v>
      </c>
      <c r="L1303" t="s">
        <v>456</v>
      </c>
      <c r="M1303" t="s">
        <v>164</v>
      </c>
      <c r="N1303" t="s">
        <v>26</v>
      </c>
      <c r="O1303" t="s">
        <v>27</v>
      </c>
      <c r="P1303" s="1">
        <v>44779</v>
      </c>
      <c r="Q1303">
        <f t="shared" si="100"/>
        <v>1</v>
      </c>
      <c r="R1303">
        <f t="shared" si="101"/>
        <v>0</v>
      </c>
      <c r="S1303">
        <f t="shared" si="102"/>
        <v>0</v>
      </c>
      <c r="T1303" s="11">
        <f t="shared" si="103"/>
        <v>2021</v>
      </c>
      <c r="U1303" s="11">
        <f t="shared" si="104"/>
        <v>2513</v>
      </c>
    </row>
    <row r="1304" spans="1:21" x14ac:dyDescent="0.3">
      <c r="A1304" t="s">
        <v>1961</v>
      </c>
      <c r="B1304">
        <v>2020</v>
      </c>
      <c r="C1304" t="s">
        <v>56</v>
      </c>
      <c r="D1304" t="s">
        <v>32</v>
      </c>
      <c r="E1304">
        <v>36635</v>
      </c>
      <c r="F1304" t="s">
        <v>57</v>
      </c>
      <c r="G1304">
        <v>54400</v>
      </c>
      <c r="H1304" t="s">
        <v>20</v>
      </c>
      <c r="I1304" t="s">
        <v>58</v>
      </c>
      <c r="J1304" t="s">
        <v>168</v>
      </c>
      <c r="K1304" t="s">
        <v>23</v>
      </c>
      <c r="L1304" t="s">
        <v>456</v>
      </c>
      <c r="M1304" t="s">
        <v>164</v>
      </c>
      <c r="N1304" t="s">
        <v>26</v>
      </c>
      <c r="O1304" t="s">
        <v>27</v>
      </c>
      <c r="P1304" s="1">
        <v>44779</v>
      </c>
      <c r="Q1304">
        <f t="shared" si="100"/>
        <v>0</v>
      </c>
      <c r="R1304">
        <f t="shared" si="101"/>
        <v>0</v>
      </c>
      <c r="S1304">
        <f t="shared" si="102"/>
        <v>0</v>
      </c>
      <c r="T1304" s="11">
        <f t="shared" si="103"/>
        <v>2020</v>
      </c>
      <c r="U1304" s="11">
        <f t="shared" si="104"/>
        <v>36635</v>
      </c>
    </row>
    <row r="1305" spans="1:21" x14ac:dyDescent="0.3">
      <c r="A1305" t="s">
        <v>1962</v>
      </c>
      <c r="B1305">
        <v>2019</v>
      </c>
      <c r="C1305" t="s">
        <v>56</v>
      </c>
      <c r="D1305" t="s">
        <v>32</v>
      </c>
      <c r="E1305">
        <v>27165</v>
      </c>
      <c r="F1305" t="s">
        <v>57</v>
      </c>
      <c r="G1305">
        <v>50100</v>
      </c>
      <c r="H1305" t="s">
        <v>20</v>
      </c>
      <c r="I1305" t="s">
        <v>78</v>
      </c>
      <c r="J1305" t="s">
        <v>1963</v>
      </c>
      <c r="K1305" t="s">
        <v>23</v>
      </c>
      <c r="L1305" t="s">
        <v>456</v>
      </c>
      <c r="M1305" t="s">
        <v>164</v>
      </c>
      <c r="N1305" t="s">
        <v>26</v>
      </c>
      <c r="O1305" t="s">
        <v>27</v>
      </c>
      <c r="P1305" s="1">
        <v>44779</v>
      </c>
      <c r="Q1305">
        <f t="shared" si="100"/>
        <v>0</v>
      </c>
      <c r="R1305">
        <f t="shared" si="101"/>
        <v>0</v>
      </c>
      <c r="S1305">
        <f t="shared" si="102"/>
        <v>0</v>
      </c>
      <c r="T1305" s="11">
        <f t="shared" si="103"/>
        <v>2019</v>
      </c>
      <c r="U1305" s="11">
        <f t="shared" si="104"/>
        <v>27165</v>
      </c>
    </row>
    <row r="1306" spans="1:21" x14ac:dyDescent="0.3">
      <c r="A1306" t="s">
        <v>1964</v>
      </c>
      <c r="B1306">
        <v>2020</v>
      </c>
      <c r="C1306" t="s">
        <v>56</v>
      </c>
      <c r="D1306" t="s">
        <v>30</v>
      </c>
      <c r="E1306">
        <v>14298</v>
      </c>
      <c r="F1306" t="s">
        <v>71</v>
      </c>
      <c r="G1306">
        <v>64700</v>
      </c>
      <c r="H1306" t="s">
        <v>77</v>
      </c>
      <c r="I1306" t="s">
        <v>21</v>
      </c>
      <c r="J1306" t="s">
        <v>965</v>
      </c>
      <c r="K1306" t="s">
        <v>23</v>
      </c>
      <c r="L1306" t="s">
        <v>513</v>
      </c>
      <c r="M1306" t="s">
        <v>42</v>
      </c>
      <c r="N1306" t="s">
        <v>26</v>
      </c>
      <c r="O1306" t="s">
        <v>27</v>
      </c>
      <c r="P1306" s="1">
        <v>44779</v>
      </c>
      <c r="Q1306">
        <f t="shared" si="100"/>
        <v>0</v>
      </c>
      <c r="R1306">
        <f t="shared" si="101"/>
        <v>0</v>
      </c>
      <c r="S1306">
        <f t="shared" si="102"/>
        <v>0</v>
      </c>
      <c r="T1306" s="11">
        <f t="shared" si="103"/>
        <v>2020</v>
      </c>
      <c r="U1306" s="11">
        <f t="shared" si="104"/>
        <v>14298</v>
      </c>
    </row>
    <row r="1307" spans="1:21" x14ac:dyDescent="0.3">
      <c r="A1307" t="s">
        <v>1965</v>
      </c>
      <c r="B1307">
        <v>2019</v>
      </c>
      <c r="C1307" t="s">
        <v>56</v>
      </c>
      <c r="D1307" t="s">
        <v>32</v>
      </c>
      <c r="E1307">
        <v>17726</v>
      </c>
      <c r="F1307" t="s">
        <v>65</v>
      </c>
      <c r="G1307">
        <v>51900</v>
      </c>
      <c r="H1307" t="s">
        <v>20</v>
      </c>
      <c r="I1307" t="s">
        <v>78</v>
      </c>
      <c r="J1307" t="s">
        <v>317</v>
      </c>
      <c r="K1307" t="s">
        <v>23</v>
      </c>
      <c r="L1307" t="s">
        <v>205</v>
      </c>
      <c r="M1307" t="s">
        <v>42</v>
      </c>
      <c r="N1307" t="s">
        <v>26</v>
      </c>
      <c r="O1307" t="s">
        <v>27</v>
      </c>
      <c r="P1307" s="1">
        <v>44779</v>
      </c>
      <c r="Q1307">
        <f t="shared" si="100"/>
        <v>0</v>
      </c>
      <c r="R1307">
        <f t="shared" si="101"/>
        <v>0</v>
      </c>
      <c r="S1307">
        <f t="shared" si="102"/>
        <v>0</v>
      </c>
      <c r="T1307" s="11">
        <f t="shared" si="103"/>
        <v>2019</v>
      </c>
      <c r="U1307" s="11">
        <f t="shared" si="104"/>
        <v>17726</v>
      </c>
    </row>
    <row r="1308" spans="1:21" x14ac:dyDescent="0.3">
      <c r="A1308" t="s">
        <v>1966</v>
      </c>
      <c r="B1308">
        <v>2021</v>
      </c>
      <c r="C1308" t="s">
        <v>37</v>
      </c>
      <c r="D1308" t="s">
        <v>30</v>
      </c>
      <c r="E1308">
        <v>9129</v>
      </c>
      <c r="F1308" t="s">
        <v>211</v>
      </c>
      <c r="G1308">
        <v>119800</v>
      </c>
      <c r="H1308" t="s">
        <v>45</v>
      </c>
      <c r="I1308" t="s">
        <v>39</v>
      </c>
      <c r="J1308" t="s">
        <v>420</v>
      </c>
      <c r="K1308" t="s">
        <v>23</v>
      </c>
      <c r="L1308" t="s">
        <v>456</v>
      </c>
      <c r="M1308" t="s">
        <v>164</v>
      </c>
      <c r="N1308" t="s">
        <v>26</v>
      </c>
      <c r="O1308" t="s">
        <v>27</v>
      </c>
      <c r="P1308" s="1">
        <v>44779</v>
      </c>
      <c r="Q1308">
        <f t="shared" si="100"/>
        <v>1</v>
      </c>
      <c r="R1308">
        <f t="shared" si="101"/>
        <v>0</v>
      </c>
      <c r="S1308">
        <f t="shared" si="102"/>
        <v>0</v>
      </c>
      <c r="T1308" s="11">
        <f t="shared" si="103"/>
        <v>2021</v>
      </c>
      <c r="U1308" s="11">
        <f t="shared" si="104"/>
        <v>9129</v>
      </c>
    </row>
    <row r="1309" spans="1:21" x14ac:dyDescent="0.3">
      <c r="A1309" t="s">
        <v>1967</v>
      </c>
      <c r="B1309">
        <v>2019</v>
      </c>
      <c r="C1309" t="s">
        <v>56</v>
      </c>
      <c r="D1309" t="s">
        <v>53</v>
      </c>
      <c r="E1309">
        <v>23009</v>
      </c>
      <c r="F1309" t="s">
        <v>71</v>
      </c>
      <c r="G1309">
        <v>60400</v>
      </c>
      <c r="H1309" t="s">
        <v>77</v>
      </c>
      <c r="I1309" t="s">
        <v>21</v>
      </c>
      <c r="J1309" t="s">
        <v>496</v>
      </c>
      <c r="K1309" t="s">
        <v>23</v>
      </c>
      <c r="L1309" t="s">
        <v>513</v>
      </c>
      <c r="M1309" t="s">
        <v>42</v>
      </c>
      <c r="N1309" t="s">
        <v>26</v>
      </c>
      <c r="O1309" t="s">
        <v>27</v>
      </c>
      <c r="P1309" s="1">
        <v>44779</v>
      </c>
      <c r="Q1309">
        <f t="shared" si="100"/>
        <v>0</v>
      </c>
      <c r="R1309">
        <f t="shared" si="101"/>
        <v>0</v>
      </c>
      <c r="S1309">
        <f t="shared" si="102"/>
        <v>0</v>
      </c>
      <c r="T1309" s="11">
        <f t="shared" si="103"/>
        <v>2019</v>
      </c>
      <c r="U1309" s="11">
        <f t="shared" si="104"/>
        <v>23009</v>
      </c>
    </row>
    <row r="1310" spans="1:21" x14ac:dyDescent="0.3">
      <c r="A1310" t="s">
        <v>1968</v>
      </c>
      <c r="B1310">
        <v>2019</v>
      </c>
      <c r="C1310" t="s">
        <v>37</v>
      </c>
      <c r="D1310" t="s">
        <v>53</v>
      </c>
      <c r="E1310">
        <v>24113</v>
      </c>
      <c r="F1310" t="s">
        <v>270</v>
      </c>
      <c r="G1310">
        <v>92800</v>
      </c>
      <c r="H1310" t="s">
        <v>32</v>
      </c>
      <c r="I1310" t="s">
        <v>39</v>
      </c>
      <c r="J1310" t="s">
        <v>1969</v>
      </c>
      <c r="K1310" t="s">
        <v>23</v>
      </c>
      <c r="L1310" t="s">
        <v>137</v>
      </c>
      <c r="M1310" t="s">
        <v>138</v>
      </c>
      <c r="N1310" t="s">
        <v>139</v>
      </c>
      <c r="O1310" t="s">
        <v>27</v>
      </c>
      <c r="P1310" s="1">
        <v>44779</v>
      </c>
      <c r="Q1310">
        <f t="shared" si="100"/>
        <v>1</v>
      </c>
      <c r="R1310">
        <f t="shared" si="101"/>
        <v>0</v>
      </c>
      <c r="S1310">
        <f t="shared" si="102"/>
        <v>0</v>
      </c>
      <c r="T1310" s="11">
        <f t="shared" si="103"/>
        <v>2019</v>
      </c>
      <c r="U1310" s="11">
        <f t="shared" si="104"/>
        <v>24113</v>
      </c>
    </row>
    <row r="1311" spans="1:21" x14ac:dyDescent="0.3">
      <c r="A1311" t="s">
        <v>1970</v>
      </c>
      <c r="B1311">
        <v>2021</v>
      </c>
      <c r="C1311" t="s">
        <v>17</v>
      </c>
      <c r="D1311" t="s">
        <v>18</v>
      </c>
      <c r="E1311">
        <v>7851</v>
      </c>
      <c r="F1311" t="s">
        <v>19</v>
      </c>
      <c r="G1311">
        <v>82600</v>
      </c>
      <c r="H1311" t="s">
        <v>77</v>
      </c>
      <c r="I1311" t="s">
        <v>21</v>
      </c>
      <c r="J1311" t="s">
        <v>1971</v>
      </c>
      <c r="K1311" t="s">
        <v>23</v>
      </c>
      <c r="L1311" t="s">
        <v>41</v>
      </c>
      <c r="M1311" t="s">
        <v>42</v>
      </c>
      <c r="N1311" t="s">
        <v>26</v>
      </c>
      <c r="O1311" t="s">
        <v>27</v>
      </c>
      <c r="P1311" s="1">
        <v>44779</v>
      </c>
      <c r="Q1311">
        <f t="shared" si="100"/>
        <v>0</v>
      </c>
      <c r="R1311">
        <f t="shared" si="101"/>
        <v>0</v>
      </c>
      <c r="S1311">
        <f t="shared" si="102"/>
        <v>1</v>
      </c>
      <c r="T1311" s="11">
        <f t="shared" si="103"/>
        <v>2021</v>
      </c>
      <c r="U1311" s="11">
        <f t="shared" si="104"/>
        <v>7851</v>
      </c>
    </row>
    <row r="1312" spans="1:21" x14ac:dyDescent="0.3">
      <c r="A1312" t="s">
        <v>1972</v>
      </c>
      <c r="B1312">
        <v>2017</v>
      </c>
      <c r="C1312" t="s">
        <v>56</v>
      </c>
      <c r="D1312" t="s">
        <v>18</v>
      </c>
      <c r="E1312">
        <v>10941</v>
      </c>
      <c r="F1312" t="s">
        <v>234</v>
      </c>
      <c r="G1312">
        <v>50700</v>
      </c>
      <c r="H1312" t="s">
        <v>20</v>
      </c>
      <c r="I1312" t="s">
        <v>58</v>
      </c>
      <c r="J1312" t="s">
        <v>288</v>
      </c>
      <c r="K1312" t="s">
        <v>23</v>
      </c>
      <c r="L1312" t="s">
        <v>137</v>
      </c>
      <c r="M1312" t="s">
        <v>138</v>
      </c>
      <c r="N1312" t="s">
        <v>139</v>
      </c>
      <c r="O1312" t="s">
        <v>27</v>
      </c>
      <c r="P1312" s="1">
        <v>44779</v>
      </c>
      <c r="Q1312">
        <f t="shared" si="100"/>
        <v>0</v>
      </c>
      <c r="R1312">
        <f t="shared" si="101"/>
        <v>0</v>
      </c>
      <c r="S1312">
        <f t="shared" si="102"/>
        <v>0</v>
      </c>
      <c r="T1312" s="11">
        <f t="shared" si="103"/>
        <v>2017</v>
      </c>
      <c r="U1312" s="11">
        <f t="shared" si="104"/>
        <v>10941</v>
      </c>
    </row>
    <row r="1313" spans="1:21" x14ac:dyDescent="0.3">
      <c r="A1313" t="s">
        <v>1973</v>
      </c>
      <c r="B1313">
        <v>2021</v>
      </c>
      <c r="C1313" t="s">
        <v>56</v>
      </c>
      <c r="D1313" t="s">
        <v>32</v>
      </c>
      <c r="E1313">
        <v>4912</v>
      </c>
      <c r="F1313" t="s">
        <v>65</v>
      </c>
      <c r="G1313">
        <v>58900</v>
      </c>
      <c r="H1313" t="s">
        <v>77</v>
      </c>
      <c r="I1313" t="s">
        <v>58</v>
      </c>
      <c r="J1313" t="s">
        <v>266</v>
      </c>
      <c r="K1313" t="s">
        <v>23</v>
      </c>
      <c r="L1313" t="s">
        <v>137</v>
      </c>
      <c r="M1313" t="s">
        <v>138</v>
      </c>
      <c r="N1313" t="s">
        <v>139</v>
      </c>
      <c r="O1313" t="s">
        <v>27</v>
      </c>
      <c r="P1313" s="1">
        <v>44779</v>
      </c>
      <c r="Q1313">
        <f t="shared" si="100"/>
        <v>0</v>
      </c>
      <c r="R1313">
        <f t="shared" si="101"/>
        <v>0</v>
      </c>
      <c r="S1313">
        <f t="shared" si="102"/>
        <v>0</v>
      </c>
      <c r="T1313" s="11">
        <f t="shared" si="103"/>
        <v>2021</v>
      </c>
      <c r="U1313" s="11">
        <f t="shared" si="104"/>
        <v>4912</v>
      </c>
    </row>
    <row r="1314" spans="1:21" x14ac:dyDescent="0.3">
      <c r="A1314" t="s">
        <v>1974</v>
      </c>
      <c r="B1314">
        <v>2018</v>
      </c>
      <c r="C1314" t="s">
        <v>37</v>
      </c>
      <c r="D1314" t="s">
        <v>76</v>
      </c>
      <c r="E1314">
        <v>13350</v>
      </c>
      <c r="F1314" t="s">
        <v>52</v>
      </c>
      <c r="G1314">
        <v>76900</v>
      </c>
      <c r="H1314" t="s">
        <v>53</v>
      </c>
      <c r="I1314" t="s">
        <v>78</v>
      </c>
      <c r="J1314" t="s">
        <v>1975</v>
      </c>
      <c r="K1314" t="s">
        <v>23</v>
      </c>
      <c r="L1314" t="s">
        <v>292</v>
      </c>
      <c r="M1314" t="s">
        <v>172</v>
      </c>
      <c r="N1314" t="s">
        <v>173</v>
      </c>
      <c r="O1314" t="s">
        <v>27</v>
      </c>
      <c r="P1314" s="1">
        <v>44779</v>
      </c>
      <c r="Q1314">
        <f t="shared" si="100"/>
        <v>1</v>
      </c>
      <c r="R1314">
        <f t="shared" si="101"/>
        <v>0</v>
      </c>
      <c r="S1314">
        <f t="shared" si="102"/>
        <v>0</v>
      </c>
      <c r="T1314" s="11">
        <f t="shared" si="103"/>
        <v>2018</v>
      </c>
      <c r="U1314" s="11">
        <f t="shared" si="104"/>
        <v>13350</v>
      </c>
    </row>
    <row r="1315" spans="1:21" x14ac:dyDescent="0.3">
      <c r="A1315" t="s">
        <v>1976</v>
      </c>
      <c r="B1315">
        <v>2019</v>
      </c>
      <c r="C1315" t="s">
        <v>56</v>
      </c>
      <c r="D1315" t="s">
        <v>32</v>
      </c>
      <c r="E1315">
        <v>34650</v>
      </c>
      <c r="F1315" t="s">
        <v>57</v>
      </c>
      <c r="G1315">
        <v>51400</v>
      </c>
      <c r="H1315" t="s">
        <v>20</v>
      </c>
      <c r="I1315" t="s">
        <v>78</v>
      </c>
      <c r="J1315" t="s">
        <v>275</v>
      </c>
      <c r="K1315" t="s">
        <v>23</v>
      </c>
      <c r="N1315" t="s">
        <v>127</v>
      </c>
      <c r="O1315" t="s">
        <v>27</v>
      </c>
      <c r="P1315" s="1">
        <v>44779</v>
      </c>
      <c r="Q1315">
        <f t="shared" si="100"/>
        <v>0</v>
      </c>
      <c r="R1315">
        <f t="shared" si="101"/>
        <v>0</v>
      </c>
      <c r="S1315">
        <f t="shared" si="102"/>
        <v>0</v>
      </c>
      <c r="T1315" s="11">
        <f t="shared" si="103"/>
        <v>2019</v>
      </c>
      <c r="U1315" s="11">
        <f t="shared" si="104"/>
        <v>34650</v>
      </c>
    </row>
    <row r="1316" spans="1:21" x14ac:dyDescent="0.3">
      <c r="A1316" t="s">
        <v>1977</v>
      </c>
      <c r="B1316">
        <v>2020</v>
      </c>
      <c r="C1316" t="s">
        <v>56</v>
      </c>
      <c r="D1316" t="s">
        <v>32</v>
      </c>
      <c r="E1316">
        <v>28564</v>
      </c>
      <c r="F1316" t="s">
        <v>57</v>
      </c>
      <c r="G1316">
        <v>53800</v>
      </c>
      <c r="H1316" t="s">
        <v>20</v>
      </c>
      <c r="I1316" t="s">
        <v>58</v>
      </c>
      <c r="J1316" t="s">
        <v>168</v>
      </c>
      <c r="K1316" t="s">
        <v>23</v>
      </c>
      <c r="L1316" t="s">
        <v>179</v>
      </c>
      <c r="M1316" t="s">
        <v>180</v>
      </c>
      <c r="N1316" t="s">
        <v>173</v>
      </c>
      <c r="O1316" t="s">
        <v>27</v>
      </c>
      <c r="P1316" s="1">
        <v>44779</v>
      </c>
      <c r="Q1316">
        <f t="shared" si="100"/>
        <v>0</v>
      </c>
      <c r="R1316">
        <f t="shared" si="101"/>
        <v>0</v>
      </c>
      <c r="S1316">
        <f t="shared" si="102"/>
        <v>0</v>
      </c>
      <c r="T1316" s="11">
        <f t="shared" si="103"/>
        <v>2020</v>
      </c>
      <c r="U1316" s="11">
        <f t="shared" si="104"/>
        <v>28564</v>
      </c>
    </row>
    <row r="1317" spans="1:21" x14ac:dyDescent="0.3">
      <c r="A1317" t="s">
        <v>1978</v>
      </c>
      <c r="B1317">
        <v>2018</v>
      </c>
      <c r="C1317" t="s">
        <v>56</v>
      </c>
      <c r="D1317" t="s">
        <v>32</v>
      </c>
      <c r="E1317">
        <v>43038</v>
      </c>
      <c r="F1317" t="s">
        <v>57</v>
      </c>
      <c r="G1317">
        <v>46600</v>
      </c>
      <c r="H1317" t="s">
        <v>20</v>
      </c>
      <c r="I1317" t="s">
        <v>58</v>
      </c>
      <c r="J1317" t="s">
        <v>168</v>
      </c>
      <c r="K1317" t="s">
        <v>23</v>
      </c>
      <c r="L1317" t="s">
        <v>1730</v>
      </c>
      <c r="M1317" t="s">
        <v>148</v>
      </c>
      <c r="N1317" t="s">
        <v>149</v>
      </c>
      <c r="O1317" t="s">
        <v>27</v>
      </c>
      <c r="P1317" s="1">
        <v>44779</v>
      </c>
      <c r="Q1317">
        <f t="shared" si="100"/>
        <v>0</v>
      </c>
      <c r="R1317">
        <f t="shared" si="101"/>
        <v>0</v>
      </c>
      <c r="S1317">
        <f t="shared" si="102"/>
        <v>0</v>
      </c>
      <c r="T1317" s="11">
        <f t="shared" si="103"/>
        <v>2018</v>
      </c>
      <c r="U1317" s="11">
        <f t="shared" si="104"/>
        <v>43038</v>
      </c>
    </row>
    <row r="1318" spans="1:21" x14ac:dyDescent="0.3">
      <c r="A1318" t="s">
        <v>1979</v>
      </c>
      <c r="B1318">
        <v>2018</v>
      </c>
      <c r="C1318" t="s">
        <v>56</v>
      </c>
      <c r="D1318" t="s">
        <v>30</v>
      </c>
      <c r="E1318">
        <v>31444</v>
      </c>
      <c r="F1318" t="s">
        <v>234</v>
      </c>
      <c r="G1318">
        <v>48500</v>
      </c>
      <c r="H1318" t="s">
        <v>20</v>
      </c>
      <c r="I1318" t="s">
        <v>58</v>
      </c>
      <c r="J1318" t="s">
        <v>1269</v>
      </c>
      <c r="K1318" t="s">
        <v>23</v>
      </c>
      <c r="N1318" t="s">
        <v>127</v>
      </c>
      <c r="O1318" t="s">
        <v>27</v>
      </c>
      <c r="P1318" s="1">
        <v>44779</v>
      </c>
      <c r="Q1318">
        <f t="shared" si="100"/>
        <v>0</v>
      </c>
      <c r="R1318">
        <f t="shared" si="101"/>
        <v>0</v>
      </c>
      <c r="S1318">
        <f t="shared" si="102"/>
        <v>0</v>
      </c>
      <c r="T1318" s="11">
        <f t="shared" si="103"/>
        <v>2018</v>
      </c>
      <c r="U1318" s="11">
        <f t="shared" si="104"/>
        <v>31444</v>
      </c>
    </row>
    <row r="1319" spans="1:21" x14ac:dyDescent="0.3">
      <c r="A1319" t="s">
        <v>1980</v>
      </c>
      <c r="B1319">
        <v>2020</v>
      </c>
      <c r="C1319" t="s">
        <v>56</v>
      </c>
      <c r="D1319" t="s">
        <v>30</v>
      </c>
      <c r="E1319">
        <v>27046</v>
      </c>
      <c r="F1319" t="s">
        <v>57</v>
      </c>
      <c r="G1319">
        <v>57600</v>
      </c>
      <c r="H1319" t="s">
        <v>20</v>
      </c>
      <c r="I1319" t="s">
        <v>58</v>
      </c>
      <c r="J1319" t="s">
        <v>413</v>
      </c>
      <c r="K1319" t="s">
        <v>23</v>
      </c>
      <c r="L1319" t="s">
        <v>543</v>
      </c>
      <c r="M1319" t="s">
        <v>544</v>
      </c>
      <c r="N1319" t="s">
        <v>545</v>
      </c>
      <c r="O1319" t="s">
        <v>27</v>
      </c>
      <c r="P1319" s="1">
        <v>44779</v>
      </c>
      <c r="Q1319">
        <f t="shared" si="100"/>
        <v>0</v>
      </c>
      <c r="R1319">
        <f t="shared" si="101"/>
        <v>0</v>
      </c>
      <c r="S1319">
        <f t="shared" si="102"/>
        <v>0</v>
      </c>
      <c r="T1319" s="11">
        <f t="shared" si="103"/>
        <v>2020</v>
      </c>
      <c r="U1319" s="11">
        <f t="shared" si="104"/>
        <v>27046</v>
      </c>
    </row>
    <row r="1320" spans="1:21" x14ac:dyDescent="0.3">
      <c r="A1320" t="s">
        <v>1981</v>
      </c>
      <c r="B1320">
        <v>2019</v>
      </c>
      <c r="C1320" t="s">
        <v>56</v>
      </c>
      <c r="D1320" t="s">
        <v>53</v>
      </c>
      <c r="E1320">
        <v>21408</v>
      </c>
      <c r="F1320" t="s">
        <v>57</v>
      </c>
      <c r="G1320">
        <v>49400</v>
      </c>
      <c r="H1320" t="s">
        <v>20</v>
      </c>
      <c r="I1320" t="s">
        <v>58</v>
      </c>
      <c r="J1320" t="s">
        <v>59</v>
      </c>
      <c r="K1320" t="s">
        <v>23</v>
      </c>
      <c r="N1320" t="s">
        <v>127</v>
      </c>
      <c r="O1320" t="s">
        <v>27</v>
      </c>
      <c r="P1320" s="1">
        <v>44779</v>
      </c>
      <c r="Q1320">
        <f t="shared" si="100"/>
        <v>0</v>
      </c>
      <c r="R1320">
        <f t="shared" si="101"/>
        <v>0</v>
      </c>
      <c r="S1320">
        <f t="shared" si="102"/>
        <v>0</v>
      </c>
      <c r="T1320" s="11">
        <f t="shared" si="103"/>
        <v>2019</v>
      </c>
      <c r="U1320" s="11">
        <f t="shared" si="104"/>
        <v>21408</v>
      </c>
    </row>
    <row r="1321" spans="1:21" x14ac:dyDescent="0.3">
      <c r="A1321" t="s">
        <v>1982</v>
      </c>
      <c r="B1321">
        <v>2022</v>
      </c>
      <c r="C1321" t="s">
        <v>56</v>
      </c>
      <c r="D1321" t="s">
        <v>53</v>
      </c>
      <c r="E1321">
        <v>8295</v>
      </c>
      <c r="F1321" t="s">
        <v>508</v>
      </c>
      <c r="G1321">
        <v>69000</v>
      </c>
      <c r="H1321" t="s">
        <v>20</v>
      </c>
      <c r="I1321" t="s">
        <v>78</v>
      </c>
      <c r="J1321" t="s">
        <v>564</v>
      </c>
      <c r="K1321" t="s">
        <v>23</v>
      </c>
      <c r="L1321" t="s">
        <v>494</v>
      </c>
      <c r="M1321" t="s">
        <v>113</v>
      </c>
      <c r="N1321" t="s">
        <v>114</v>
      </c>
      <c r="O1321" t="s">
        <v>27</v>
      </c>
      <c r="P1321" s="1">
        <v>44779</v>
      </c>
      <c r="Q1321">
        <f t="shared" si="100"/>
        <v>0</v>
      </c>
      <c r="R1321">
        <f t="shared" si="101"/>
        <v>0</v>
      </c>
      <c r="S1321">
        <f t="shared" si="102"/>
        <v>0</v>
      </c>
      <c r="T1321" s="11">
        <f t="shared" si="103"/>
        <v>2022</v>
      </c>
      <c r="U1321" s="11">
        <f t="shared" si="104"/>
        <v>8295</v>
      </c>
    </row>
    <row r="1322" spans="1:21" x14ac:dyDescent="0.3">
      <c r="A1322" t="s">
        <v>1983</v>
      </c>
      <c r="B1322">
        <v>2019</v>
      </c>
      <c r="C1322" t="s">
        <v>56</v>
      </c>
      <c r="D1322" t="s">
        <v>32</v>
      </c>
      <c r="E1322">
        <v>32844</v>
      </c>
      <c r="F1322" t="s">
        <v>71</v>
      </c>
      <c r="G1322">
        <v>60900</v>
      </c>
      <c r="H1322" t="s">
        <v>77</v>
      </c>
      <c r="I1322" t="s">
        <v>21</v>
      </c>
      <c r="J1322" t="s">
        <v>121</v>
      </c>
      <c r="K1322" t="s">
        <v>23</v>
      </c>
      <c r="L1322" t="s">
        <v>112</v>
      </c>
      <c r="M1322" t="s">
        <v>113</v>
      </c>
      <c r="N1322" t="s">
        <v>114</v>
      </c>
      <c r="O1322" t="s">
        <v>27</v>
      </c>
      <c r="P1322" s="1">
        <v>44779</v>
      </c>
      <c r="Q1322">
        <f t="shared" si="100"/>
        <v>0</v>
      </c>
      <c r="R1322">
        <f t="shared" si="101"/>
        <v>0</v>
      </c>
      <c r="S1322">
        <f t="shared" si="102"/>
        <v>0</v>
      </c>
      <c r="T1322" s="11">
        <f t="shared" si="103"/>
        <v>2019</v>
      </c>
      <c r="U1322" s="11">
        <f t="shared" si="104"/>
        <v>32844</v>
      </c>
    </row>
    <row r="1323" spans="1:21" x14ac:dyDescent="0.3">
      <c r="A1323" t="s">
        <v>1984</v>
      </c>
      <c r="B1323">
        <v>2021</v>
      </c>
      <c r="C1323" t="s">
        <v>17</v>
      </c>
      <c r="D1323" t="s">
        <v>32</v>
      </c>
      <c r="E1323">
        <v>13587</v>
      </c>
      <c r="F1323" t="s">
        <v>19</v>
      </c>
      <c r="G1323">
        <v>78100</v>
      </c>
      <c r="H1323" t="s">
        <v>77</v>
      </c>
      <c r="I1323" t="s">
        <v>21</v>
      </c>
      <c r="J1323" t="s">
        <v>802</v>
      </c>
      <c r="K1323" t="s">
        <v>23</v>
      </c>
      <c r="L1323" t="s">
        <v>490</v>
      </c>
      <c r="M1323" t="s">
        <v>491</v>
      </c>
      <c r="N1323" t="s">
        <v>406</v>
      </c>
      <c r="O1323" t="s">
        <v>27</v>
      </c>
      <c r="P1323" s="1">
        <v>44779</v>
      </c>
      <c r="Q1323">
        <f t="shared" si="100"/>
        <v>0</v>
      </c>
      <c r="R1323">
        <f t="shared" si="101"/>
        <v>0</v>
      </c>
      <c r="S1323">
        <f t="shared" si="102"/>
        <v>1</v>
      </c>
      <c r="T1323" s="11">
        <f t="shared" si="103"/>
        <v>2021</v>
      </c>
      <c r="U1323" s="11">
        <f t="shared" si="104"/>
        <v>13587</v>
      </c>
    </row>
    <row r="1324" spans="1:21" x14ac:dyDescent="0.3">
      <c r="A1324" t="s">
        <v>1985</v>
      </c>
      <c r="B1324">
        <v>2020</v>
      </c>
      <c r="C1324" t="s">
        <v>29</v>
      </c>
      <c r="D1324" t="s">
        <v>30</v>
      </c>
      <c r="E1324">
        <v>58131</v>
      </c>
      <c r="F1324" t="s">
        <v>31</v>
      </c>
      <c r="G1324">
        <v>102700</v>
      </c>
      <c r="H1324" t="s">
        <v>53</v>
      </c>
      <c r="I1324" t="s">
        <v>21</v>
      </c>
      <c r="J1324" t="s">
        <v>1986</v>
      </c>
      <c r="K1324" t="s">
        <v>23</v>
      </c>
      <c r="L1324" t="s">
        <v>122</v>
      </c>
      <c r="M1324" t="s">
        <v>113</v>
      </c>
      <c r="N1324" t="s">
        <v>114</v>
      </c>
      <c r="O1324" t="s">
        <v>27</v>
      </c>
      <c r="P1324" s="1">
        <v>44779</v>
      </c>
      <c r="Q1324">
        <f t="shared" si="100"/>
        <v>0</v>
      </c>
      <c r="R1324">
        <f t="shared" si="101"/>
        <v>1</v>
      </c>
      <c r="S1324">
        <f t="shared" si="102"/>
        <v>0</v>
      </c>
      <c r="T1324" s="11">
        <f t="shared" si="103"/>
        <v>2020</v>
      </c>
      <c r="U1324" s="11">
        <f t="shared" si="104"/>
        <v>58131</v>
      </c>
    </row>
    <row r="1325" spans="1:21" x14ac:dyDescent="0.3">
      <c r="A1325" t="s">
        <v>1987</v>
      </c>
      <c r="B1325">
        <v>2019</v>
      </c>
      <c r="C1325" t="s">
        <v>56</v>
      </c>
      <c r="D1325" t="s">
        <v>32</v>
      </c>
      <c r="E1325">
        <v>7536</v>
      </c>
      <c r="F1325" t="s">
        <v>57</v>
      </c>
      <c r="G1325">
        <v>53700</v>
      </c>
      <c r="H1325" t="s">
        <v>20</v>
      </c>
      <c r="I1325" t="s">
        <v>78</v>
      </c>
      <c r="J1325" t="s">
        <v>275</v>
      </c>
      <c r="K1325" t="s">
        <v>23</v>
      </c>
      <c r="L1325" t="s">
        <v>122</v>
      </c>
      <c r="M1325" t="s">
        <v>113</v>
      </c>
      <c r="N1325" t="s">
        <v>114</v>
      </c>
      <c r="O1325" t="s">
        <v>27</v>
      </c>
      <c r="P1325" s="1">
        <v>44779</v>
      </c>
      <c r="Q1325">
        <f t="shared" si="100"/>
        <v>0</v>
      </c>
      <c r="R1325">
        <f t="shared" si="101"/>
        <v>0</v>
      </c>
      <c r="S1325">
        <f t="shared" si="102"/>
        <v>0</v>
      </c>
      <c r="T1325" s="11">
        <f t="shared" si="103"/>
        <v>2019</v>
      </c>
      <c r="U1325" s="11">
        <f t="shared" si="104"/>
        <v>7536</v>
      </c>
    </row>
    <row r="1326" spans="1:21" x14ac:dyDescent="0.3">
      <c r="A1326" t="s">
        <v>1988</v>
      </c>
      <c r="B1326">
        <v>2019</v>
      </c>
      <c r="C1326" t="s">
        <v>37</v>
      </c>
      <c r="D1326" t="s">
        <v>53</v>
      </c>
      <c r="E1326">
        <v>22481</v>
      </c>
      <c r="F1326" t="s">
        <v>52</v>
      </c>
      <c r="G1326">
        <v>84500</v>
      </c>
      <c r="H1326" t="s">
        <v>32</v>
      </c>
      <c r="I1326" t="s">
        <v>78</v>
      </c>
      <c r="J1326" t="s">
        <v>1989</v>
      </c>
      <c r="K1326" t="s">
        <v>23</v>
      </c>
      <c r="L1326" t="s">
        <v>87</v>
      </c>
      <c r="M1326" t="s">
        <v>88</v>
      </c>
      <c r="N1326" t="s">
        <v>89</v>
      </c>
      <c r="O1326" t="s">
        <v>27</v>
      </c>
      <c r="P1326" s="1">
        <v>44779</v>
      </c>
      <c r="Q1326">
        <f t="shared" si="100"/>
        <v>1</v>
      </c>
      <c r="R1326">
        <f t="shared" si="101"/>
        <v>0</v>
      </c>
      <c r="S1326">
        <f t="shared" si="102"/>
        <v>0</v>
      </c>
      <c r="T1326" s="11">
        <f t="shared" si="103"/>
        <v>2019</v>
      </c>
      <c r="U1326" s="11">
        <f t="shared" si="104"/>
        <v>22481</v>
      </c>
    </row>
    <row r="1327" spans="1:21" x14ac:dyDescent="0.3">
      <c r="A1327" t="s">
        <v>1990</v>
      </c>
      <c r="B1327">
        <v>2021</v>
      </c>
      <c r="C1327" t="s">
        <v>17</v>
      </c>
      <c r="D1327" t="s">
        <v>53</v>
      </c>
      <c r="E1327">
        <v>3139</v>
      </c>
      <c r="F1327" t="s">
        <v>19</v>
      </c>
      <c r="G1327">
        <v>86700</v>
      </c>
      <c r="H1327" t="s">
        <v>77</v>
      </c>
      <c r="I1327" t="s">
        <v>21</v>
      </c>
      <c r="J1327" t="s">
        <v>1991</v>
      </c>
      <c r="K1327" t="s">
        <v>23</v>
      </c>
      <c r="L1327" t="s">
        <v>680</v>
      </c>
      <c r="M1327" t="s">
        <v>113</v>
      </c>
      <c r="N1327" t="s">
        <v>114</v>
      </c>
      <c r="O1327" t="s">
        <v>27</v>
      </c>
      <c r="P1327" s="1">
        <v>44779</v>
      </c>
      <c r="Q1327">
        <f t="shared" si="100"/>
        <v>0</v>
      </c>
      <c r="R1327">
        <f t="shared" si="101"/>
        <v>0</v>
      </c>
      <c r="S1327">
        <f t="shared" si="102"/>
        <v>1</v>
      </c>
      <c r="T1327" s="11">
        <f t="shared" si="103"/>
        <v>2021</v>
      </c>
      <c r="U1327" s="11">
        <f t="shared" si="104"/>
        <v>3139</v>
      </c>
    </row>
    <row r="1328" spans="1:21" x14ac:dyDescent="0.3">
      <c r="A1328" t="s">
        <v>1992</v>
      </c>
      <c r="B1328">
        <v>2019</v>
      </c>
      <c r="C1328" t="s">
        <v>56</v>
      </c>
      <c r="D1328" t="s">
        <v>76</v>
      </c>
      <c r="E1328">
        <v>34273</v>
      </c>
      <c r="F1328" t="s">
        <v>71</v>
      </c>
      <c r="G1328">
        <v>55000</v>
      </c>
      <c r="H1328" t="s">
        <v>77</v>
      </c>
      <c r="I1328" t="s">
        <v>21</v>
      </c>
      <c r="J1328" t="s">
        <v>146</v>
      </c>
      <c r="K1328" t="s">
        <v>23</v>
      </c>
      <c r="L1328" t="s">
        <v>87</v>
      </c>
      <c r="M1328" t="s">
        <v>88</v>
      </c>
      <c r="N1328" t="s">
        <v>89</v>
      </c>
      <c r="O1328" t="s">
        <v>27</v>
      </c>
      <c r="P1328" s="1">
        <v>44779</v>
      </c>
      <c r="Q1328">
        <f t="shared" si="100"/>
        <v>0</v>
      </c>
      <c r="R1328">
        <f t="shared" si="101"/>
        <v>0</v>
      </c>
      <c r="S1328">
        <f t="shared" si="102"/>
        <v>0</v>
      </c>
      <c r="T1328" s="11">
        <f t="shared" si="103"/>
        <v>2019</v>
      </c>
      <c r="U1328" s="11">
        <f t="shared" si="104"/>
        <v>34273</v>
      </c>
    </row>
    <row r="1329" spans="1:21" x14ac:dyDescent="0.3">
      <c r="A1329" t="s">
        <v>1993</v>
      </c>
      <c r="B1329">
        <v>2018</v>
      </c>
      <c r="C1329" t="s">
        <v>56</v>
      </c>
      <c r="D1329" t="s">
        <v>53</v>
      </c>
      <c r="E1329">
        <v>39335</v>
      </c>
      <c r="F1329" t="s">
        <v>57</v>
      </c>
      <c r="G1329">
        <v>47100</v>
      </c>
      <c r="H1329" t="s">
        <v>20</v>
      </c>
      <c r="I1329" t="s">
        <v>58</v>
      </c>
      <c r="J1329" t="s">
        <v>59</v>
      </c>
      <c r="K1329" t="s">
        <v>23</v>
      </c>
      <c r="L1329" t="s">
        <v>95</v>
      </c>
      <c r="M1329" t="s">
        <v>96</v>
      </c>
      <c r="N1329" t="s">
        <v>89</v>
      </c>
      <c r="O1329" t="s">
        <v>27</v>
      </c>
      <c r="P1329" s="1">
        <v>44779</v>
      </c>
      <c r="Q1329">
        <f t="shared" si="100"/>
        <v>0</v>
      </c>
      <c r="R1329">
        <f t="shared" si="101"/>
        <v>0</v>
      </c>
      <c r="S1329">
        <f t="shared" si="102"/>
        <v>0</v>
      </c>
      <c r="T1329" s="11">
        <f t="shared" si="103"/>
        <v>2018</v>
      </c>
      <c r="U1329" s="11">
        <f t="shared" si="104"/>
        <v>39335</v>
      </c>
    </row>
    <row r="1330" spans="1:21" x14ac:dyDescent="0.3">
      <c r="A1330" t="s">
        <v>1994</v>
      </c>
      <c r="B1330">
        <v>2019</v>
      </c>
      <c r="C1330" t="s">
        <v>56</v>
      </c>
      <c r="D1330" t="s">
        <v>32</v>
      </c>
      <c r="E1330">
        <v>33438</v>
      </c>
      <c r="F1330" t="s">
        <v>71</v>
      </c>
      <c r="G1330">
        <v>58100</v>
      </c>
      <c r="H1330" t="s">
        <v>20</v>
      </c>
      <c r="I1330" t="s">
        <v>78</v>
      </c>
      <c r="J1330" t="s">
        <v>729</v>
      </c>
      <c r="K1330" t="s">
        <v>23</v>
      </c>
      <c r="L1330" t="s">
        <v>87</v>
      </c>
      <c r="M1330" t="s">
        <v>88</v>
      </c>
      <c r="N1330" t="s">
        <v>89</v>
      </c>
      <c r="O1330" t="s">
        <v>27</v>
      </c>
      <c r="P1330" s="1">
        <v>44779</v>
      </c>
      <c r="Q1330">
        <f t="shared" si="100"/>
        <v>0</v>
      </c>
      <c r="R1330">
        <f t="shared" si="101"/>
        <v>0</v>
      </c>
      <c r="S1330">
        <f t="shared" si="102"/>
        <v>0</v>
      </c>
      <c r="T1330" s="11">
        <f t="shared" si="103"/>
        <v>2019</v>
      </c>
      <c r="U1330" s="11">
        <f t="shared" si="104"/>
        <v>33438</v>
      </c>
    </row>
    <row r="1331" spans="1:21" x14ac:dyDescent="0.3">
      <c r="A1331" t="s">
        <v>1995</v>
      </c>
      <c r="B1331">
        <v>2019</v>
      </c>
      <c r="C1331" t="s">
        <v>56</v>
      </c>
      <c r="D1331" t="s">
        <v>53</v>
      </c>
      <c r="E1331">
        <v>14309</v>
      </c>
      <c r="F1331" t="s">
        <v>57</v>
      </c>
      <c r="G1331">
        <v>54300</v>
      </c>
      <c r="H1331" t="s">
        <v>20</v>
      </c>
      <c r="I1331" t="s">
        <v>78</v>
      </c>
      <c r="J1331" t="s">
        <v>564</v>
      </c>
      <c r="K1331" t="s">
        <v>23</v>
      </c>
      <c r="L1331" t="s">
        <v>95</v>
      </c>
      <c r="M1331" t="s">
        <v>96</v>
      </c>
      <c r="N1331" t="s">
        <v>89</v>
      </c>
      <c r="O1331" t="s">
        <v>27</v>
      </c>
      <c r="P1331" s="1">
        <v>44779</v>
      </c>
      <c r="Q1331">
        <f t="shared" si="100"/>
        <v>0</v>
      </c>
      <c r="R1331">
        <f t="shared" si="101"/>
        <v>0</v>
      </c>
      <c r="S1331">
        <f t="shared" si="102"/>
        <v>0</v>
      </c>
      <c r="T1331" s="11">
        <f t="shared" si="103"/>
        <v>2019</v>
      </c>
      <c r="U1331" s="11">
        <f t="shared" si="104"/>
        <v>14309</v>
      </c>
    </row>
    <row r="1332" spans="1:21" x14ac:dyDescent="0.3">
      <c r="A1332" t="s">
        <v>1996</v>
      </c>
      <c r="B1332">
        <v>2017</v>
      </c>
      <c r="C1332" t="s">
        <v>29</v>
      </c>
      <c r="D1332" t="s">
        <v>53</v>
      </c>
      <c r="E1332">
        <v>25816</v>
      </c>
      <c r="F1332" t="s">
        <v>270</v>
      </c>
      <c r="G1332">
        <v>94100</v>
      </c>
      <c r="H1332" t="s">
        <v>53</v>
      </c>
      <c r="I1332" t="s">
        <v>110</v>
      </c>
      <c r="J1332" t="s">
        <v>1997</v>
      </c>
      <c r="K1332" t="s">
        <v>23</v>
      </c>
      <c r="L1332" t="s">
        <v>95</v>
      </c>
      <c r="M1332" t="s">
        <v>96</v>
      </c>
      <c r="N1332" t="s">
        <v>89</v>
      </c>
      <c r="O1332" t="s">
        <v>27</v>
      </c>
      <c r="P1332" s="1">
        <v>44779</v>
      </c>
      <c r="Q1332">
        <f t="shared" si="100"/>
        <v>0</v>
      </c>
      <c r="R1332">
        <f t="shared" si="101"/>
        <v>1</v>
      </c>
      <c r="S1332">
        <f t="shared" si="102"/>
        <v>0</v>
      </c>
      <c r="T1332" s="11">
        <f t="shared" si="103"/>
        <v>2017</v>
      </c>
      <c r="U1332" s="11">
        <f t="shared" si="104"/>
        <v>25816</v>
      </c>
    </row>
    <row r="1333" spans="1:21" x14ac:dyDescent="0.3">
      <c r="A1333" t="s">
        <v>1998</v>
      </c>
      <c r="B1333">
        <v>2021</v>
      </c>
      <c r="C1333" t="s">
        <v>17</v>
      </c>
      <c r="D1333" t="s">
        <v>18</v>
      </c>
      <c r="E1333">
        <v>14615</v>
      </c>
      <c r="F1333" t="s">
        <v>19</v>
      </c>
      <c r="G1333">
        <v>75800</v>
      </c>
      <c r="H1333" t="s">
        <v>77</v>
      </c>
      <c r="I1333" t="s">
        <v>78</v>
      </c>
      <c r="J1333" t="s">
        <v>619</v>
      </c>
      <c r="K1333" t="s">
        <v>23</v>
      </c>
      <c r="L1333" t="s">
        <v>1354</v>
      </c>
      <c r="M1333" t="s">
        <v>88</v>
      </c>
      <c r="N1333" t="s">
        <v>89</v>
      </c>
      <c r="O1333" t="s">
        <v>27</v>
      </c>
      <c r="P1333" s="1">
        <v>44779</v>
      </c>
      <c r="Q1333">
        <f t="shared" si="100"/>
        <v>0</v>
      </c>
      <c r="R1333">
        <f t="shared" si="101"/>
        <v>0</v>
      </c>
      <c r="S1333">
        <f t="shared" si="102"/>
        <v>1</v>
      </c>
      <c r="T1333" s="11">
        <f t="shared" si="103"/>
        <v>2021</v>
      </c>
      <c r="U1333" s="11">
        <f t="shared" si="104"/>
        <v>14615</v>
      </c>
    </row>
    <row r="1334" spans="1:21" x14ac:dyDescent="0.3">
      <c r="A1334" t="s">
        <v>1999</v>
      </c>
      <c r="B1334">
        <v>2021</v>
      </c>
      <c r="C1334" t="s">
        <v>17</v>
      </c>
      <c r="D1334" t="s">
        <v>53</v>
      </c>
      <c r="E1334">
        <v>24598</v>
      </c>
      <c r="F1334" t="s">
        <v>19</v>
      </c>
      <c r="G1334">
        <v>82700</v>
      </c>
      <c r="H1334" t="s">
        <v>20</v>
      </c>
      <c r="I1334" t="s">
        <v>21</v>
      </c>
      <c r="J1334" t="s">
        <v>922</v>
      </c>
      <c r="K1334" t="s">
        <v>23</v>
      </c>
      <c r="L1334" t="s">
        <v>87</v>
      </c>
      <c r="M1334" t="s">
        <v>88</v>
      </c>
      <c r="N1334" t="s">
        <v>89</v>
      </c>
      <c r="O1334" t="s">
        <v>27</v>
      </c>
      <c r="P1334" s="1">
        <v>44779</v>
      </c>
      <c r="Q1334">
        <f t="shared" si="100"/>
        <v>0</v>
      </c>
      <c r="R1334">
        <f t="shared" si="101"/>
        <v>0</v>
      </c>
      <c r="S1334">
        <f t="shared" si="102"/>
        <v>1</v>
      </c>
      <c r="T1334" s="11">
        <f t="shared" si="103"/>
        <v>2021</v>
      </c>
      <c r="U1334" s="11">
        <f t="shared" si="104"/>
        <v>24598</v>
      </c>
    </row>
    <row r="1335" spans="1:21" x14ac:dyDescent="0.3">
      <c r="A1335" t="s">
        <v>2000</v>
      </c>
      <c r="B1335">
        <v>2018</v>
      </c>
      <c r="C1335" t="s">
        <v>56</v>
      </c>
      <c r="D1335" t="s">
        <v>30</v>
      </c>
      <c r="E1335">
        <v>21122</v>
      </c>
      <c r="F1335" t="s">
        <v>57</v>
      </c>
      <c r="G1335">
        <v>50000</v>
      </c>
      <c r="H1335" t="s">
        <v>20</v>
      </c>
      <c r="I1335" t="s">
        <v>58</v>
      </c>
      <c r="J1335" t="s">
        <v>413</v>
      </c>
      <c r="K1335" t="s">
        <v>23</v>
      </c>
      <c r="L1335" t="s">
        <v>756</v>
      </c>
      <c r="M1335" t="s">
        <v>261</v>
      </c>
      <c r="N1335" t="s">
        <v>262</v>
      </c>
      <c r="O1335" t="s">
        <v>27</v>
      </c>
      <c r="P1335" s="1">
        <v>44779</v>
      </c>
      <c r="Q1335">
        <f t="shared" si="100"/>
        <v>0</v>
      </c>
      <c r="R1335">
        <f t="shared" si="101"/>
        <v>0</v>
      </c>
      <c r="S1335">
        <f t="shared" si="102"/>
        <v>0</v>
      </c>
      <c r="T1335" s="11">
        <f t="shared" si="103"/>
        <v>2018</v>
      </c>
      <c r="U1335" s="11">
        <f t="shared" si="104"/>
        <v>21122</v>
      </c>
    </row>
    <row r="1336" spans="1:21" x14ac:dyDescent="0.3">
      <c r="A1336" t="s">
        <v>2001</v>
      </c>
      <c r="B1336">
        <v>2019</v>
      </c>
      <c r="C1336" t="s">
        <v>56</v>
      </c>
      <c r="D1336" t="s">
        <v>93</v>
      </c>
      <c r="E1336">
        <v>17320</v>
      </c>
      <c r="F1336" t="s">
        <v>57</v>
      </c>
      <c r="G1336">
        <v>51300</v>
      </c>
      <c r="H1336" t="s">
        <v>20</v>
      </c>
      <c r="I1336" t="s">
        <v>78</v>
      </c>
      <c r="J1336" t="s">
        <v>218</v>
      </c>
      <c r="K1336" t="s">
        <v>23</v>
      </c>
      <c r="L1336" t="s">
        <v>67</v>
      </c>
      <c r="M1336" t="s">
        <v>68</v>
      </c>
      <c r="N1336" t="s">
        <v>69</v>
      </c>
      <c r="O1336" t="s">
        <v>27</v>
      </c>
      <c r="P1336" s="1">
        <v>44779</v>
      </c>
      <c r="Q1336">
        <f t="shared" si="100"/>
        <v>0</v>
      </c>
      <c r="R1336">
        <f t="shared" si="101"/>
        <v>0</v>
      </c>
      <c r="S1336">
        <f t="shared" si="102"/>
        <v>0</v>
      </c>
      <c r="T1336" s="11">
        <f t="shared" si="103"/>
        <v>2019</v>
      </c>
      <c r="U1336" s="11">
        <f t="shared" si="104"/>
        <v>17320</v>
      </c>
    </row>
    <row r="1337" spans="1:21" x14ac:dyDescent="0.3">
      <c r="A1337" t="s">
        <v>2002</v>
      </c>
      <c r="B1337">
        <v>2020</v>
      </c>
      <c r="C1337" t="s">
        <v>56</v>
      </c>
      <c r="D1337" t="s">
        <v>93</v>
      </c>
      <c r="E1337">
        <v>8091</v>
      </c>
      <c r="F1337" t="s">
        <v>65</v>
      </c>
      <c r="G1337">
        <v>53300</v>
      </c>
      <c r="H1337" t="s">
        <v>77</v>
      </c>
      <c r="I1337" t="s">
        <v>78</v>
      </c>
      <c r="J1337" t="s">
        <v>697</v>
      </c>
      <c r="K1337" t="s">
        <v>23</v>
      </c>
      <c r="L1337" t="s">
        <v>84</v>
      </c>
      <c r="M1337" t="s">
        <v>48</v>
      </c>
      <c r="N1337" t="s">
        <v>69</v>
      </c>
      <c r="O1337" t="s">
        <v>27</v>
      </c>
      <c r="P1337" s="1">
        <v>44779</v>
      </c>
      <c r="Q1337">
        <f t="shared" si="100"/>
        <v>0</v>
      </c>
      <c r="R1337">
        <f t="shared" si="101"/>
        <v>0</v>
      </c>
      <c r="S1337">
        <f t="shared" si="102"/>
        <v>0</v>
      </c>
      <c r="T1337" s="11">
        <f t="shared" si="103"/>
        <v>2020</v>
      </c>
      <c r="U1337" s="11">
        <f t="shared" si="104"/>
        <v>8091</v>
      </c>
    </row>
    <row r="1338" spans="1:21" x14ac:dyDescent="0.3">
      <c r="A1338" t="s">
        <v>2003</v>
      </c>
      <c r="B1338">
        <v>2020</v>
      </c>
      <c r="C1338" t="s">
        <v>56</v>
      </c>
      <c r="D1338" t="s">
        <v>93</v>
      </c>
      <c r="E1338">
        <v>37695</v>
      </c>
      <c r="F1338" t="s">
        <v>57</v>
      </c>
      <c r="G1338">
        <v>52100</v>
      </c>
      <c r="H1338" t="s">
        <v>20</v>
      </c>
      <c r="I1338" t="s">
        <v>58</v>
      </c>
      <c r="J1338" t="s">
        <v>842</v>
      </c>
      <c r="K1338" t="s">
        <v>23</v>
      </c>
      <c r="L1338" t="s">
        <v>67</v>
      </c>
      <c r="M1338" t="s">
        <v>68</v>
      </c>
      <c r="N1338" t="s">
        <v>69</v>
      </c>
      <c r="O1338" t="s">
        <v>27</v>
      </c>
      <c r="P1338" s="1">
        <v>44779</v>
      </c>
      <c r="Q1338">
        <f t="shared" si="100"/>
        <v>0</v>
      </c>
      <c r="R1338">
        <f t="shared" si="101"/>
        <v>0</v>
      </c>
      <c r="S1338">
        <f t="shared" si="102"/>
        <v>0</v>
      </c>
      <c r="T1338" s="11">
        <f t="shared" si="103"/>
        <v>2020</v>
      </c>
      <c r="U1338" s="11">
        <f t="shared" si="104"/>
        <v>37695</v>
      </c>
    </row>
    <row r="1339" spans="1:21" x14ac:dyDescent="0.3">
      <c r="A1339" t="s">
        <v>2004</v>
      </c>
      <c r="B1339">
        <v>2019</v>
      </c>
      <c r="C1339" t="s">
        <v>56</v>
      </c>
      <c r="D1339" t="s">
        <v>53</v>
      </c>
      <c r="E1339">
        <v>22905</v>
      </c>
      <c r="F1339" t="s">
        <v>57</v>
      </c>
      <c r="G1339">
        <v>54300</v>
      </c>
      <c r="H1339" t="s">
        <v>20</v>
      </c>
      <c r="I1339" t="s">
        <v>58</v>
      </c>
      <c r="J1339" t="s">
        <v>59</v>
      </c>
      <c r="K1339" t="s">
        <v>23</v>
      </c>
      <c r="L1339" t="s">
        <v>47</v>
      </c>
      <c r="M1339" t="s">
        <v>48</v>
      </c>
      <c r="N1339" t="s">
        <v>49</v>
      </c>
      <c r="O1339" t="s">
        <v>27</v>
      </c>
      <c r="P1339" s="1">
        <v>44779</v>
      </c>
      <c r="Q1339">
        <f t="shared" si="100"/>
        <v>0</v>
      </c>
      <c r="R1339">
        <f t="shared" si="101"/>
        <v>0</v>
      </c>
      <c r="S1339">
        <f t="shared" si="102"/>
        <v>0</v>
      </c>
      <c r="T1339" s="11">
        <f t="shared" si="103"/>
        <v>2019</v>
      </c>
      <c r="U1339" s="11">
        <f t="shared" si="104"/>
        <v>22905</v>
      </c>
    </row>
    <row r="1340" spans="1:21" x14ac:dyDescent="0.3">
      <c r="A1340" t="s">
        <v>2005</v>
      </c>
      <c r="B1340">
        <v>2019</v>
      </c>
      <c r="C1340" t="s">
        <v>56</v>
      </c>
      <c r="D1340" t="s">
        <v>32</v>
      </c>
      <c r="E1340">
        <v>9731</v>
      </c>
      <c r="F1340" t="s">
        <v>57</v>
      </c>
      <c r="G1340">
        <v>52200</v>
      </c>
      <c r="H1340" t="s">
        <v>77</v>
      </c>
      <c r="I1340" t="s">
        <v>78</v>
      </c>
      <c r="J1340" t="s">
        <v>650</v>
      </c>
      <c r="K1340" t="s">
        <v>23</v>
      </c>
      <c r="L1340" t="s">
        <v>67</v>
      </c>
      <c r="M1340" t="s">
        <v>68</v>
      </c>
      <c r="N1340" t="s">
        <v>69</v>
      </c>
      <c r="O1340" t="s">
        <v>27</v>
      </c>
      <c r="P1340" s="1">
        <v>44779</v>
      </c>
      <c r="Q1340">
        <f t="shared" si="100"/>
        <v>0</v>
      </c>
      <c r="R1340">
        <f t="shared" si="101"/>
        <v>0</v>
      </c>
      <c r="S1340">
        <f t="shared" si="102"/>
        <v>0</v>
      </c>
      <c r="T1340" s="11">
        <f t="shared" si="103"/>
        <v>2019</v>
      </c>
      <c r="U1340" s="11">
        <f t="shared" si="104"/>
        <v>9731</v>
      </c>
    </row>
    <row r="1341" spans="1:21" x14ac:dyDescent="0.3">
      <c r="A1341" t="s">
        <v>2006</v>
      </c>
      <c r="B1341">
        <v>2020</v>
      </c>
      <c r="C1341" t="s">
        <v>56</v>
      </c>
      <c r="D1341" t="s">
        <v>30</v>
      </c>
      <c r="E1341">
        <v>44955</v>
      </c>
      <c r="F1341" t="s">
        <v>71</v>
      </c>
      <c r="G1341">
        <v>54800</v>
      </c>
      <c r="H1341" t="s">
        <v>20</v>
      </c>
      <c r="I1341" t="s">
        <v>58</v>
      </c>
      <c r="J1341" t="s">
        <v>1269</v>
      </c>
      <c r="K1341" t="s">
        <v>23</v>
      </c>
      <c r="L1341" t="s">
        <v>67</v>
      </c>
      <c r="M1341" t="s">
        <v>68</v>
      </c>
      <c r="N1341" t="s">
        <v>69</v>
      </c>
      <c r="O1341" t="s">
        <v>27</v>
      </c>
      <c r="P1341" s="1">
        <v>44779</v>
      </c>
      <c r="Q1341">
        <f t="shared" si="100"/>
        <v>0</v>
      </c>
      <c r="R1341">
        <f t="shared" si="101"/>
        <v>0</v>
      </c>
      <c r="S1341">
        <f t="shared" si="102"/>
        <v>0</v>
      </c>
      <c r="T1341" s="11">
        <f t="shared" si="103"/>
        <v>2020</v>
      </c>
      <c r="U1341" s="11">
        <f t="shared" si="104"/>
        <v>44955</v>
      </c>
    </row>
    <row r="1342" spans="1:21" x14ac:dyDescent="0.3">
      <c r="A1342" t="s">
        <v>2007</v>
      </c>
      <c r="B1342">
        <v>2019</v>
      </c>
      <c r="C1342" t="s">
        <v>56</v>
      </c>
      <c r="D1342" t="s">
        <v>53</v>
      </c>
      <c r="E1342">
        <v>13682</v>
      </c>
      <c r="F1342" t="s">
        <v>57</v>
      </c>
      <c r="G1342">
        <v>55500</v>
      </c>
      <c r="H1342" t="s">
        <v>20</v>
      </c>
      <c r="I1342" t="s">
        <v>58</v>
      </c>
      <c r="J1342" t="s">
        <v>59</v>
      </c>
      <c r="K1342" t="s">
        <v>23</v>
      </c>
      <c r="L1342" t="s">
        <v>47</v>
      </c>
      <c r="M1342" t="s">
        <v>48</v>
      </c>
      <c r="N1342" t="s">
        <v>49</v>
      </c>
      <c r="O1342" t="s">
        <v>27</v>
      </c>
      <c r="P1342" s="1">
        <v>44779</v>
      </c>
      <c r="Q1342">
        <f t="shared" si="100"/>
        <v>0</v>
      </c>
      <c r="R1342">
        <f t="shared" si="101"/>
        <v>0</v>
      </c>
      <c r="S1342">
        <f t="shared" si="102"/>
        <v>0</v>
      </c>
      <c r="T1342" s="11">
        <f t="shared" si="103"/>
        <v>2019</v>
      </c>
      <c r="U1342" s="11">
        <f t="shared" si="104"/>
        <v>13682</v>
      </c>
    </row>
    <row r="1343" spans="1:21" x14ac:dyDescent="0.3">
      <c r="A1343" t="s">
        <v>2008</v>
      </c>
      <c r="B1343">
        <v>2020</v>
      </c>
      <c r="C1343" t="s">
        <v>56</v>
      </c>
      <c r="D1343" t="s">
        <v>30</v>
      </c>
      <c r="E1343">
        <v>25729</v>
      </c>
      <c r="F1343" t="s">
        <v>71</v>
      </c>
      <c r="G1343">
        <v>60400</v>
      </c>
      <c r="H1343" t="s">
        <v>20</v>
      </c>
      <c r="I1343" t="s">
        <v>21</v>
      </c>
      <c r="J1343" t="s">
        <v>813</v>
      </c>
      <c r="K1343" t="s">
        <v>23</v>
      </c>
      <c r="L1343" t="s">
        <v>47</v>
      </c>
      <c r="M1343" t="s">
        <v>48</v>
      </c>
      <c r="N1343" t="s">
        <v>49</v>
      </c>
      <c r="O1343" t="s">
        <v>27</v>
      </c>
      <c r="P1343" s="1">
        <v>44779</v>
      </c>
      <c r="Q1343">
        <f t="shared" si="100"/>
        <v>0</v>
      </c>
      <c r="R1343">
        <f t="shared" si="101"/>
        <v>0</v>
      </c>
      <c r="S1343">
        <f t="shared" si="102"/>
        <v>0</v>
      </c>
      <c r="T1343" s="11">
        <f t="shared" si="103"/>
        <v>2020</v>
      </c>
      <c r="U1343" s="11">
        <f t="shared" si="104"/>
        <v>25729</v>
      </c>
    </row>
    <row r="1344" spans="1:21" x14ac:dyDescent="0.3">
      <c r="A1344" t="s">
        <v>2009</v>
      </c>
      <c r="B1344">
        <v>2020</v>
      </c>
      <c r="C1344" t="s">
        <v>56</v>
      </c>
      <c r="D1344" t="s">
        <v>30</v>
      </c>
      <c r="E1344">
        <v>5664</v>
      </c>
      <c r="F1344" t="s">
        <v>57</v>
      </c>
      <c r="G1344">
        <v>58800</v>
      </c>
      <c r="H1344" t="s">
        <v>77</v>
      </c>
      <c r="I1344" t="s">
        <v>78</v>
      </c>
      <c r="J1344" t="s">
        <v>1702</v>
      </c>
      <c r="K1344" t="s">
        <v>23</v>
      </c>
      <c r="L1344" t="s">
        <v>371</v>
      </c>
      <c r="M1344" t="s">
        <v>48</v>
      </c>
      <c r="N1344" t="s">
        <v>49</v>
      </c>
      <c r="O1344" t="s">
        <v>27</v>
      </c>
      <c r="P1344" s="1">
        <v>44779</v>
      </c>
      <c r="Q1344">
        <f t="shared" si="100"/>
        <v>0</v>
      </c>
      <c r="R1344">
        <f t="shared" si="101"/>
        <v>0</v>
      </c>
      <c r="S1344">
        <f t="shared" si="102"/>
        <v>0</v>
      </c>
      <c r="T1344" s="11">
        <f t="shared" si="103"/>
        <v>2020</v>
      </c>
      <c r="U1344" s="11">
        <f t="shared" si="104"/>
        <v>5664</v>
      </c>
    </row>
    <row r="1345" spans="1:21" x14ac:dyDescent="0.3">
      <c r="A1345" t="s">
        <v>2010</v>
      </c>
      <c r="B1345">
        <v>2019</v>
      </c>
      <c r="C1345" t="s">
        <v>37</v>
      </c>
      <c r="D1345" t="s">
        <v>51</v>
      </c>
      <c r="E1345">
        <v>18729</v>
      </c>
      <c r="F1345" t="s">
        <v>98</v>
      </c>
      <c r="G1345">
        <v>105100</v>
      </c>
      <c r="H1345" t="s">
        <v>53</v>
      </c>
      <c r="I1345" t="s">
        <v>78</v>
      </c>
      <c r="J1345" t="s">
        <v>2011</v>
      </c>
      <c r="K1345" t="s">
        <v>23</v>
      </c>
      <c r="L1345" t="s">
        <v>363</v>
      </c>
      <c r="M1345" t="s">
        <v>364</v>
      </c>
      <c r="N1345" t="s">
        <v>245</v>
      </c>
      <c r="O1345" t="s">
        <v>27</v>
      </c>
      <c r="P1345" s="1">
        <v>44779</v>
      </c>
      <c r="Q1345">
        <f t="shared" si="100"/>
        <v>1</v>
      </c>
      <c r="R1345">
        <f t="shared" si="101"/>
        <v>0</v>
      </c>
      <c r="S1345">
        <f t="shared" si="102"/>
        <v>0</v>
      </c>
      <c r="T1345" s="11">
        <f t="shared" si="103"/>
        <v>2019</v>
      </c>
      <c r="U1345" s="11">
        <f t="shared" si="104"/>
        <v>18729</v>
      </c>
    </row>
    <row r="1346" spans="1:21" x14ac:dyDescent="0.3">
      <c r="A1346" t="s">
        <v>2012</v>
      </c>
      <c r="B1346">
        <v>2020</v>
      </c>
      <c r="C1346" t="s">
        <v>56</v>
      </c>
      <c r="D1346" t="s">
        <v>32</v>
      </c>
      <c r="E1346">
        <v>13088</v>
      </c>
      <c r="F1346" t="s">
        <v>71</v>
      </c>
      <c r="G1346">
        <v>60700</v>
      </c>
      <c r="H1346" t="s">
        <v>20</v>
      </c>
      <c r="I1346" t="s">
        <v>21</v>
      </c>
      <c r="J1346" t="s">
        <v>449</v>
      </c>
      <c r="K1346" t="s">
        <v>23</v>
      </c>
      <c r="L1346" t="s">
        <v>47</v>
      </c>
      <c r="M1346" t="s">
        <v>48</v>
      </c>
      <c r="N1346" t="s">
        <v>49</v>
      </c>
      <c r="O1346" t="s">
        <v>27</v>
      </c>
      <c r="P1346" s="1">
        <v>44779</v>
      </c>
      <c r="Q1346">
        <f t="shared" ref="Q1346:Q1409" si="105">--(C1346="ms")</f>
        <v>0</v>
      </c>
      <c r="R1346">
        <f t="shared" ref="R1346:R1409" si="106">--(C1346="mx")</f>
        <v>0</v>
      </c>
      <c r="S1346">
        <f t="shared" ref="S1346:S1409" si="107">--(C1346="my")</f>
        <v>0</v>
      </c>
      <c r="T1346" s="11">
        <f t="shared" ref="T1346:T1409" si="108">B1346</f>
        <v>2020</v>
      </c>
      <c r="U1346" s="11">
        <f t="shared" ref="U1346:U1409" si="109">E1346</f>
        <v>13088</v>
      </c>
    </row>
    <row r="1347" spans="1:21" x14ac:dyDescent="0.3">
      <c r="A1347" t="s">
        <v>2013</v>
      </c>
      <c r="B1347">
        <v>2018</v>
      </c>
      <c r="C1347" t="s">
        <v>56</v>
      </c>
      <c r="D1347" t="s">
        <v>93</v>
      </c>
      <c r="E1347">
        <v>36095</v>
      </c>
      <c r="F1347" t="s">
        <v>57</v>
      </c>
      <c r="G1347">
        <v>49100</v>
      </c>
      <c r="H1347" t="s">
        <v>20</v>
      </c>
      <c r="I1347" t="s">
        <v>58</v>
      </c>
      <c r="J1347" t="s">
        <v>842</v>
      </c>
      <c r="K1347" t="s">
        <v>23</v>
      </c>
      <c r="L1347" t="s">
        <v>363</v>
      </c>
      <c r="M1347" t="s">
        <v>364</v>
      </c>
      <c r="N1347" t="s">
        <v>245</v>
      </c>
      <c r="O1347" t="s">
        <v>27</v>
      </c>
      <c r="P1347" s="1">
        <v>44779</v>
      </c>
      <c r="Q1347">
        <f t="shared" si="105"/>
        <v>0</v>
      </c>
      <c r="R1347">
        <f t="shared" si="106"/>
        <v>0</v>
      </c>
      <c r="S1347">
        <f t="shared" si="107"/>
        <v>0</v>
      </c>
      <c r="T1347" s="11">
        <f t="shared" si="108"/>
        <v>2018</v>
      </c>
      <c r="U1347" s="11">
        <f t="shared" si="109"/>
        <v>36095</v>
      </c>
    </row>
    <row r="1348" spans="1:21" x14ac:dyDescent="0.3">
      <c r="A1348" t="s">
        <v>2014</v>
      </c>
      <c r="B1348">
        <v>2021</v>
      </c>
      <c r="C1348" t="s">
        <v>29</v>
      </c>
      <c r="D1348" t="s">
        <v>32</v>
      </c>
      <c r="E1348">
        <v>20274</v>
      </c>
      <c r="F1348" t="s">
        <v>177</v>
      </c>
      <c r="G1348">
        <v>116500</v>
      </c>
      <c r="H1348" t="s">
        <v>32</v>
      </c>
      <c r="I1348" t="s">
        <v>110</v>
      </c>
      <c r="J1348" t="s">
        <v>301</v>
      </c>
      <c r="K1348" t="s">
        <v>23</v>
      </c>
      <c r="L1348" t="s">
        <v>260</v>
      </c>
      <c r="M1348" t="s">
        <v>261</v>
      </c>
      <c r="N1348" t="s">
        <v>262</v>
      </c>
      <c r="O1348" t="s">
        <v>27</v>
      </c>
      <c r="P1348" s="1">
        <v>44779</v>
      </c>
      <c r="Q1348">
        <f t="shared" si="105"/>
        <v>0</v>
      </c>
      <c r="R1348">
        <f t="shared" si="106"/>
        <v>1</v>
      </c>
      <c r="S1348">
        <f t="shared" si="107"/>
        <v>0</v>
      </c>
      <c r="T1348" s="11">
        <f t="shared" si="108"/>
        <v>2021</v>
      </c>
      <c r="U1348" s="11">
        <f t="shared" si="109"/>
        <v>20274</v>
      </c>
    </row>
    <row r="1349" spans="1:21" x14ac:dyDescent="0.3">
      <c r="A1349" t="s">
        <v>2015</v>
      </c>
      <c r="B1349">
        <v>2021</v>
      </c>
      <c r="C1349" t="s">
        <v>17</v>
      </c>
      <c r="D1349" t="s">
        <v>76</v>
      </c>
      <c r="E1349">
        <v>4930</v>
      </c>
      <c r="F1349" t="s">
        <v>207</v>
      </c>
      <c r="G1349">
        <v>79500</v>
      </c>
      <c r="H1349" t="s">
        <v>20</v>
      </c>
      <c r="I1349" t="s">
        <v>21</v>
      </c>
      <c r="J1349" t="s">
        <v>570</v>
      </c>
      <c r="K1349" t="s">
        <v>23</v>
      </c>
      <c r="L1349" t="s">
        <v>342</v>
      </c>
      <c r="M1349" t="s">
        <v>244</v>
      </c>
      <c r="N1349" t="s">
        <v>245</v>
      </c>
      <c r="O1349" t="s">
        <v>27</v>
      </c>
      <c r="P1349" s="1">
        <v>44779</v>
      </c>
      <c r="Q1349">
        <f t="shared" si="105"/>
        <v>0</v>
      </c>
      <c r="R1349">
        <f t="shared" si="106"/>
        <v>0</v>
      </c>
      <c r="S1349">
        <f t="shared" si="107"/>
        <v>1</v>
      </c>
      <c r="T1349" s="11">
        <f t="shared" si="108"/>
        <v>2021</v>
      </c>
      <c r="U1349" s="11">
        <f t="shared" si="109"/>
        <v>4930</v>
      </c>
    </row>
    <row r="1350" spans="1:21" x14ac:dyDescent="0.3">
      <c r="A1350" t="s">
        <v>2016</v>
      </c>
      <c r="B1350">
        <v>2021</v>
      </c>
      <c r="C1350" t="s">
        <v>17</v>
      </c>
      <c r="D1350" t="s">
        <v>18</v>
      </c>
      <c r="E1350">
        <v>23884</v>
      </c>
      <c r="F1350" t="s">
        <v>19</v>
      </c>
      <c r="G1350">
        <v>77500</v>
      </c>
      <c r="H1350" t="s">
        <v>20</v>
      </c>
      <c r="I1350" t="s">
        <v>21</v>
      </c>
      <c r="J1350" t="s">
        <v>526</v>
      </c>
      <c r="K1350" t="s">
        <v>23</v>
      </c>
      <c r="L1350" t="s">
        <v>763</v>
      </c>
      <c r="M1350" t="s">
        <v>426</v>
      </c>
      <c r="N1350" t="s">
        <v>35</v>
      </c>
      <c r="O1350" t="s">
        <v>27</v>
      </c>
      <c r="P1350" s="1">
        <v>44779</v>
      </c>
      <c r="Q1350">
        <f t="shared" si="105"/>
        <v>0</v>
      </c>
      <c r="R1350">
        <f t="shared" si="106"/>
        <v>0</v>
      </c>
      <c r="S1350">
        <f t="shared" si="107"/>
        <v>1</v>
      </c>
      <c r="T1350" s="11">
        <f t="shared" si="108"/>
        <v>2021</v>
      </c>
      <c r="U1350" s="11">
        <f t="shared" si="109"/>
        <v>23884</v>
      </c>
    </row>
    <row r="1351" spans="1:21" x14ac:dyDescent="0.3">
      <c r="A1351" t="s">
        <v>2017</v>
      </c>
      <c r="B1351">
        <v>2018</v>
      </c>
      <c r="C1351" t="s">
        <v>37</v>
      </c>
      <c r="D1351" t="s">
        <v>51</v>
      </c>
      <c r="E1351">
        <v>31233</v>
      </c>
      <c r="F1351" t="s">
        <v>52</v>
      </c>
      <c r="G1351">
        <v>89900</v>
      </c>
      <c r="H1351" t="s">
        <v>53</v>
      </c>
      <c r="I1351" t="s">
        <v>78</v>
      </c>
      <c r="J1351" t="s">
        <v>1333</v>
      </c>
      <c r="K1351" t="s">
        <v>23</v>
      </c>
      <c r="L1351" t="s">
        <v>1160</v>
      </c>
      <c r="M1351" t="s">
        <v>202</v>
      </c>
      <c r="N1351" t="s">
        <v>203</v>
      </c>
      <c r="O1351" t="s">
        <v>27</v>
      </c>
      <c r="P1351" s="1">
        <v>44779</v>
      </c>
      <c r="Q1351">
        <f t="shared" si="105"/>
        <v>1</v>
      </c>
      <c r="R1351">
        <f t="shared" si="106"/>
        <v>0</v>
      </c>
      <c r="S1351">
        <f t="shared" si="107"/>
        <v>0</v>
      </c>
      <c r="T1351" s="11">
        <f t="shared" si="108"/>
        <v>2018</v>
      </c>
      <c r="U1351" s="11">
        <f t="shared" si="109"/>
        <v>31233</v>
      </c>
    </row>
    <row r="1352" spans="1:21" x14ac:dyDescent="0.3">
      <c r="A1352" t="s">
        <v>2018</v>
      </c>
      <c r="B1352">
        <v>2021</v>
      </c>
      <c r="C1352" t="s">
        <v>29</v>
      </c>
      <c r="D1352" t="s">
        <v>32</v>
      </c>
      <c r="E1352">
        <v>11794</v>
      </c>
      <c r="F1352" t="s">
        <v>31</v>
      </c>
      <c r="G1352">
        <v>109900</v>
      </c>
      <c r="H1352" t="s">
        <v>32</v>
      </c>
      <c r="I1352" t="s">
        <v>21</v>
      </c>
      <c r="J1352" t="s">
        <v>1236</v>
      </c>
      <c r="K1352" t="s">
        <v>23</v>
      </c>
      <c r="L1352" t="s">
        <v>1277</v>
      </c>
      <c r="M1352" t="s">
        <v>364</v>
      </c>
      <c r="N1352" t="s">
        <v>245</v>
      </c>
      <c r="O1352" t="s">
        <v>27</v>
      </c>
      <c r="P1352" s="1">
        <v>44778</v>
      </c>
      <c r="Q1352">
        <f t="shared" si="105"/>
        <v>0</v>
      </c>
      <c r="R1352">
        <f t="shared" si="106"/>
        <v>1</v>
      </c>
      <c r="S1352">
        <f t="shared" si="107"/>
        <v>0</v>
      </c>
      <c r="T1352" s="11">
        <f t="shared" si="108"/>
        <v>2021</v>
      </c>
      <c r="U1352" s="11">
        <f t="shared" si="109"/>
        <v>11794</v>
      </c>
    </row>
    <row r="1353" spans="1:21" x14ac:dyDescent="0.3">
      <c r="A1353" t="s">
        <v>2019</v>
      </c>
      <c r="B1353">
        <v>2021</v>
      </c>
      <c r="C1353" t="s">
        <v>17</v>
      </c>
      <c r="D1353" t="s">
        <v>76</v>
      </c>
      <c r="E1353">
        <v>5992</v>
      </c>
      <c r="F1353" t="s">
        <v>19</v>
      </c>
      <c r="G1353">
        <v>77800</v>
      </c>
      <c r="H1353" t="s">
        <v>77</v>
      </c>
      <c r="I1353" t="s">
        <v>78</v>
      </c>
      <c r="J1353" t="s">
        <v>2020</v>
      </c>
      <c r="K1353" t="s">
        <v>23</v>
      </c>
      <c r="L1353" t="s">
        <v>763</v>
      </c>
      <c r="M1353" t="s">
        <v>426</v>
      </c>
      <c r="N1353" t="s">
        <v>35</v>
      </c>
      <c r="O1353" t="s">
        <v>27</v>
      </c>
      <c r="P1353" s="1">
        <v>44778</v>
      </c>
      <c r="Q1353">
        <f t="shared" si="105"/>
        <v>0</v>
      </c>
      <c r="R1353">
        <f t="shared" si="106"/>
        <v>0</v>
      </c>
      <c r="S1353">
        <f t="shared" si="107"/>
        <v>1</v>
      </c>
      <c r="T1353" s="11">
        <f t="shared" si="108"/>
        <v>2021</v>
      </c>
      <c r="U1353" s="11">
        <f t="shared" si="109"/>
        <v>5992</v>
      </c>
    </row>
    <row r="1354" spans="1:21" x14ac:dyDescent="0.3">
      <c r="A1354" t="s">
        <v>2021</v>
      </c>
      <c r="B1354">
        <v>2021</v>
      </c>
      <c r="C1354" t="s">
        <v>56</v>
      </c>
      <c r="D1354" t="s">
        <v>76</v>
      </c>
      <c r="E1354">
        <v>13687</v>
      </c>
      <c r="F1354" t="s">
        <v>57</v>
      </c>
      <c r="G1354">
        <v>63900</v>
      </c>
      <c r="H1354" t="s">
        <v>20</v>
      </c>
      <c r="I1354" t="s">
        <v>58</v>
      </c>
      <c r="J1354" t="s">
        <v>979</v>
      </c>
      <c r="K1354" t="s">
        <v>23</v>
      </c>
      <c r="L1354" t="s">
        <v>47</v>
      </c>
      <c r="M1354" t="s">
        <v>48</v>
      </c>
      <c r="N1354" t="s">
        <v>49</v>
      </c>
      <c r="O1354" t="s">
        <v>27</v>
      </c>
      <c r="P1354" s="1">
        <v>44778</v>
      </c>
      <c r="Q1354">
        <f t="shared" si="105"/>
        <v>0</v>
      </c>
      <c r="R1354">
        <f t="shared" si="106"/>
        <v>0</v>
      </c>
      <c r="S1354">
        <f t="shared" si="107"/>
        <v>0</v>
      </c>
      <c r="T1354" s="11">
        <f t="shared" si="108"/>
        <v>2021</v>
      </c>
      <c r="U1354" s="11">
        <f t="shared" si="109"/>
        <v>13687</v>
      </c>
    </row>
    <row r="1355" spans="1:21" x14ac:dyDescent="0.3">
      <c r="A1355" t="s">
        <v>2022</v>
      </c>
      <c r="B1355">
        <v>2019</v>
      </c>
      <c r="C1355" t="s">
        <v>56</v>
      </c>
      <c r="D1355" t="s">
        <v>30</v>
      </c>
      <c r="E1355">
        <v>24295</v>
      </c>
      <c r="F1355" t="s">
        <v>57</v>
      </c>
      <c r="G1355">
        <v>54600</v>
      </c>
      <c r="H1355" t="s">
        <v>77</v>
      </c>
      <c r="I1355" t="s">
        <v>58</v>
      </c>
      <c r="J1355" t="s">
        <v>284</v>
      </c>
      <c r="K1355" t="s">
        <v>23</v>
      </c>
      <c r="L1355" t="s">
        <v>67</v>
      </c>
      <c r="M1355" t="s">
        <v>68</v>
      </c>
      <c r="N1355" t="s">
        <v>69</v>
      </c>
      <c r="O1355" t="s">
        <v>27</v>
      </c>
      <c r="P1355" s="1">
        <v>44778</v>
      </c>
      <c r="Q1355">
        <f t="shared" si="105"/>
        <v>0</v>
      </c>
      <c r="R1355">
        <f t="shared" si="106"/>
        <v>0</v>
      </c>
      <c r="S1355">
        <f t="shared" si="107"/>
        <v>0</v>
      </c>
      <c r="T1355" s="11">
        <f t="shared" si="108"/>
        <v>2019</v>
      </c>
      <c r="U1355" s="11">
        <f t="shared" si="109"/>
        <v>24295</v>
      </c>
    </row>
    <row r="1356" spans="1:21" x14ac:dyDescent="0.3">
      <c r="A1356" t="s">
        <v>2023</v>
      </c>
      <c r="B1356">
        <v>2020</v>
      </c>
      <c r="C1356" t="s">
        <v>56</v>
      </c>
      <c r="D1356" t="s">
        <v>93</v>
      </c>
      <c r="E1356">
        <v>24875</v>
      </c>
      <c r="F1356" t="s">
        <v>65</v>
      </c>
      <c r="G1356">
        <v>53300</v>
      </c>
      <c r="H1356" t="s">
        <v>20</v>
      </c>
      <c r="I1356" t="s">
        <v>78</v>
      </c>
      <c r="J1356" t="s">
        <v>536</v>
      </c>
      <c r="K1356" t="s">
        <v>23</v>
      </c>
      <c r="L1356" t="s">
        <v>47</v>
      </c>
      <c r="M1356" t="s">
        <v>48</v>
      </c>
      <c r="N1356" t="s">
        <v>49</v>
      </c>
      <c r="O1356" t="s">
        <v>27</v>
      </c>
      <c r="P1356" s="1">
        <v>44778</v>
      </c>
      <c r="Q1356">
        <f t="shared" si="105"/>
        <v>0</v>
      </c>
      <c r="R1356">
        <f t="shared" si="106"/>
        <v>0</v>
      </c>
      <c r="S1356">
        <f t="shared" si="107"/>
        <v>0</v>
      </c>
      <c r="T1356" s="11">
        <f t="shared" si="108"/>
        <v>2020</v>
      </c>
      <c r="U1356" s="11">
        <f t="shared" si="109"/>
        <v>24875</v>
      </c>
    </row>
    <row r="1357" spans="1:21" x14ac:dyDescent="0.3">
      <c r="A1357" t="s">
        <v>2024</v>
      </c>
      <c r="B1357">
        <v>2019</v>
      </c>
      <c r="C1357" t="s">
        <v>56</v>
      </c>
      <c r="D1357" t="s">
        <v>32</v>
      </c>
      <c r="E1357">
        <v>35409</v>
      </c>
      <c r="F1357" t="s">
        <v>65</v>
      </c>
      <c r="G1357">
        <v>48400</v>
      </c>
      <c r="H1357" t="s">
        <v>20</v>
      </c>
      <c r="I1357" t="s">
        <v>58</v>
      </c>
      <c r="J1357" t="s">
        <v>192</v>
      </c>
      <c r="K1357" t="s">
        <v>23</v>
      </c>
      <c r="L1357" t="s">
        <v>47</v>
      </c>
      <c r="M1357" t="s">
        <v>48</v>
      </c>
      <c r="N1357" t="s">
        <v>49</v>
      </c>
      <c r="O1357" t="s">
        <v>27</v>
      </c>
      <c r="P1357" s="1">
        <v>44778</v>
      </c>
      <c r="Q1357">
        <f t="shared" si="105"/>
        <v>0</v>
      </c>
      <c r="R1357">
        <f t="shared" si="106"/>
        <v>0</v>
      </c>
      <c r="S1357">
        <f t="shared" si="107"/>
        <v>0</v>
      </c>
      <c r="T1357" s="11">
        <f t="shared" si="108"/>
        <v>2019</v>
      </c>
      <c r="U1357" s="11">
        <f t="shared" si="109"/>
        <v>35409</v>
      </c>
    </row>
    <row r="1358" spans="1:21" x14ac:dyDescent="0.3">
      <c r="A1358" t="s">
        <v>2025</v>
      </c>
      <c r="B1358">
        <v>2020</v>
      </c>
      <c r="C1358" t="s">
        <v>37</v>
      </c>
      <c r="D1358" t="s">
        <v>32</v>
      </c>
      <c r="E1358">
        <v>17707</v>
      </c>
      <c r="F1358" t="s">
        <v>303</v>
      </c>
      <c r="G1358">
        <v>102000</v>
      </c>
      <c r="H1358" t="s">
        <v>32</v>
      </c>
      <c r="I1358" t="s">
        <v>39</v>
      </c>
      <c r="J1358" t="s">
        <v>40</v>
      </c>
      <c r="K1358" t="s">
        <v>23</v>
      </c>
      <c r="L1358" t="s">
        <v>47</v>
      </c>
      <c r="M1358" t="s">
        <v>48</v>
      </c>
      <c r="N1358" t="s">
        <v>49</v>
      </c>
      <c r="O1358" t="s">
        <v>27</v>
      </c>
      <c r="P1358" s="1">
        <v>44778</v>
      </c>
      <c r="Q1358">
        <f t="shared" si="105"/>
        <v>1</v>
      </c>
      <c r="R1358">
        <f t="shared" si="106"/>
        <v>0</v>
      </c>
      <c r="S1358">
        <f t="shared" si="107"/>
        <v>0</v>
      </c>
      <c r="T1358" s="11">
        <f t="shared" si="108"/>
        <v>2020</v>
      </c>
      <c r="U1358" s="11">
        <f t="shared" si="109"/>
        <v>17707</v>
      </c>
    </row>
    <row r="1359" spans="1:21" x14ac:dyDescent="0.3">
      <c r="A1359" t="s">
        <v>2026</v>
      </c>
      <c r="B1359">
        <v>2016</v>
      </c>
      <c r="C1359" t="s">
        <v>37</v>
      </c>
      <c r="D1359" t="s">
        <v>51</v>
      </c>
      <c r="E1359">
        <v>32768</v>
      </c>
      <c r="F1359" t="s">
        <v>104</v>
      </c>
      <c r="G1359">
        <v>60300</v>
      </c>
      <c r="H1359" t="s">
        <v>306</v>
      </c>
      <c r="I1359" t="s">
        <v>78</v>
      </c>
      <c r="J1359" t="s">
        <v>2027</v>
      </c>
      <c r="K1359" t="s">
        <v>23</v>
      </c>
      <c r="L1359" t="s">
        <v>84</v>
      </c>
      <c r="M1359" t="s">
        <v>48</v>
      </c>
      <c r="N1359" t="s">
        <v>69</v>
      </c>
      <c r="O1359" t="s">
        <v>27</v>
      </c>
      <c r="P1359" s="1">
        <v>44778</v>
      </c>
      <c r="Q1359">
        <f t="shared" si="105"/>
        <v>1</v>
      </c>
      <c r="R1359">
        <f t="shared" si="106"/>
        <v>0</v>
      </c>
      <c r="S1359">
        <f t="shared" si="107"/>
        <v>0</v>
      </c>
      <c r="T1359" s="11">
        <f t="shared" si="108"/>
        <v>2016</v>
      </c>
      <c r="U1359" s="11">
        <f t="shared" si="109"/>
        <v>32768</v>
      </c>
    </row>
    <row r="1360" spans="1:21" x14ac:dyDescent="0.3">
      <c r="A1360" t="s">
        <v>2028</v>
      </c>
      <c r="B1360">
        <v>2020</v>
      </c>
      <c r="C1360" t="s">
        <v>56</v>
      </c>
      <c r="D1360" t="s">
        <v>53</v>
      </c>
      <c r="E1360">
        <v>21372</v>
      </c>
      <c r="F1360" t="s">
        <v>65</v>
      </c>
      <c r="G1360">
        <v>51400</v>
      </c>
      <c r="H1360" t="s">
        <v>20</v>
      </c>
      <c r="I1360" t="s">
        <v>78</v>
      </c>
      <c r="J1360" t="s">
        <v>534</v>
      </c>
      <c r="K1360" t="s">
        <v>23</v>
      </c>
      <c r="L1360" t="s">
        <v>137</v>
      </c>
      <c r="M1360" t="s">
        <v>138</v>
      </c>
      <c r="N1360" t="s">
        <v>139</v>
      </c>
      <c r="O1360" t="s">
        <v>27</v>
      </c>
      <c r="P1360" s="1">
        <v>44778</v>
      </c>
      <c r="Q1360">
        <f t="shared" si="105"/>
        <v>0</v>
      </c>
      <c r="R1360">
        <f t="shared" si="106"/>
        <v>0</v>
      </c>
      <c r="S1360">
        <f t="shared" si="107"/>
        <v>0</v>
      </c>
      <c r="T1360" s="11">
        <f t="shared" si="108"/>
        <v>2020</v>
      </c>
      <c r="U1360" s="11">
        <f t="shared" si="109"/>
        <v>21372</v>
      </c>
    </row>
    <row r="1361" spans="1:21" x14ac:dyDescent="0.3">
      <c r="A1361" t="s">
        <v>2029</v>
      </c>
      <c r="B1361">
        <v>2019</v>
      </c>
      <c r="C1361" t="s">
        <v>29</v>
      </c>
      <c r="D1361" t="s">
        <v>53</v>
      </c>
      <c r="E1361">
        <v>20541</v>
      </c>
      <c r="F1361" t="s">
        <v>44</v>
      </c>
      <c r="G1361">
        <v>111500</v>
      </c>
      <c r="H1361" t="s">
        <v>32</v>
      </c>
      <c r="I1361" t="s">
        <v>110</v>
      </c>
      <c r="J1361" t="s">
        <v>2030</v>
      </c>
      <c r="K1361" t="s">
        <v>23</v>
      </c>
      <c r="L1361" t="s">
        <v>163</v>
      </c>
      <c r="M1361" t="s">
        <v>164</v>
      </c>
      <c r="N1361" t="s">
        <v>26</v>
      </c>
      <c r="O1361" t="s">
        <v>27</v>
      </c>
      <c r="P1361" s="1">
        <v>44778</v>
      </c>
      <c r="Q1361">
        <f t="shared" si="105"/>
        <v>0</v>
      </c>
      <c r="R1361">
        <f t="shared" si="106"/>
        <v>1</v>
      </c>
      <c r="S1361">
        <f t="shared" si="107"/>
        <v>0</v>
      </c>
      <c r="T1361" s="11">
        <f t="shared" si="108"/>
        <v>2019</v>
      </c>
      <c r="U1361" s="11">
        <f t="shared" si="109"/>
        <v>20541</v>
      </c>
    </row>
    <row r="1362" spans="1:21" x14ac:dyDescent="0.3">
      <c r="A1362" t="s">
        <v>2031</v>
      </c>
      <c r="B1362">
        <v>2019</v>
      </c>
      <c r="C1362" t="s">
        <v>29</v>
      </c>
      <c r="D1362" t="s">
        <v>51</v>
      </c>
      <c r="E1362">
        <v>18495</v>
      </c>
      <c r="F1362" t="s">
        <v>270</v>
      </c>
      <c r="G1362">
        <v>110700</v>
      </c>
      <c r="H1362" t="s">
        <v>53</v>
      </c>
      <c r="I1362" t="s">
        <v>21</v>
      </c>
      <c r="J1362" t="s">
        <v>2032</v>
      </c>
      <c r="K1362" t="s">
        <v>23</v>
      </c>
      <c r="L1362" t="s">
        <v>456</v>
      </c>
      <c r="M1362" t="s">
        <v>164</v>
      </c>
      <c r="N1362" t="s">
        <v>26</v>
      </c>
      <c r="O1362" t="s">
        <v>27</v>
      </c>
      <c r="P1362" s="1">
        <v>44778</v>
      </c>
      <c r="Q1362">
        <f t="shared" si="105"/>
        <v>0</v>
      </c>
      <c r="R1362">
        <f t="shared" si="106"/>
        <v>1</v>
      </c>
      <c r="S1362">
        <f t="shared" si="107"/>
        <v>0</v>
      </c>
      <c r="T1362" s="11">
        <f t="shared" si="108"/>
        <v>2019</v>
      </c>
      <c r="U1362" s="11">
        <f t="shared" si="109"/>
        <v>18495</v>
      </c>
    </row>
    <row r="1363" spans="1:21" x14ac:dyDescent="0.3">
      <c r="A1363" t="s">
        <v>2033</v>
      </c>
      <c r="B1363">
        <v>2018</v>
      </c>
      <c r="C1363" t="s">
        <v>29</v>
      </c>
      <c r="D1363" t="s">
        <v>51</v>
      </c>
      <c r="E1363">
        <v>29380</v>
      </c>
      <c r="F1363" t="s">
        <v>52</v>
      </c>
      <c r="G1363">
        <v>92200</v>
      </c>
      <c r="H1363" t="s">
        <v>45</v>
      </c>
      <c r="I1363" t="s">
        <v>110</v>
      </c>
      <c r="J1363" t="s">
        <v>2034</v>
      </c>
      <c r="K1363" t="s">
        <v>23</v>
      </c>
      <c r="L1363" t="s">
        <v>197</v>
      </c>
      <c r="M1363" t="s">
        <v>198</v>
      </c>
      <c r="N1363" t="s">
        <v>26</v>
      </c>
      <c r="O1363" t="s">
        <v>27</v>
      </c>
      <c r="P1363" s="1">
        <v>44778</v>
      </c>
      <c r="Q1363">
        <f t="shared" si="105"/>
        <v>0</v>
      </c>
      <c r="R1363">
        <f t="shared" si="106"/>
        <v>1</v>
      </c>
      <c r="S1363">
        <f t="shared" si="107"/>
        <v>0</v>
      </c>
      <c r="T1363" s="11">
        <f t="shared" si="108"/>
        <v>2018</v>
      </c>
      <c r="U1363" s="11">
        <f t="shared" si="109"/>
        <v>29380</v>
      </c>
    </row>
    <row r="1364" spans="1:21" x14ac:dyDescent="0.3">
      <c r="A1364" t="s">
        <v>2035</v>
      </c>
      <c r="B1364">
        <v>2019</v>
      </c>
      <c r="C1364" t="s">
        <v>37</v>
      </c>
      <c r="D1364" t="s">
        <v>51</v>
      </c>
      <c r="E1364">
        <v>21827</v>
      </c>
      <c r="F1364" t="s">
        <v>52</v>
      </c>
      <c r="G1364">
        <v>96000</v>
      </c>
      <c r="H1364" t="s">
        <v>53</v>
      </c>
      <c r="I1364" t="s">
        <v>78</v>
      </c>
      <c r="J1364" t="s">
        <v>1333</v>
      </c>
      <c r="K1364" t="s">
        <v>23</v>
      </c>
      <c r="L1364" t="s">
        <v>183</v>
      </c>
      <c r="M1364" t="s">
        <v>25</v>
      </c>
      <c r="N1364" t="s">
        <v>26</v>
      </c>
      <c r="O1364" t="s">
        <v>27</v>
      </c>
      <c r="P1364" s="1">
        <v>44778</v>
      </c>
      <c r="Q1364">
        <f t="shared" si="105"/>
        <v>1</v>
      </c>
      <c r="R1364">
        <f t="shared" si="106"/>
        <v>0</v>
      </c>
      <c r="S1364">
        <f t="shared" si="107"/>
        <v>0</v>
      </c>
      <c r="T1364" s="11">
        <f t="shared" si="108"/>
        <v>2019</v>
      </c>
      <c r="U1364" s="11">
        <f t="shared" si="109"/>
        <v>21827</v>
      </c>
    </row>
    <row r="1365" spans="1:21" x14ac:dyDescent="0.3">
      <c r="A1365" t="s">
        <v>2036</v>
      </c>
      <c r="B1365">
        <v>2020</v>
      </c>
      <c r="C1365" t="s">
        <v>56</v>
      </c>
      <c r="D1365" t="s">
        <v>93</v>
      </c>
      <c r="E1365">
        <v>15638</v>
      </c>
      <c r="F1365" t="s">
        <v>57</v>
      </c>
      <c r="G1365">
        <v>55500</v>
      </c>
      <c r="H1365" t="s">
        <v>20</v>
      </c>
      <c r="I1365" t="s">
        <v>58</v>
      </c>
      <c r="J1365" t="s">
        <v>842</v>
      </c>
      <c r="K1365" t="s">
        <v>23</v>
      </c>
      <c r="L1365" t="s">
        <v>201</v>
      </c>
      <c r="M1365" t="s">
        <v>202</v>
      </c>
      <c r="N1365" t="s">
        <v>203</v>
      </c>
      <c r="O1365" t="s">
        <v>27</v>
      </c>
      <c r="P1365" s="1">
        <v>44778</v>
      </c>
      <c r="Q1365">
        <f t="shared" si="105"/>
        <v>0</v>
      </c>
      <c r="R1365">
        <f t="shared" si="106"/>
        <v>0</v>
      </c>
      <c r="S1365">
        <f t="shared" si="107"/>
        <v>0</v>
      </c>
      <c r="T1365" s="11">
        <f t="shared" si="108"/>
        <v>2020</v>
      </c>
      <c r="U1365" s="11">
        <f t="shared" si="109"/>
        <v>15638</v>
      </c>
    </row>
    <row r="1366" spans="1:21" x14ac:dyDescent="0.3">
      <c r="A1366" t="s">
        <v>2037</v>
      </c>
      <c r="B1366">
        <v>2020</v>
      </c>
      <c r="C1366" t="s">
        <v>56</v>
      </c>
      <c r="D1366" t="s">
        <v>32</v>
      </c>
      <c r="E1366">
        <v>24397</v>
      </c>
      <c r="F1366" t="s">
        <v>57</v>
      </c>
      <c r="G1366">
        <v>55200</v>
      </c>
      <c r="H1366" t="s">
        <v>77</v>
      </c>
      <c r="I1366" t="s">
        <v>78</v>
      </c>
      <c r="J1366" t="s">
        <v>650</v>
      </c>
      <c r="K1366" t="s">
        <v>23</v>
      </c>
      <c r="L1366" t="s">
        <v>201</v>
      </c>
      <c r="M1366" t="s">
        <v>202</v>
      </c>
      <c r="N1366" t="s">
        <v>203</v>
      </c>
      <c r="O1366" t="s">
        <v>27</v>
      </c>
      <c r="P1366" s="1">
        <v>44778</v>
      </c>
      <c r="Q1366">
        <f t="shared" si="105"/>
        <v>0</v>
      </c>
      <c r="R1366">
        <f t="shared" si="106"/>
        <v>0</v>
      </c>
      <c r="S1366">
        <f t="shared" si="107"/>
        <v>0</v>
      </c>
      <c r="T1366" s="11">
        <f t="shared" si="108"/>
        <v>2020</v>
      </c>
      <c r="U1366" s="11">
        <f t="shared" si="109"/>
        <v>24397</v>
      </c>
    </row>
    <row r="1367" spans="1:21" x14ac:dyDescent="0.3">
      <c r="A1367" t="s">
        <v>2038</v>
      </c>
      <c r="B1367">
        <v>2020</v>
      </c>
      <c r="C1367" t="s">
        <v>17</v>
      </c>
      <c r="D1367" t="s">
        <v>53</v>
      </c>
      <c r="E1367">
        <v>18177</v>
      </c>
      <c r="F1367" t="s">
        <v>207</v>
      </c>
      <c r="G1367">
        <v>76600</v>
      </c>
      <c r="H1367" t="s">
        <v>20</v>
      </c>
      <c r="I1367" t="s">
        <v>78</v>
      </c>
      <c r="J1367" t="s">
        <v>524</v>
      </c>
      <c r="K1367" t="s">
        <v>23</v>
      </c>
      <c r="L1367" t="s">
        <v>763</v>
      </c>
      <c r="M1367" t="s">
        <v>426</v>
      </c>
      <c r="N1367" t="s">
        <v>35</v>
      </c>
      <c r="O1367" t="s">
        <v>27</v>
      </c>
      <c r="P1367" s="1">
        <v>44778</v>
      </c>
      <c r="Q1367">
        <f t="shared" si="105"/>
        <v>0</v>
      </c>
      <c r="R1367">
        <f t="shared" si="106"/>
        <v>0</v>
      </c>
      <c r="S1367">
        <f t="shared" si="107"/>
        <v>1</v>
      </c>
      <c r="T1367" s="11">
        <f t="shared" si="108"/>
        <v>2020</v>
      </c>
      <c r="U1367" s="11">
        <f t="shared" si="109"/>
        <v>18177</v>
      </c>
    </row>
    <row r="1368" spans="1:21" x14ac:dyDescent="0.3">
      <c r="A1368" t="s">
        <v>2039</v>
      </c>
      <c r="B1368">
        <v>2020</v>
      </c>
      <c r="C1368" t="s">
        <v>56</v>
      </c>
      <c r="D1368" t="s">
        <v>32</v>
      </c>
      <c r="E1368">
        <v>28336</v>
      </c>
      <c r="F1368" t="s">
        <v>57</v>
      </c>
      <c r="G1368">
        <v>53900</v>
      </c>
      <c r="H1368" t="s">
        <v>77</v>
      </c>
      <c r="I1368" t="s">
        <v>78</v>
      </c>
      <c r="J1368" t="s">
        <v>650</v>
      </c>
      <c r="K1368" t="s">
        <v>23</v>
      </c>
      <c r="L1368" t="s">
        <v>84</v>
      </c>
      <c r="M1368" t="s">
        <v>48</v>
      </c>
      <c r="N1368" t="s">
        <v>69</v>
      </c>
      <c r="O1368" t="s">
        <v>27</v>
      </c>
      <c r="P1368" s="1">
        <v>44778</v>
      </c>
      <c r="Q1368">
        <f t="shared" si="105"/>
        <v>0</v>
      </c>
      <c r="R1368">
        <f t="shared" si="106"/>
        <v>0</v>
      </c>
      <c r="S1368">
        <f t="shared" si="107"/>
        <v>0</v>
      </c>
      <c r="T1368" s="11">
        <f t="shared" si="108"/>
        <v>2020</v>
      </c>
      <c r="U1368" s="11">
        <f t="shared" si="109"/>
        <v>28336</v>
      </c>
    </row>
    <row r="1369" spans="1:21" x14ac:dyDescent="0.3">
      <c r="A1369" t="s">
        <v>2040</v>
      </c>
      <c r="B1369">
        <v>2018</v>
      </c>
      <c r="C1369" t="s">
        <v>56</v>
      </c>
      <c r="D1369" t="s">
        <v>32</v>
      </c>
      <c r="E1369">
        <v>15097</v>
      </c>
      <c r="F1369" t="s">
        <v>57</v>
      </c>
      <c r="G1369">
        <v>53100</v>
      </c>
      <c r="H1369" t="s">
        <v>20</v>
      </c>
      <c r="I1369" t="s">
        <v>78</v>
      </c>
      <c r="J1369" t="s">
        <v>275</v>
      </c>
      <c r="K1369" t="s">
        <v>23</v>
      </c>
      <c r="L1369" t="s">
        <v>67</v>
      </c>
      <c r="M1369" t="s">
        <v>68</v>
      </c>
      <c r="N1369" t="s">
        <v>69</v>
      </c>
      <c r="O1369" t="s">
        <v>27</v>
      </c>
      <c r="P1369" s="1">
        <v>44778</v>
      </c>
      <c r="Q1369">
        <f t="shared" si="105"/>
        <v>0</v>
      </c>
      <c r="R1369">
        <f t="shared" si="106"/>
        <v>0</v>
      </c>
      <c r="S1369">
        <f t="shared" si="107"/>
        <v>0</v>
      </c>
      <c r="T1369" s="11">
        <f t="shared" si="108"/>
        <v>2018</v>
      </c>
      <c r="U1369" s="11">
        <f t="shared" si="109"/>
        <v>15097</v>
      </c>
    </row>
    <row r="1370" spans="1:21" x14ac:dyDescent="0.3">
      <c r="A1370" t="s">
        <v>2041</v>
      </c>
      <c r="B1370">
        <v>2018</v>
      </c>
      <c r="C1370" t="s">
        <v>56</v>
      </c>
      <c r="D1370" t="s">
        <v>30</v>
      </c>
      <c r="E1370">
        <v>35775</v>
      </c>
      <c r="F1370" t="s">
        <v>57</v>
      </c>
      <c r="G1370">
        <v>52300</v>
      </c>
      <c r="H1370" t="s">
        <v>20</v>
      </c>
      <c r="I1370" t="s">
        <v>58</v>
      </c>
      <c r="J1370" t="s">
        <v>413</v>
      </c>
      <c r="K1370" t="s">
        <v>23</v>
      </c>
      <c r="L1370" t="s">
        <v>345</v>
      </c>
      <c r="M1370" t="s">
        <v>48</v>
      </c>
      <c r="N1370" t="s">
        <v>69</v>
      </c>
      <c r="O1370" t="s">
        <v>27</v>
      </c>
      <c r="P1370" s="1">
        <v>44778</v>
      </c>
      <c r="Q1370">
        <f t="shared" si="105"/>
        <v>0</v>
      </c>
      <c r="R1370">
        <f t="shared" si="106"/>
        <v>0</v>
      </c>
      <c r="S1370">
        <f t="shared" si="107"/>
        <v>0</v>
      </c>
      <c r="T1370" s="11">
        <f t="shared" si="108"/>
        <v>2018</v>
      </c>
      <c r="U1370" s="11">
        <f t="shared" si="109"/>
        <v>35775</v>
      </c>
    </row>
    <row r="1371" spans="1:21" x14ac:dyDescent="0.3">
      <c r="A1371" t="s">
        <v>2042</v>
      </c>
      <c r="B1371">
        <v>2018</v>
      </c>
      <c r="C1371" t="s">
        <v>56</v>
      </c>
      <c r="D1371" t="s">
        <v>93</v>
      </c>
      <c r="E1371">
        <v>25519</v>
      </c>
      <c r="F1371" t="s">
        <v>57</v>
      </c>
      <c r="G1371">
        <v>52200</v>
      </c>
      <c r="H1371" t="s">
        <v>77</v>
      </c>
      <c r="I1371" t="s">
        <v>78</v>
      </c>
      <c r="J1371" t="s">
        <v>280</v>
      </c>
      <c r="K1371" t="s">
        <v>23</v>
      </c>
      <c r="L1371" t="s">
        <v>84</v>
      </c>
      <c r="M1371" t="s">
        <v>48</v>
      </c>
      <c r="N1371" t="s">
        <v>69</v>
      </c>
      <c r="O1371" t="s">
        <v>27</v>
      </c>
      <c r="P1371" s="1">
        <v>44778</v>
      </c>
      <c r="Q1371">
        <f t="shared" si="105"/>
        <v>0</v>
      </c>
      <c r="R1371">
        <f t="shared" si="106"/>
        <v>0</v>
      </c>
      <c r="S1371">
        <f t="shared" si="107"/>
        <v>0</v>
      </c>
      <c r="T1371" s="11">
        <f t="shared" si="108"/>
        <v>2018</v>
      </c>
      <c r="U1371" s="11">
        <f t="shared" si="109"/>
        <v>25519</v>
      </c>
    </row>
    <row r="1372" spans="1:21" x14ac:dyDescent="0.3">
      <c r="A1372" t="s">
        <v>2043</v>
      </c>
      <c r="B1372">
        <v>2020</v>
      </c>
      <c r="C1372" t="s">
        <v>56</v>
      </c>
      <c r="D1372" t="s">
        <v>32</v>
      </c>
      <c r="E1372">
        <v>73991</v>
      </c>
      <c r="F1372" t="s">
        <v>57</v>
      </c>
      <c r="G1372">
        <v>50800</v>
      </c>
      <c r="H1372" t="s">
        <v>20</v>
      </c>
      <c r="I1372" t="s">
        <v>58</v>
      </c>
      <c r="J1372" t="s">
        <v>168</v>
      </c>
      <c r="K1372" t="s">
        <v>23</v>
      </c>
      <c r="L1372" t="s">
        <v>345</v>
      </c>
      <c r="M1372" t="s">
        <v>48</v>
      </c>
      <c r="N1372" t="s">
        <v>69</v>
      </c>
      <c r="O1372" t="s">
        <v>27</v>
      </c>
      <c r="P1372" s="1">
        <v>44778</v>
      </c>
      <c r="Q1372">
        <f t="shared" si="105"/>
        <v>0</v>
      </c>
      <c r="R1372">
        <f t="shared" si="106"/>
        <v>0</v>
      </c>
      <c r="S1372">
        <f t="shared" si="107"/>
        <v>0</v>
      </c>
      <c r="T1372" s="11">
        <f t="shared" si="108"/>
        <v>2020</v>
      </c>
      <c r="U1372" s="11">
        <f t="shared" si="109"/>
        <v>73991</v>
      </c>
    </row>
    <row r="1373" spans="1:21" x14ac:dyDescent="0.3">
      <c r="A1373" t="s">
        <v>2044</v>
      </c>
      <c r="B1373">
        <v>2018</v>
      </c>
      <c r="C1373" t="s">
        <v>37</v>
      </c>
      <c r="D1373" t="s">
        <v>18</v>
      </c>
      <c r="E1373">
        <v>15570</v>
      </c>
      <c r="F1373" t="s">
        <v>52</v>
      </c>
      <c r="G1373">
        <v>85000</v>
      </c>
      <c r="H1373" t="s">
        <v>45</v>
      </c>
      <c r="I1373" t="s">
        <v>78</v>
      </c>
      <c r="J1373" t="s">
        <v>2045</v>
      </c>
      <c r="K1373" t="s">
        <v>23</v>
      </c>
      <c r="L1373" t="s">
        <v>474</v>
      </c>
      <c r="M1373" t="s">
        <v>255</v>
      </c>
      <c r="N1373" t="s">
        <v>256</v>
      </c>
      <c r="O1373" t="s">
        <v>27</v>
      </c>
      <c r="P1373" s="1">
        <v>44778</v>
      </c>
      <c r="Q1373">
        <f t="shared" si="105"/>
        <v>1</v>
      </c>
      <c r="R1373">
        <f t="shared" si="106"/>
        <v>0</v>
      </c>
      <c r="S1373">
        <f t="shared" si="107"/>
        <v>0</v>
      </c>
      <c r="T1373" s="11">
        <f t="shared" si="108"/>
        <v>2018</v>
      </c>
      <c r="U1373" s="11">
        <f t="shared" si="109"/>
        <v>15570</v>
      </c>
    </row>
    <row r="1374" spans="1:21" x14ac:dyDescent="0.3">
      <c r="A1374" t="s">
        <v>2046</v>
      </c>
      <c r="B1374">
        <v>2019</v>
      </c>
      <c r="C1374" t="s">
        <v>29</v>
      </c>
      <c r="D1374" t="s">
        <v>32</v>
      </c>
      <c r="E1374">
        <v>39801</v>
      </c>
      <c r="F1374" t="s">
        <v>44</v>
      </c>
      <c r="G1374">
        <v>94300</v>
      </c>
      <c r="H1374" t="s">
        <v>53</v>
      </c>
      <c r="I1374" t="s">
        <v>21</v>
      </c>
      <c r="J1374" t="s">
        <v>2047</v>
      </c>
      <c r="K1374" t="s">
        <v>23</v>
      </c>
      <c r="L1374" t="s">
        <v>87</v>
      </c>
      <c r="M1374" t="s">
        <v>88</v>
      </c>
      <c r="N1374" t="s">
        <v>89</v>
      </c>
      <c r="O1374" t="s">
        <v>27</v>
      </c>
      <c r="P1374" s="1">
        <v>44778</v>
      </c>
      <c r="Q1374">
        <f t="shared" si="105"/>
        <v>0</v>
      </c>
      <c r="R1374">
        <f t="shared" si="106"/>
        <v>1</v>
      </c>
      <c r="S1374">
        <f t="shared" si="107"/>
        <v>0</v>
      </c>
      <c r="T1374" s="11">
        <f t="shared" si="108"/>
        <v>2019</v>
      </c>
      <c r="U1374" s="11">
        <f t="shared" si="109"/>
        <v>39801</v>
      </c>
    </row>
    <row r="1375" spans="1:21" x14ac:dyDescent="0.3">
      <c r="A1375" t="s">
        <v>2048</v>
      </c>
      <c r="B1375">
        <v>2020</v>
      </c>
      <c r="C1375" t="s">
        <v>56</v>
      </c>
      <c r="D1375" t="s">
        <v>32</v>
      </c>
      <c r="E1375">
        <v>18021</v>
      </c>
      <c r="F1375" t="s">
        <v>65</v>
      </c>
      <c r="G1375">
        <v>49700</v>
      </c>
      <c r="H1375" t="s">
        <v>20</v>
      </c>
      <c r="I1375" t="s">
        <v>58</v>
      </c>
      <c r="J1375" t="s">
        <v>192</v>
      </c>
      <c r="K1375" t="s">
        <v>23</v>
      </c>
      <c r="L1375" t="s">
        <v>494</v>
      </c>
      <c r="M1375" t="s">
        <v>113</v>
      </c>
      <c r="N1375" t="s">
        <v>114</v>
      </c>
      <c r="O1375" t="s">
        <v>27</v>
      </c>
      <c r="P1375" s="1">
        <v>44778</v>
      </c>
      <c r="Q1375">
        <f t="shared" si="105"/>
        <v>0</v>
      </c>
      <c r="R1375">
        <f t="shared" si="106"/>
        <v>0</v>
      </c>
      <c r="S1375">
        <f t="shared" si="107"/>
        <v>0</v>
      </c>
      <c r="T1375" s="11">
        <f t="shared" si="108"/>
        <v>2020</v>
      </c>
      <c r="U1375" s="11">
        <f t="shared" si="109"/>
        <v>18021</v>
      </c>
    </row>
    <row r="1376" spans="1:21" x14ac:dyDescent="0.3">
      <c r="A1376" t="s">
        <v>2049</v>
      </c>
      <c r="B1376">
        <v>2021</v>
      </c>
      <c r="C1376" t="s">
        <v>56</v>
      </c>
      <c r="D1376" t="s">
        <v>32</v>
      </c>
      <c r="E1376">
        <v>15456</v>
      </c>
      <c r="F1376" t="s">
        <v>57</v>
      </c>
      <c r="G1376">
        <v>62100</v>
      </c>
      <c r="H1376" t="s">
        <v>20</v>
      </c>
      <c r="I1376" t="s">
        <v>78</v>
      </c>
      <c r="J1376" t="s">
        <v>275</v>
      </c>
      <c r="K1376" t="s">
        <v>23</v>
      </c>
      <c r="L1376" t="s">
        <v>278</v>
      </c>
      <c r="M1376" t="s">
        <v>148</v>
      </c>
      <c r="N1376" t="s">
        <v>149</v>
      </c>
      <c r="O1376" t="s">
        <v>27</v>
      </c>
      <c r="P1376" s="1">
        <v>44778</v>
      </c>
      <c r="Q1376">
        <f t="shared" si="105"/>
        <v>0</v>
      </c>
      <c r="R1376">
        <f t="shared" si="106"/>
        <v>0</v>
      </c>
      <c r="S1376">
        <f t="shared" si="107"/>
        <v>0</v>
      </c>
      <c r="T1376" s="11">
        <f t="shared" si="108"/>
        <v>2021</v>
      </c>
      <c r="U1376" s="11">
        <f t="shared" si="109"/>
        <v>15456</v>
      </c>
    </row>
    <row r="1377" spans="1:21" x14ac:dyDescent="0.3">
      <c r="A1377" t="s">
        <v>2050</v>
      </c>
      <c r="B1377">
        <v>2021</v>
      </c>
      <c r="C1377" t="s">
        <v>56</v>
      </c>
      <c r="D1377" t="s">
        <v>32</v>
      </c>
      <c r="E1377">
        <v>20023</v>
      </c>
      <c r="F1377" t="s">
        <v>65</v>
      </c>
      <c r="G1377">
        <v>52300</v>
      </c>
      <c r="H1377" t="s">
        <v>20</v>
      </c>
      <c r="I1377" t="s">
        <v>78</v>
      </c>
      <c r="J1377" t="s">
        <v>317</v>
      </c>
      <c r="K1377" t="s">
        <v>23</v>
      </c>
      <c r="L1377" t="s">
        <v>278</v>
      </c>
      <c r="M1377" t="s">
        <v>148</v>
      </c>
      <c r="N1377" t="s">
        <v>149</v>
      </c>
      <c r="O1377" t="s">
        <v>27</v>
      </c>
      <c r="P1377" s="1">
        <v>44778</v>
      </c>
      <c r="Q1377">
        <f t="shared" si="105"/>
        <v>0</v>
      </c>
      <c r="R1377">
        <f t="shared" si="106"/>
        <v>0</v>
      </c>
      <c r="S1377">
        <f t="shared" si="107"/>
        <v>0</v>
      </c>
      <c r="T1377" s="11">
        <f t="shared" si="108"/>
        <v>2021</v>
      </c>
      <c r="U1377" s="11">
        <f t="shared" si="109"/>
        <v>20023</v>
      </c>
    </row>
    <row r="1378" spans="1:21" x14ac:dyDescent="0.3">
      <c r="A1378" t="s">
        <v>2051</v>
      </c>
      <c r="B1378">
        <v>2021</v>
      </c>
      <c r="C1378" t="s">
        <v>56</v>
      </c>
      <c r="D1378" t="s">
        <v>30</v>
      </c>
      <c r="E1378">
        <v>10888</v>
      </c>
      <c r="F1378" t="s">
        <v>143</v>
      </c>
      <c r="G1378">
        <v>67200</v>
      </c>
      <c r="H1378" t="s">
        <v>77</v>
      </c>
      <c r="J1378" t="s">
        <v>1284</v>
      </c>
      <c r="K1378" t="s">
        <v>23</v>
      </c>
      <c r="O1378" t="s">
        <v>27</v>
      </c>
      <c r="P1378" s="1">
        <v>44778</v>
      </c>
      <c r="Q1378">
        <f t="shared" si="105"/>
        <v>0</v>
      </c>
      <c r="R1378">
        <f t="shared" si="106"/>
        <v>0</v>
      </c>
      <c r="S1378">
        <f t="shared" si="107"/>
        <v>0</v>
      </c>
      <c r="T1378" s="11">
        <f t="shared" si="108"/>
        <v>2021</v>
      </c>
      <c r="U1378" s="11">
        <f t="shared" si="109"/>
        <v>10888</v>
      </c>
    </row>
    <row r="1379" spans="1:21" x14ac:dyDescent="0.3">
      <c r="A1379" t="s">
        <v>2052</v>
      </c>
      <c r="B1379">
        <v>2019</v>
      </c>
      <c r="C1379" t="s">
        <v>56</v>
      </c>
      <c r="D1379" t="s">
        <v>32</v>
      </c>
      <c r="E1379">
        <v>14165</v>
      </c>
      <c r="F1379" t="s">
        <v>65</v>
      </c>
      <c r="G1379">
        <v>50800</v>
      </c>
      <c r="H1379" t="s">
        <v>20</v>
      </c>
      <c r="I1379" t="s">
        <v>58</v>
      </c>
      <c r="J1379" t="s">
        <v>192</v>
      </c>
      <c r="K1379" t="s">
        <v>23</v>
      </c>
      <c r="L1379" t="s">
        <v>297</v>
      </c>
      <c r="N1379" t="s">
        <v>298</v>
      </c>
      <c r="O1379" t="s">
        <v>27</v>
      </c>
      <c r="P1379" s="1">
        <v>44778</v>
      </c>
      <c r="Q1379">
        <f t="shared" si="105"/>
        <v>0</v>
      </c>
      <c r="R1379">
        <f t="shared" si="106"/>
        <v>0</v>
      </c>
      <c r="S1379">
        <f t="shared" si="107"/>
        <v>0</v>
      </c>
      <c r="T1379" s="11">
        <f t="shared" si="108"/>
        <v>2019</v>
      </c>
      <c r="U1379" s="11">
        <f t="shared" si="109"/>
        <v>14165</v>
      </c>
    </row>
    <row r="1380" spans="1:21" x14ac:dyDescent="0.3">
      <c r="A1380" t="s">
        <v>2053</v>
      </c>
      <c r="B1380">
        <v>2021</v>
      </c>
      <c r="C1380" t="s">
        <v>37</v>
      </c>
      <c r="D1380" t="s">
        <v>51</v>
      </c>
      <c r="E1380">
        <v>9258</v>
      </c>
      <c r="F1380" t="s">
        <v>131</v>
      </c>
      <c r="G1380">
        <v>128200</v>
      </c>
      <c r="H1380" t="s">
        <v>53</v>
      </c>
      <c r="I1380" t="s">
        <v>78</v>
      </c>
      <c r="J1380" t="s">
        <v>408</v>
      </c>
      <c r="K1380" t="s">
        <v>23</v>
      </c>
      <c r="L1380" t="s">
        <v>137</v>
      </c>
      <c r="M1380" t="s">
        <v>138</v>
      </c>
      <c r="N1380" t="s">
        <v>139</v>
      </c>
      <c r="O1380" t="s">
        <v>27</v>
      </c>
      <c r="P1380" s="1">
        <v>44778</v>
      </c>
      <c r="Q1380">
        <f t="shared" si="105"/>
        <v>1</v>
      </c>
      <c r="R1380">
        <f t="shared" si="106"/>
        <v>0</v>
      </c>
      <c r="S1380">
        <f t="shared" si="107"/>
        <v>0</v>
      </c>
      <c r="T1380" s="11">
        <f t="shared" si="108"/>
        <v>2021</v>
      </c>
      <c r="U1380" s="11">
        <f t="shared" si="109"/>
        <v>9258</v>
      </c>
    </row>
    <row r="1381" spans="1:21" x14ac:dyDescent="0.3">
      <c r="A1381" t="s">
        <v>2054</v>
      </c>
      <c r="B1381">
        <v>2019</v>
      </c>
      <c r="C1381" t="s">
        <v>37</v>
      </c>
      <c r="D1381" t="s">
        <v>51</v>
      </c>
      <c r="E1381">
        <v>3762</v>
      </c>
      <c r="F1381" t="s">
        <v>2055</v>
      </c>
      <c r="G1381">
        <v>85000</v>
      </c>
      <c r="H1381" t="s">
        <v>45</v>
      </c>
      <c r="I1381" t="s">
        <v>78</v>
      </c>
      <c r="J1381" t="s">
        <v>452</v>
      </c>
      <c r="K1381" t="s">
        <v>23</v>
      </c>
      <c r="L1381" t="s">
        <v>137</v>
      </c>
      <c r="M1381" t="s">
        <v>138</v>
      </c>
      <c r="N1381" t="s">
        <v>139</v>
      </c>
      <c r="O1381" t="s">
        <v>27</v>
      </c>
      <c r="P1381" s="1">
        <v>44778</v>
      </c>
      <c r="Q1381">
        <f t="shared" si="105"/>
        <v>1</v>
      </c>
      <c r="R1381">
        <f t="shared" si="106"/>
        <v>0</v>
      </c>
      <c r="S1381">
        <f t="shared" si="107"/>
        <v>0</v>
      </c>
      <c r="T1381" s="11">
        <f t="shared" si="108"/>
        <v>2019</v>
      </c>
      <c r="U1381" s="11">
        <f t="shared" si="109"/>
        <v>3762</v>
      </c>
    </row>
    <row r="1382" spans="1:21" x14ac:dyDescent="0.3">
      <c r="A1382" t="s">
        <v>2056</v>
      </c>
      <c r="B1382">
        <v>2018</v>
      </c>
      <c r="C1382" t="s">
        <v>29</v>
      </c>
      <c r="D1382" t="s">
        <v>32</v>
      </c>
      <c r="E1382">
        <v>58272</v>
      </c>
      <c r="F1382" t="s">
        <v>270</v>
      </c>
      <c r="G1382">
        <v>81000</v>
      </c>
      <c r="H1382" t="s">
        <v>45</v>
      </c>
      <c r="I1382" t="s">
        <v>110</v>
      </c>
      <c r="J1382" t="s">
        <v>2057</v>
      </c>
      <c r="K1382" t="s">
        <v>23</v>
      </c>
      <c r="L1382" t="s">
        <v>41</v>
      </c>
      <c r="M1382" t="s">
        <v>42</v>
      </c>
      <c r="N1382" t="s">
        <v>26</v>
      </c>
      <c r="O1382" t="s">
        <v>27</v>
      </c>
      <c r="P1382" s="1">
        <v>44778</v>
      </c>
      <c r="Q1382">
        <f t="shared" si="105"/>
        <v>0</v>
      </c>
      <c r="R1382">
        <f t="shared" si="106"/>
        <v>1</v>
      </c>
      <c r="S1382">
        <f t="shared" si="107"/>
        <v>0</v>
      </c>
      <c r="T1382" s="11">
        <f t="shared" si="108"/>
        <v>2018</v>
      </c>
      <c r="U1382" s="11">
        <f t="shared" si="109"/>
        <v>58272</v>
      </c>
    </row>
    <row r="1383" spans="1:21" x14ac:dyDescent="0.3">
      <c r="A1383" t="s">
        <v>2058</v>
      </c>
      <c r="B1383">
        <v>2022</v>
      </c>
      <c r="C1383" t="s">
        <v>56</v>
      </c>
      <c r="D1383" t="s">
        <v>76</v>
      </c>
      <c r="E1383">
        <v>8560</v>
      </c>
      <c r="F1383" t="s">
        <v>143</v>
      </c>
      <c r="G1383">
        <v>69700</v>
      </c>
      <c r="H1383" t="s">
        <v>77</v>
      </c>
      <c r="J1383" t="s">
        <v>1769</v>
      </c>
      <c r="K1383" t="s">
        <v>23</v>
      </c>
      <c r="L1383" t="s">
        <v>175</v>
      </c>
      <c r="M1383" t="s">
        <v>42</v>
      </c>
      <c r="N1383" t="s">
        <v>26</v>
      </c>
      <c r="O1383" t="s">
        <v>27</v>
      </c>
      <c r="P1383" s="1">
        <v>44778</v>
      </c>
      <c r="Q1383">
        <f t="shared" si="105"/>
        <v>0</v>
      </c>
      <c r="R1383">
        <f t="shared" si="106"/>
        <v>0</v>
      </c>
      <c r="S1383">
        <f t="shared" si="107"/>
        <v>0</v>
      </c>
      <c r="T1383" s="11">
        <f t="shared" si="108"/>
        <v>2022</v>
      </c>
      <c r="U1383" s="11">
        <f t="shared" si="109"/>
        <v>8560</v>
      </c>
    </row>
    <row r="1384" spans="1:21" x14ac:dyDescent="0.3">
      <c r="A1384" t="s">
        <v>2059</v>
      </c>
      <c r="B1384">
        <v>2020</v>
      </c>
      <c r="C1384" t="s">
        <v>56</v>
      </c>
      <c r="D1384" t="s">
        <v>32</v>
      </c>
      <c r="E1384">
        <v>19343</v>
      </c>
      <c r="F1384" t="s">
        <v>57</v>
      </c>
      <c r="G1384">
        <v>56000</v>
      </c>
      <c r="H1384" t="s">
        <v>20</v>
      </c>
      <c r="I1384" t="s">
        <v>58</v>
      </c>
      <c r="J1384" t="s">
        <v>168</v>
      </c>
      <c r="K1384" t="s">
        <v>23</v>
      </c>
      <c r="L1384" t="s">
        <v>41</v>
      </c>
      <c r="M1384" t="s">
        <v>42</v>
      </c>
      <c r="N1384" t="s">
        <v>26</v>
      </c>
      <c r="O1384" t="s">
        <v>27</v>
      </c>
      <c r="P1384" s="1">
        <v>44778</v>
      </c>
      <c r="Q1384">
        <f t="shared" si="105"/>
        <v>0</v>
      </c>
      <c r="R1384">
        <f t="shared" si="106"/>
        <v>0</v>
      </c>
      <c r="S1384">
        <f t="shared" si="107"/>
        <v>0</v>
      </c>
      <c r="T1384" s="11">
        <f t="shared" si="108"/>
        <v>2020</v>
      </c>
      <c r="U1384" s="11">
        <f t="shared" si="109"/>
        <v>19343</v>
      </c>
    </row>
    <row r="1385" spans="1:21" x14ac:dyDescent="0.3">
      <c r="A1385" t="s">
        <v>2060</v>
      </c>
      <c r="B1385">
        <v>2019</v>
      </c>
      <c r="C1385" t="s">
        <v>56</v>
      </c>
      <c r="D1385" t="s">
        <v>93</v>
      </c>
      <c r="E1385">
        <v>36186</v>
      </c>
      <c r="F1385" t="s">
        <v>65</v>
      </c>
      <c r="G1385">
        <v>47300</v>
      </c>
      <c r="H1385" t="s">
        <v>20</v>
      </c>
      <c r="I1385" t="s">
        <v>78</v>
      </c>
      <c r="J1385" t="s">
        <v>536</v>
      </c>
      <c r="K1385" t="s">
        <v>23</v>
      </c>
      <c r="L1385" t="s">
        <v>197</v>
      </c>
      <c r="M1385" t="s">
        <v>198</v>
      </c>
      <c r="N1385" t="s">
        <v>26</v>
      </c>
      <c r="O1385" t="s">
        <v>27</v>
      </c>
      <c r="P1385" s="1">
        <v>44778</v>
      </c>
      <c r="Q1385">
        <f t="shared" si="105"/>
        <v>0</v>
      </c>
      <c r="R1385">
        <f t="shared" si="106"/>
        <v>0</v>
      </c>
      <c r="S1385">
        <f t="shared" si="107"/>
        <v>0</v>
      </c>
      <c r="T1385" s="11">
        <f t="shared" si="108"/>
        <v>2019</v>
      </c>
      <c r="U1385" s="11">
        <f t="shared" si="109"/>
        <v>36186</v>
      </c>
    </row>
    <row r="1386" spans="1:21" x14ac:dyDescent="0.3">
      <c r="A1386" t="s">
        <v>2061</v>
      </c>
      <c r="B1386">
        <v>2019</v>
      </c>
      <c r="C1386" t="s">
        <v>56</v>
      </c>
      <c r="D1386" t="s">
        <v>30</v>
      </c>
      <c r="E1386">
        <v>40623</v>
      </c>
      <c r="F1386" t="s">
        <v>57</v>
      </c>
      <c r="G1386">
        <v>52400</v>
      </c>
      <c r="H1386" t="s">
        <v>20</v>
      </c>
      <c r="I1386" t="s">
        <v>58</v>
      </c>
      <c r="J1386" t="s">
        <v>413</v>
      </c>
      <c r="K1386" t="s">
        <v>23</v>
      </c>
      <c r="L1386" t="s">
        <v>224</v>
      </c>
      <c r="M1386" t="s">
        <v>202</v>
      </c>
      <c r="N1386" t="s">
        <v>203</v>
      </c>
      <c r="O1386" t="s">
        <v>27</v>
      </c>
      <c r="P1386" s="1">
        <v>44777</v>
      </c>
      <c r="Q1386">
        <f t="shared" si="105"/>
        <v>0</v>
      </c>
      <c r="R1386">
        <f t="shared" si="106"/>
        <v>0</v>
      </c>
      <c r="S1386">
        <f t="shared" si="107"/>
        <v>0</v>
      </c>
      <c r="T1386" s="11">
        <f t="shared" si="108"/>
        <v>2019</v>
      </c>
      <c r="U1386" s="11">
        <f t="shared" si="109"/>
        <v>40623</v>
      </c>
    </row>
    <row r="1387" spans="1:21" x14ac:dyDescent="0.3">
      <c r="A1387" t="s">
        <v>2062</v>
      </c>
      <c r="B1387">
        <v>2021</v>
      </c>
      <c r="C1387" t="s">
        <v>37</v>
      </c>
      <c r="D1387" t="s">
        <v>32</v>
      </c>
      <c r="E1387">
        <v>4039</v>
      </c>
      <c r="F1387" t="s">
        <v>131</v>
      </c>
      <c r="G1387">
        <v>135500</v>
      </c>
      <c r="H1387" t="s">
        <v>32</v>
      </c>
      <c r="I1387" t="s">
        <v>39</v>
      </c>
      <c r="J1387" t="s">
        <v>679</v>
      </c>
      <c r="K1387" t="s">
        <v>23</v>
      </c>
      <c r="L1387" t="s">
        <v>47</v>
      </c>
      <c r="M1387" t="s">
        <v>48</v>
      </c>
      <c r="N1387" t="s">
        <v>49</v>
      </c>
      <c r="O1387" t="s">
        <v>27</v>
      </c>
      <c r="P1387" s="1">
        <v>44777</v>
      </c>
      <c r="Q1387">
        <f t="shared" si="105"/>
        <v>1</v>
      </c>
      <c r="R1387">
        <f t="shared" si="106"/>
        <v>0</v>
      </c>
      <c r="S1387">
        <f t="shared" si="107"/>
        <v>0</v>
      </c>
      <c r="T1387" s="11">
        <f t="shared" si="108"/>
        <v>2021</v>
      </c>
      <c r="U1387" s="11">
        <f t="shared" si="109"/>
        <v>4039</v>
      </c>
    </row>
    <row r="1388" spans="1:21" x14ac:dyDescent="0.3">
      <c r="A1388" t="s">
        <v>2063</v>
      </c>
      <c r="B1388">
        <v>2020</v>
      </c>
      <c r="C1388" t="s">
        <v>56</v>
      </c>
      <c r="D1388" t="s">
        <v>32</v>
      </c>
      <c r="E1388">
        <v>36982</v>
      </c>
      <c r="F1388" t="s">
        <v>57</v>
      </c>
      <c r="G1388">
        <v>55300</v>
      </c>
      <c r="H1388" t="s">
        <v>20</v>
      </c>
      <c r="I1388" t="s">
        <v>58</v>
      </c>
      <c r="J1388" t="s">
        <v>168</v>
      </c>
      <c r="K1388" t="s">
        <v>23</v>
      </c>
      <c r="L1388" t="s">
        <v>193</v>
      </c>
      <c r="M1388" t="s">
        <v>194</v>
      </c>
      <c r="N1388" t="s">
        <v>26</v>
      </c>
      <c r="O1388" t="s">
        <v>27</v>
      </c>
      <c r="P1388" s="1">
        <v>44777</v>
      </c>
      <c r="Q1388">
        <f t="shared" si="105"/>
        <v>0</v>
      </c>
      <c r="R1388">
        <f t="shared" si="106"/>
        <v>0</v>
      </c>
      <c r="S1388">
        <f t="shared" si="107"/>
        <v>0</v>
      </c>
      <c r="T1388" s="11">
        <f t="shared" si="108"/>
        <v>2020</v>
      </c>
      <c r="U1388" s="11">
        <f t="shared" si="109"/>
        <v>36982</v>
      </c>
    </row>
    <row r="1389" spans="1:21" x14ac:dyDescent="0.3">
      <c r="A1389" t="s">
        <v>2064</v>
      </c>
      <c r="B1389">
        <v>2020</v>
      </c>
      <c r="C1389" t="s">
        <v>56</v>
      </c>
      <c r="D1389" t="s">
        <v>32</v>
      </c>
      <c r="E1389">
        <v>24885</v>
      </c>
      <c r="F1389" t="s">
        <v>57</v>
      </c>
      <c r="G1389">
        <v>56400</v>
      </c>
      <c r="H1389" t="s">
        <v>77</v>
      </c>
      <c r="I1389" t="s">
        <v>78</v>
      </c>
      <c r="J1389" t="s">
        <v>650</v>
      </c>
      <c r="K1389" t="s">
        <v>23</v>
      </c>
      <c r="L1389" t="s">
        <v>95</v>
      </c>
      <c r="M1389" t="s">
        <v>96</v>
      </c>
      <c r="N1389" t="s">
        <v>89</v>
      </c>
      <c r="O1389" t="s">
        <v>27</v>
      </c>
      <c r="P1389" s="1">
        <v>44777</v>
      </c>
      <c r="Q1389">
        <f t="shared" si="105"/>
        <v>0</v>
      </c>
      <c r="R1389">
        <f t="shared" si="106"/>
        <v>0</v>
      </c>
      <c r="S1389">
        <f t="shared" si="107"/>
        <v>0</v>
      </c>
      <c r="T1389" s="11">
        <f t="shared" si="108"/>
        <v>2020</v>
      </c>
      <c r="U1389" s="11">
        <f t="shared" si="109"/>
        <v>24885</v>
      </c>
    </row>
    <row r="1390" spans="1:21" x14ac:dyDescent="0.3">
      <c r="A1390" t="s">
        <v>2065</v>
      </c>
      <c r="B1390">
        <v>2021</v>
      </c>
      <c r="C1390" t="s">
        <v>56</v>
      </c>
      <c r="D1390" t="s">
        <v>76</v>
      </c>
      <c r="E1390">
        <v>10585</v>
      </c>
      <c r="F1390" t="s">
        <v>57</v>
      </c>
      <c r="G1390">
        <v>66400</v>
      </c>
      <c r="H1390" t="s">
        <v>20</v>
      </c>
      <c r="I1390" t="s">
        <v>58</v>
      </c>
      <c r="J1390" t="s">
        <v>979</v>
      </c>
      <c r="K1390" t="s">
        <v>23</v>
      </c>
      <c r="L1390" t="s">
        <v>183</v>
      </c>
      <c r="M1390" t="s">
        <v>25</v>
      </c>
      <c r="N1390" t="s">
        <v>26</v>
      </c>
      <c r="O1390" t="s">
        <v>27</v>
      </c>
      <c r="P1390" s="1">
        <v>44777</v>
      </c>
      <c r="Q1390">
        <f t="shared" si="105"/>
        <v>0</v>
      </c>
      <c r="R1390">
        <f t="shared" si="106"/>
        <v>0</v>
      </c>
      <c r="S1390">
        <f t="shared" si="107"/>
        <v>0</v>
      </c>
      <c r="T1390" s="11">
        <f t="shared" si="108"/>
        <v>2021</v>
      </c>
      <c r="U1390" s="11">
        <f t="shared" si="109"/>
        <v>10585</v>
      </c>
    </row>
    <row r="1391" spans="1:21" x14ac:dyDescent="0.3">
      <c r="A1391" t="s">
        <v>2066</v>
      </c>
      <c r="B1391">
        <v>2019</v>
      </c>
      <c r="C1391" t="s">
        <v>56</v>
      </c>
      <c r="D1391" t="s">
        <v>53</v>
      </c>
      <c r="E1391">
        <v>18037</v>
      </c>
      <c r="F1391" t="s">
        <v>65</v>
      </c>
      <c r="G1391">
        <v>51000</v>
      </c>
      <c r="H1391" t="s">
        <v>20</v>
      </c>
      <c r="I1391" t="s">
        <v>58</v>
      </c>
      <c r="J1391" t="s">
        <v>66</v>
      </c>
      <c r="K1391" t="s">
        <v>23</v>
      </c>
      <c r="L1391" t="s">
        <v>95</v>
      </c>
      <c r="M1391" t="s">
        <v>96</v>
      </c>
      <c r="N1391" t="s">
        <v>89</v>
      </c>
      <c r="O1391" t="s">
        <v>27</v>
      </c>
      <c r="P1391" s="1">
        <v>44777</v>
      </c>
      <c r="Q1391">
        <f t="shared" si="105"/>
        <v>0</v>
      </c>
      <c r="R1391">
        <f t="shared" si="106"/>
        <v>0</v>
      </c>
      <c r="S1391">
        <f t="shared" si="107"/>
        <v>0</v>
      </c>
      <c r="T1391" s="11">
        <f t="shared" si="108"/>
        <v>2019</v>
      </c>
      <c r="U1391" s="11">
        <f t="shared" si="109"/>
        <v>18037</v>
      </c>
    </row>
    <row r="1392" spans="1:21" x14ac:dyDescent="0.3">
      <c r="A1392" t="s">
        <v>2067</v>
      </c>
      <c r="B1392">
        <v>2017</v>
      </c>
      <c r="C1392" t="s">
        <v>29</v>
      </c>
      <c r="D1392" t="s">
        <v>18</v>
      </c>
      <c r="E1392">
        <v>82906</v>
      </c>
      <c r="F1392" t="s">
        <v>52</v>
      </c>
      <c r="G1392">
        <v>75000</v>
      </c>
      <c r="H1392" t="s">
        <v>32</v>
      </c>
      <c r="I1392" t="s">
        <v>21</v>
      </c>
      <c r="J1392" t="s">
        <v>2068</v>
      </c>
      <c r="K1392" t="s">
        <v>23</v>
      </c>
      <c r="L1392" t="s">
        <v>183</v>
      </c>
      <c r="M1392" t="s">
        <v>25</v>
      </c>
      <c r="N1392" t="s">
        <v>26</v>
      </c>
      <c r="O1392" t="s">
        <v>27</v>
      </c>
      <c r="P1392" s="1">
        <v>44777</v>
      </c>
      <c r="Q1392">
        <f t="shared" si="105"/>
        <v>0</v>
      </c>
      <c r="R1392">
        <f t="shared" si="106"/>
        <v>1</v>
      </c>
      <c r="S1392">
        <f t="shared" si="107"/>
        <v>0</v>
      </c>
      <c r="T1392" s="11">
        <f t="shared" si="108"/>
        <v>2017</v>
      </c>
      <c r="U1392" s="11">
        <f t="shared" si="109"/>
        <v>82906</v>
      </c>
    </row>
    <row r="1393" spans="1:21" x14ac:dyDescent="0.3">
      <c r="A1393" t="s">
        <v>2069</v>
      </c>
      <c r="B1393">
        <v>2019</v>
      </c>
      <c r="C1393" t="s">
        <v>56</v>
      </c>
      <c r="D1393" t="s">
        <v>93</v>
      </c>
      <c r="E1393">
        <v>27647</v>
      </c>
      <c r="F1393" t="s">
        <v>71</v>
      </c>
      <c r="G1393">
        <v>56100</v>
      </c>
      <c r="H1393" t="s">
        <v>20</v>
      </c>
      <c r="I1393" t="s">
        <v>21</v>
      </c>
      <c r="J1393" t="s">
        <v>332</v>
      </c>
      <c r="K1393" t="s">
        <v>23</v>
      </c>
      <c r="L1393" t="s">
        <v>117</v>
      </c>
      <c r="M1393" t="s">
        <v>118</v>
      </c>
      <c r="N1393" t="s">
        <v>119</v>
      </c>
      <c r="O1393" t="s">
        <v>27</v>
      </c>
      <c r="P1393" s="1">
        <v>44777</v>
      </c>
      <c r="Q1393">
        <f t="shared" si="105"/>
        <v>0</v>
      </c>
      <c r="R1393">
        <f t="shared" si="106"/>
        <v>0</v>
      </c>
      <c r="S1393">
        <f t="shared" si="107"/>
        <v>0</v>
      </c>
      <c r="T1393" s="11">
        <f t="shared" si="108"/>
        <v>2019</v>
      </c>
      <c r="U1393" s="11">
        <f t="shared" si="109"/>
        <v>27647</v>
      </c>
    </row>
    <row r="1394" spans="1:21" x14ac:dyDescent="0.3">
      <c r="A1394" t="s">
        <v>2070</v>
      </c>
      <c r="B1394">
        <v>2020</v>
      </c>
      <c r="C1394" t="s">
        <v>29</v>
      </c>
      <c r="D1394" t="s">
        <v>32</v>
      </c>
      <c r="E1394">
        <v>23858</v>
      </c>
      <c r="F1394" t="s">
        <v>31</v>
      </c>
      <c r="G1394">
        <v>99000</v>
      </c>
      <c r="H1394" t="s">
        <v>53</v>
      </c>
      <c r="I1394" t="s">
        <v>110</v>
      </c>
      <c r="J1394" t="s">
        <v>795</v>
      </c>
      <c r="K1394" t="s">
        <v>23</v>
      </c>
      <c r="L1394" t="s">
        <v>24</v>
      </c>
      <c r="M1394" t="s">
        <v>25</v>
      </c>
      <c r="N1394" t="s">
        <v>26</v>
      </c>
      <c r="O1394" t="s">
        <v>27</v>
      </c>
      <c r="P1394" s="1">
        <v>44777</v>
      </c>
      <c r="Q1394">
        <f t="shared" si="105"/>
        <v>0</v>
      </c>
      <c r="R1394">
        <f t="shared" si="106"/>
        <v>1</v>
      </c>
      <c r="S1394">
        <f t="shared" si="107"/>
        <v>0</v>
      </c>
      <c r="T1394" s="11">
        <f t="shared" si="108"/>
        <v>2020</v>
      </c>
      <c r="U1394" s="11">
        <f t="shared" si="109"/>
        <v>23858</v>
      </c>
    </row>
    <row r="1395" spans="1:21" x14ac:dyDescent="0.3">
      <c r="A1395" t="s">
        <v>2071</v>
      </c>
      <c r="B1395">
        <v>2019</v>
      </c>
      <c r="C1395" t="s">
        <v>29</v>
      </c>
      <c r="D1395" t="s">
        <v>76</v>
      </c>
      <c r="E1395">
        <v>13069</v>
      </c>
      <c r="F1395" t="s">
        <v>44</v>
      </c>
      <c r="G1395">
        <v>108100</v>
      </c>
      <c r="H1395" t="s">
        <v>53</v>
      </c>
      <c r="I1395" t="s">
        <v>110</v>
      </c>
      <c r="J1395" t="s">
        <v>2072</v>
      </c>
      <c r="K1395" t="s">
        <v>23</v>
      </c>
      <c r="L1395" t="s">
        <v>112</v>
      </c>
      <c r="M1395" t="s">
        <v>113</v>
      </c>
      <c r="N1395" t="s">
        <v>114</v>
      </c>
      <c r="O1395" t="s">
        <v>27</v>
      </c>
      <c r="P1395" s="1">
        <v>44777</v>
      </c>
      <c r="Q1395">
        <f t="shared" si="105"/>
        <v>0</v>
      </c>
      <c r="R1395">
        <f t="shared" si="106"/>
        <v>1</v>
      </c>
      <c r="S1395">
        <f t="shared" si="107"/>
        <v>0</v>
      </c>
      <c r="T1395" s="11">
        <f t="shared" si="108"/>
        <v>2019</v>
      </c>
      <c r="U1395" s="11">
        <f t="shared" si="109"/>
        <v>13069</v>
      </c>
    </row>
    <row r="1396" spans="1:21" x14ac:dyDescent="0.3">
      <c r="A1396" t="s">
        <v>2073</v>
      </c>
      <c r="B1396">
        <v>2019</v>
      </c>
      <c r="C1396" t="s">
        <v>56</v>
      </c>
      <c r="D1396" t="s">
        <v>32</v>
      </c>
      <c r="E1396">
        <v>37704</v>
      </c>
      <c r="F1396" t="s">
        <v>57</v>
      </c>
      <c r="G1396">
        <v>53500</v>
      </c>
      <c r="H1396" t="s">
        <v>20</v>
      </c>
      <c r="I1396" t="s">
        <v>58</v>
      </c>
      <c r="J1396" t="s">
        <v>168</v>
      </c>
      <c r="K1396" t="s">
        <v>23</v>
      </c>
      <c r="L1396" t="s">
        <v>456</v>
      </c>
      <c r="M1396" t="s">
        <v>164</v>
      </c>
      <c r="N1396" t="s">
        <v>26</v>
      </c>
      <c r="O1396" t="s">
        <v>27</v>
      </c>
      <c r="P1396" s="1">
        <v>44777</v>
      </c>
      <c r="Q1396">
        <f t="shared" si="105"/>
        <v>0</v>
      </c>
      <c r="R1396">
        <f t="shared" si="106"/>
        <v>0</v>
      </c>
      <c r="S1396">
        <f t="shared" si="107"/>
        <v>0</v>
      </c>
      <c r="T1396" s="11">
        <f t="shared" si="108"/>
        <v>2019</v>
      </c>
      <c r="U1396" s="11">
        <f t="shared" si="109"/>
        <v>37704</v>
      </c>
    </row>
    <row r="1397" spans="1:21" x14ac:dyDescent="0.3">
      <c r="A1397" t="s">
        <v>2074</v>
      </c>
      <c r="B1397">
        <v>2019</v>
      </c>
      <c r="C1397" t="s">
        <v>29</v>
      </c>
      <c r="D1397" t="s">
        <v>51</v>
      </c>
      <c r="E1397">
        <v>33066</v>
      </c>
      <c r="F1397" t="s">
        <v>44</v>
      </c>
      <c r="G1397">
        <v>98700</v>
      </c>
      <c r="H1397" t="s">
        <v>45</v>
      </c>
      <c r="I1397" t="s">
        <v>110</v>
      </c>
      <c r="J1397" t="s">
        <v>2075</v>
      </c>
      <c r="K1397" t="s">
        <v>23</v>
      </c>
      <c r="L1397" t="s">
        <v>112</v>
      </c>
      <c r="M1397" t="s">
        <v>113</v>
      </c>
      <c r="N1397" t="s">
        <v>114</v>
      </c>
      <c r="O1397" t="s">
        <v>27</v>
      </c>
      <c r="P1397" s="1">
        <v>44777</v>
      </c>
      <c r="Q1397">
        <f t="shared" si="105"/>
        <v>0</v>
      </c>
      <c r="R1397">
        <f t="shared" si="106"/>
        <v>1</v>
      </c>
      <c r="S1397">
        <f t="shared" si="107"/>
        <v>0</v>
      </c>
      <c r="T1397" s="11">
        <f t="shared" si="108"/>
        <v>2019</v>
      </c>
      <c r="U1397" s="11">
        <f t="shared" si="109"/>
        <v>33066</v>
      </c>
    </row>
    <row r="1398" spans="1:21" x14ac:dyDescent="0.3">
      <c r="A1398" t="s">
        <v>2076</v>
      </c>
      <c r="B1398">
        <v>2019</v>
      </c>
      <c r="C1398" t="s">
        <v>56</v>
      </c>
      <c r="D1398" t="s">
        <v>76</v>
      </c>
      <c r="E1398">
        <v>37772</v>
      </c>
      <c r="F1398" t="s">
        <v>57</v>
      </c>
      <c r="G1398">
        <v>54100</v>
      </c>
      <c r="H1398" t="s">
        <v>20</v>
      </c>
      <c r="I1398" t="s">
        <v>58</v>
      </c>
      <c r="J1398" t="s">
        <v>979</v>
      </c>
      <c r="K1398" t="s">
        <v>23</v>
      </c>
      <c r="L1398" t="s">
        <v>197</v>
      </c>
      <c r="M1398" t="s">
        <v>198</v>
      </c>
      <c r="N1398" t="s">
        <v>26</v>
      </c>
      <c r="O1398" t="s">
        <v>27</v>
      </c>
      <c r="P1398" s="1">
        <v>44777</v>
      </c>
      <c r="Q1398">
        <f t="shared" si="105"/>
        <v>0</v>
      </c>
      <c r="R1398">
        <f t="shared" si="106"/>
        <v>0</v>
      </c>
      <c r="S1398">
        <f t="shared" si="107"/>
        <v>0</v>
      </c>
      <c r="T1398" s="11">
        <f t="shared" si="108"/>
        <v>2019</v>
      </c>
      <c r="U1398" s="11">
        <f t="shared" si="109"/>
        <v>37772</v>
      </c>
    </row>
    <row r="1399" spans="1:21" x14ac:dyDescent="0.3">
      <c r="A1399" t="s">
        <v>2077</v>
      </c>
      <c r="B1399">
        <v>2019</v>
      </c>
      <c r="C1399" t="s">
        <v>56</v>
      </c>
      <c r="D1399" t="s">
        <v>30</v>
      </c>
      <c r="E1399">
        <v>15140</v>
      </c>
      <c r="F1399" t="s">
        <v>57</v>
      </c>
      <c r="G1399">
        <v>54600</v>
      </c>
      <c r="H1399" t="s">
        <v>20</v>
      </c>
      <c r="I1399" t="s">
        <v>58</v>
      </c>
      <c r="J1399" t="s">
        <v>413</v>
      </c>
      <c r="K1399" t="s">
        <v>23</v>
      </c>
      <c r="L1399" t="s">
        <v>122</v>
      </c>
      <c r="M1399" t="s">
        <v>113</v>
      </c>
      <c r="N1399" t="s">
        <v>114</v>
      </c>
      <c r="O1399" t="s">
        <v>27</v>
      </c>
      <c r="P1399" s="1">
        <v>44777</v>
      </c>
      <c r="Q1399">
        <f t="shared" si="105"/>
        <v>0</v>
      </c>
      <c r="R1399">
        <f t="shared" si="106"/>
        <v>0</v>
      </c>
      <c r="S1399">
        <f t="shared" si="107"/>
        <v>0</v>
      </c>
      <c r="T1399" s="11">
        <f t="shared" si="108"/>
        <v>2019</v>
      </c>
      <c r="U1399" s="11">
        <f t="shared" si="109"/>
        <v>15140</v>
      </c>
    </row>
    <row r="1400" spans="1:21" x14ac:dyDescent="0.3">
      <c r="A1400" t="s">
        <v>2078</v>
      </c>
      <c r="B1400">
        <v>2019</v>
      </c>
      <c r="C1400" t="s">
        <v>56</v>
      </c>
      <c r="D1400" t="s">
        <v>30</v>
      </c>
      <c r="E1400">
        <v>8842</v>
      </c>
      <c r="F1400" t="s">
        <v>57</v>
      </c>
      <c r="G1400">
        <v>56800</v>
      </c>
      <c r="H1400" t="s">
        <v>77</v>
      </c>
      <c r="I1400" t="s">
        <v>58</v>
      </c>
      <c r="J1400" t="s">
        <v>284</v>
      </c>
      <c r="K1400" t="s">
        <v>23</v>
      </c>
      <c r="L1400" t="s">
        <v>205</v>
      </c>
      <c r="M1400" t="s">
        <v>42</v>
      </c>
      <c r="N1400" t="s">
        <v>26</v>
      </c>
      <c r="O1400" t="s">
        <v>27</v>
      </c>
      <c r="P1400" s="1">
        <v>44777</v>
      </c>
      <c r="Q1400">
        <f t="shared" si="105"/>
        <v>0</v>
      </c>
      <c r="R1400">
        <f t="shared" si="106"/>
        <v>0</v>
      </c>
      <c r="S1400">
        <f t="shared" si="107"/>
        <v>0</v>
      </c>
      <c r="T1400" s="11">
        <f t="shared" si="108"/>
        <v>2019</v>
      </c>
      <c r="U1400" s="11">
        <f t="shared" si="109"/>
        <v>8842</v>
      </c>
    </row>
    <row r="1401" spans="1:21" x14ac:dyDescent="0.3">
      <c r="A1401" t="s">
        <v>2079</v>
      </c>
      <c r="B1401">
        <v>2020</v>
      </c>
      <c r="C1401" t="s">
        <v>56</v>
      </c>
      <c r="D1401" t="s">
        <v>76</v>
      </c>
      <c r="E1401">
        <v>14260</v>
      </c>
      <c r="F1401" t="s">
        <v>57</v>
      </c>
      <c r="G1401">
        <v>59600</v>
      </c>
      <c r="H1401" t="s">
        <v>20</v>
      </c>
      <c r="I1401" t="s">
        <v>58</v>
      </c>
      <c r="J1401" t="s">
        <v>979</v>
      </c>
      <c r="K1401" t="s">
        <v>23</v>
      </c>
      <c r="L1401" t="s">
        <v>494</v>
      </c>
      <c r="M1401" t="s">
        <v>113</v>
      </c>
      <c r="N1401" t="s">
        <v>114</v>
      </c>
      <c r="O1401" t="s">
        <v>27</v>
      </c>
      <c r="P1401" s="1">
        <v>44777</v>
      </c>
      <c r="Q1401">
        <f t="shared" si="105"/>
        <v>0</v>
      </c>
      <c r="R1401">
        <f t="shared" si="106"/>
        <v>0</v>
      </c>
      <c r="S1401">
        <f t="shared" si="107"/>
        <v>0</v>
      </c>
      <c r="T1401" s="11">
        <f t="shared" si="108"/>
        <v>2020</v>
      </c>
      <c r="U1401" s="11">
        <f t="shared" si="109"/>
        <v>14260</v>
      </c>
    </row>
    <row r="1402" spans="1:21" x14ac:dyDescent="0.3">
      <c r="A1402" t="s">
        <v>2080</v>
      </c>
      <c r="B1402">
        <v>2019</v>
      </c>
      <c r="C1402" t="s">
        <v>56</v>
      </c>
      <c r="D1402" t="s">
        <v>30</v>
      </c>
      <c r="E1402">
        <v>14068</v>
      </c>
      <c r="F1402" t="s">
        <v>57</v>
      </c>
      <c r="G1402">
        <v>58600</v>
      </c>
      <c r="H1402" t="s">
        <v>77</v>
      </c>
      <c r="I1402" t="s">
        <v>78</v>
      </c>
      <c r="J1402" t="s">
        <v>1702</v>
      </c>
      <c r="K1402" t="s">
        <v>23</v>
      </c>
      <c r="L1402" t="s">
        <v>197</v>
      </c>
      <c r="M1402" t="s">
        <v>198</v>
      </c>
      <c r="N1402" t="s">
        <v>26</v>
      </c>
      <c r="O1402" t="s">
        <v>27</v>
      </c>
      <c r="P1402" s="1">
        <v>44777</v>
      </c>
      <c r="Q1402">
        <f t="shared" si="105"/>
        <v>0</v>
      </c>
      <c r="R1402">
        <f t="shared" si="106"/>
        <v>0</v>
      </c>
      <c r="S1402">
        <f t="shared" si="107"/>
        <v>0</v>
      </c>
      <c r="T1402" s="11">
        <f t="shared" si="108"/>
        <v>2019</v>
      </c>
      <c r="U1402" s="11">
        <f t="shared" si="109"/>
        <v>14068</v>
      </c>
    </row>
    <row r="1403" spans="1:21" x14ac:dyDescent="0.3">
      <c r="A1403" t="s">
        <v>2081</v>
      </c>
      <c r="B1403">
        <v>2020</v>
      </c>
      <c r="C1403" t="s">
        <v>56</v>
      </c>
      <c r="D1403" t="s">
        <v>93</v>
      </c>
      <c r="E1403">
        <v>21488</v>
      </c>
      <c r="F1403" t="s">
        <v>65</v>
      </c>
      <c r="G1403">
        <v>50500</v>
      </c>
      <c r="H1403" t="s">
        <v>20</v>
      </c>
      <c r="I1403" t="s">
        <v>78</v>
      </c>
      <c r="J1403" t="s">
        <v>536</v>
      </c>
      <c r="K1403" t="s">
        <v>23</v>
      </c>
      <c r="O1403" t="s">
        <v>27</v>
      </c>
      <c r="P1403" s="1">
        <v>44777</v>
      </c>
      <c r="Q1403">
        <f t="shared" si="105"/>
        <v>0</v>
      </c>
      <c r="R1403">
        <f t="shared" si="106"/>
        <v>0</v>
      </c>
      <c r="S1403">
        <f t="shared" si="107"/>
        <v>0</v>
      </c>
      <c r="T1403" s="11">
        <f t="shared" si="108"/>
        <v>2020</v>
      </c>
      <c r="U1403" s="11">
        <f t="shared" si="109"/>
        <v>21488</v>
      </c>
    </row>
    <row r="1404" spans="1:21" x14ac:dyDescent="0.3">
      <c r="A1404" t="s">
        <v>2082</v>
      </c>
      <c r="B1404">
        <v>2022</v>
      </c>
      <c r="C1404" t="s">
        <v>29</v>
      </c>
      <c r="D1404" t="s">
        <v>30</v>
      </c>
      <c r="E1404">
        <v>8560</v>
      </c>
      <c r="F1404" t="s">
        <v>321</v>
      </c>
      <c r="G1404">
        <v>157900</v>
      </c>
      <c r="H1404" t="s">
        <v>45</v>
      </c>
      <c r="J1404" t="s">
        <v>2083</v>
      </c>
      <c r="K1404" t="s">
        <v>23</v>
      </c>
      <c r="L1404" t="s">
        <v>205</v>
      </c>
      <c r="M1404" t="s">
        <v>42</v>
      </c>
      <c r="N1404" t="s">
        <v>26</v>
      </c>
      <c r="O1404" t="s">
        <v>27</v>
      </c>
      <c r="P1404" s="1">
        <v>44777</v>
      </c>
      <c r="Q1404">
        <f t="shared" si="105"/>
        <v>0</v>
      </c>
      <c r="R1404">
        <f t="shared" si="106"/>
        <v>1</v>
      </c>
      <c r="S1404">
        <f t="shared" si="107"/>
        <v>0</v>
      </c>
      <c r="T1404" s="11">
        <f t="shared" si="108"/>
        <v>2022</v>
      </c>
      <c r="U1404" s="11">
        <f t="shared" si="109"/>
        <v>8560</v>
      </c>
    </row>
    <row r="1405" spans="1:21" x14ac:dyDescent="0.3">
      <c r="A1405" t="s">
        <v>2084</v>
      </c>
      <c r="B1405">
        <v>2020</v>
      </c>
      <c r="C1405" t="s">
        <v>29</v>
      </c>
      <c r="D1405" t="s">
        <v>51</v>
      </c>
      <c r="E1405">
        <v>21903</v>
      </c>
      <c r="F1405" t="s">
        <v>177</v>
      </c>
      <c r="G1405">
        <v>102300</v>
      </c>
      <c r="H1405" t="s">
        <v>32</v>
      </c>
      <c r="I1405" t="s">
        <v>110</v>
      </c>
      <c r="J1405" t="s">
        <v>2085</v>
      </c>
      <c r="K1405" t="s">
        <v>23</v>
      </c>
      <c r="L1405" t="s">
        <v>292</v>
      </c>
      <c r="M1405" t="s">
        <v>172</v>
      </c>
      <c r="N1405" t="s">
        <v>173</v>
      </c>
      <c r="O1405" t="s">
        <v>27</v>
      </c>
      <c r="P1405" s="1">
        <v>44777</v>
      </c>
      <c r="Q1405">
        <f t="shared" si="105"/>
        <v>0</v>
      </c>
      <c r="R1405">
        <f t="shared" si="106"/>
        <v>1</v>
      </c>
      <c r="S1405">
        <f t="shared" si="107"/>
        <v>0</v>
      </c>
      <c r="T1405" s="11">
        <f t="shared" si="108"/>
        <v>2020</v>
      </c>
      <c r="U1405" s="11">
        <f t="shared" si="109"/>
        <v>21903</v>
      </c>
    </row>
    <row r="1406" spans="1:21" x14ac:dyDescent="0.3">
      <c r="A1406" t="s">
        <v>2086</v>
      </c>
      <c r="B1406">
        <v>2020</v>
      </c>
      <c r="C1406" t="s">
        <v>56</v>
      </c>
      <c r="D1406" t="s">
        <v>93</v>
      </c>
      <c r="E1406">
        <v>42707</v>
      </c>
      <c r="F1406" t="s">
        <v>57</v>
      </c>
      <c r="G1406">
        <v>55600</v>
      </c>
      <c r="H1406" t="s">
        <v>20</v>
      </c>
      <c r="I1406" t="s">
        <v>58</v>
      </c>
      <c r="J1406" t="s">
        <v>842</v>
      </c>
      <c r="K1406" t="s">
        <v>23</v>
      </c>
      <c r="L1406" t="s">
        <v>179</v>
      </c>
      <c r="M1406" t="s">
        <v>180</v>
      </c>
      <c r="N1406" t="s">
        <v>173</v>
      </c>
      <c r="O1406" t="s">
        <v>27</v>
      </c>
      <c r="P1406" s="1">
        <v>44777</v>
      </c>
      <c r="Q1406">
        <f t="shared" si="105"/>
        <v>0</v>
      </c>
      <c r="R1406">
        <f t="shared" si="106"/>
        <v>0</v>
      </c>
      <c r="S1406">
        <f t="shared" si="107"/>
        <v>0</v>
      </c>
      <c r="T1406" s="11">
        <f t="shared" si="108"/>
        <v>2020</v>
      </c>
      <c r="U1406" s="11">
        <f t="shared" si="109"/>
        <v>42707</v>
      </c>
    </row>
    <row r="1407" spans="1:21" x14ac:dyDescent="0.3">
      <c r="A1407" t="s">
        <v>2087</v>
      </c>
      <c r="B1407">
        <v>2022</v>
      </c>
      <c r="C1407" t="s">
        <v>56</v>
      </c>
      <c r="D1407" t="s">
        <v>93</v>
      </c>
      <c r="E1407">
        <v>19660</v>
      </c>
      <c r="F1407" t="s">
        <v>508</v>
      </c>
      <c r="G1407">
        <v>68100</v>
      </c>
      <c r="H1407" t="s">
        <v>77</v>
      </c>
      <c r="I1407" t="s">
        <v>58</v>
      </c>
      <c r="J1407" t="s">
        <v>232</v>
      </c>
      <c r="K1407" t="s">
        <v>23</v>
      </c>
      <c r="L1407" t="s">
        <v>292</v>
      </c>
      <c r="M1407" t="s">
        <v>172</v>
      </c>
      <c r="N1407" t="s">
        <v>173</v>
      </c>
      <c r="O1407" t="s">
        <v>27</v>
      </c>
      <c r="P1407" s="1">
        <v>44777</v>
      </c>
      <c r="Q1407">
        <f t="shared" si="105"/>
        <v>0</v>
      </c>
      <c r="R1407">
        <f t="shared" si="106"/>
        <v>0</v>
      </c>
      <c r="S1407">
        <f t="shared" si="107"/>
        <v>0</v>
      </c>
      <c r="T1407" s="11">
        <f t="shared" si="108"/>
        <v>2022</v>
      </c>
      <c r="U1407" s="11">
        <f t="shared" si="109"/>
        <v>19660</v>
      </c>
    </row>
    <row r="1408" spans="1:21" x14ac:dyDescent="0.3">
      <c r="A1408" t="s">
        <v>2088</v>
      </c>
      <c r="B1408">
        <v>2020</v>
      </c>
      <c r="C1408" t="s">
        <v>56</v>
      </c>
      <c r="D1408" t="s">
        <v>30</v>
      </c>
      <c r="E1408">
        <v>14792</v>
      </c>
      <c r="F1408" t="s">
        <v>57</v>
      </c>
      <c r="G1408">
        <v>59100</v>
      </c>
      <c r="H1408" t="s">
        <v>20</v>
      </c>
      <c r="I1408" t="s">
        <v>58</v>
      </c>
      <c r="J1408" t="s">
        <v>413</v>
      </c>
      <c r="K1408" t="s">
        <v>23</v>
      </c>
      <c r="L1408" t="s">
        <v>179</v>
      </c>
      <c r="M1408" t="s">
        <v>180</v>
      </c>
      <c r="N1408" t="s">
        <v>173</v>
      </c>
      <c r="O1408" t="s">
        <v>27</v>
      </c>
      <c r="P1408" s="1">
        <v>44777</v>
      </c>
      <c r="Q1408">
        <f t="shared" si="105"/>
        <v>0</v>
      </c>
      <c r="R1408">
        <f t="shared" si="106"/>
        <v>0</v>
      </c>
      <c r="S1408">
        <f t="shared" si="107"/>
        <v>0</v>
      </c>
      <c r="T1408" s="11">
        <f t="shared" si="108"/>
        <v>2020</v>
      </c>
      <c r="U1408" s="11">
        <f t="shared" si="109"/>
        <v>14792</v>
      </c>
    </row>
    <row r="1409" spans="1:21" x14ac:dyDescent="0.3">
      <c r="A1409" t="s">
        <v>2089</v>
      </c>
      <c r="B1409">
        <v>2018</v>
      </c>
      <c r="C1409" t="s">
        <v>56</v>
      </c>
      <c r="D1409" t="s">
        <v>30</v>
      </c>
      <c r="E1409">
        <v>45901</v>
      </c>
      <c r="F1409" t="s">
        <v>234</v>
      </c>
      <c r="G1409">
        <v>49800</v>
      </c>
      <c r="H1409" t="s">
        <v>20</v>
      </c>
      <c r="I1409" t="s">
        <v>78</v>
      </c>
      <c r="J1409" t="s">
        <v>699</v>
      </c>
      <c r="K1409" t="s">
        <v>23</v>
      </c>
      <c r="L1409" t="s">
        <v>292</v>
      </c>
      <c r="M1409" t="s">
        <v>172</v>
      </c>
      <c r="N1409" t="s">
        <v>173</v>
      </c>
      <c r="O1409" t="s">
        <v>27</v>
      </c>
      <c r="P1409" s="1">
        <v>44777</v>
      </c>
      <c r="Q1409">
        <f t="shared" si="105"/>
        <v>0</v>
      </c>
      <c r="R1409">
        <f t="shared" si="106"/>
        <v>0</v>
      </c>
      <c r="S1409">
        <f t="shared" si="107"/>
        <v>0</v>
      </c>
      <c r="T1409" s="11">
        <f t="shared" si="108"/>
        <v>2018</v>
      </c>
      <c r="U1409" s="11">
        <f t="shared" si="109"/>
        <v>45901</v>
      </c>
    </row>
    <row r="1410" spans="1:21" x14ac:dyDescent="0.3">
      <c r="A1410" t="s">
        <v>2090</v>
      </c>
      <c r="B1410">
        <v>2018</v>
      </c>
      <c r="C1410" t="s">
        <v>56</v>
      </c>
      <c r="D1410" t="s">
        <v>76</v>
      </c>
      <c r="E1410">
        <v>43458</v>
      </c>
      <c r="F1410" t="s">
        <v>57</v>
      </c>
      <c r="G1410">
        <v>49800</v>
      </c>
      <c r="H1410" t="s">
        <v>20</v>
      </c>
      <c r="I1410" t="s">
        <v>78</v>
      </c>
      <c r="J1410" t="s">
        <v>347</v>
      </c>
      <c r="K1410" t="s">
        <v>23</v>
      </c>
      <c r="O1410" t="s">
        <v>27</v>
      </c>
      <c r="P1410" s="1">
        <v>44777</v>
      </c>
      <c r="Q1410">
        <f t="shared" ref="Q1410:Q1473" si="110">--(C1410="ms")</f>
        <v>0</v>
      </c>
      <c r="R1410">
        <f t="shared" ref="R1410:R1473" si="111">--(C1410="mx")</f>
        <v>0</v>
      </c>
      <c r="S1410">
        <f t="shared" ref="S1410:S1473" si="112">--(C1410="my")</f>
        <v>0</v>
      </c>
      <c r="T1410" s="11">
        <f t="shared" ref="T1410:T1473" si="113">B1410</f>
        <v>2018</v>
      </c>
      <c r="U1410" s="11">
        <f t="shared" ref="U1410:U1473" si="114">E1410</f>
        <v>43458</v>
      </c>
    </row>
    <row r="1411" spans="1:21" x14ac:dyDescent="0.3">
      <c r="A1411" t="s">
        <v>2091</v>
      </c>
      <c r="B1411">
        <v>2018</v>
      </c>
      <c r="C1411" t="s">
        <v>29</v>
      </c>
      <c r="D1411" t="s">
        <v>32</v>
      </c>
      <c r="E1411">
        <v>18338</v>
      </c>
      <c r="F1411" t="s">
        <v>270</v>
      </c>
      <c r="G1411">
        <v>99500</v>
      </c>
      <c r="H1411" t="s">
        <v>53</v>
      </c>
      <c r="I1411" t="s">
        <v>110</v>
      </c>
      <c r="J1411" t="s">
        <v>2092</v>
      </c>
      <c r="K1411" t="s">
        <v>23</v>
      </c>
      <c r="L1411" t="s">
        <v>137</v>
      </c>
      <c r="M1411" t="s">
        <v>138</v>
      </c>
      <c r="N1411" t="s">
        <v>139</v>
      </c>
      <c r="O1411" t="s">
        <v>27</v>
      </c>
      <c r="P1411" s="1">
        <v>44777</v>
      </c>
      <c r="Q1411">
        <f t="shared" si="110"/>
        <v>0</v>
      </c>
      <c r="R1411">
        <f t="shared" si="111"/>
        <v>1</v>
      </c>
      <c r="S1411">
        <f t="shared" si="112"/>
        <v>0</v>
      </c>
      <c r="T1411" s="11">
        <f t="shared" si="113"/>
        <v>2018</v>
      </c>
      <c r="U1411" s="11">
        <f t="shared" si="114"/>
        <v>18338</v>
      </c>
    </row>
    <row r="1412" spans="1:21" x14ac:dyDescent="0.3">
      <c r="A1412" t="s">
        <v>2093</v>
      </c>
      <c r="B1412">
        <v>2019</v>
      </c>
      <c r="C1412" t="s">
        <v>56</v>
      </c>
      <c r="D1412" t="s">
        <v>32</v>
      </c>
      <c r="E1412">
        <v>23191</v>
      </c>
      <c r="F1412" t="s">
        <v>65</v>
      </c>
      <c r="G1412">
        <v>50700</v>
      </c>
      <c r="H1412" t="s">
        <v>77</v>
      </c>
      <c r="I1412" t="s">
        <v>58</v>
      </c>
      <c r="J1412" t="s">
        <v>266</v>
      </c>
      <c r="K1412" t="s">
        <v>23</v>
      </c>
      <c r="O1412" t="s">
        <v>27</v>
      </c>
      <c r="P1412" s="1">
        <v>44777</v>
      </c>
      <c r="Q1412">
        <f t="shared" si="110"/>
        <v>0</v>
      </c>
      <c r="R1412">
        <f t="shared" si="111"/>
        <v>0</v>
      </c>
      <c r="S1412">
        <f t="shared" si="112"/>
        <v>0</v>
      </c>
      <c r="T1412" s="11">
        <f t="shared" si="113"/>
        <v>2019</v>
      </c>
      <c r="U1412" s="11">
        <f t="shared" si="114"/>
        <v>23191</v>
      </c>
    </row>
    <row r="1413" spans="1:21" x14ac:dyDescent="0.3">
      <c r="A1413" t="s">
        <v>2094</v>
      </c>
      <c r="B1413">
        <v>2019</v>
      </c>
      <c r="C1413" t="s">
        <v>56</v>
      </c>
      <c r="D1413" t="s">
        <v>32</v>
      </c>
      <c r="E1413">
        <v>34925</v>
      </c>
      <c r="F1413" t="s">
        <v>57</v>
      </c>
      <c r="G1413">
        <v>54800</v>
      </c>
      <c r="H1413" t="s">
        <v>20</v>
      </c>
      <c r="I1413" t="s">
        <v>78</v>
      </c>
      <c r="J1413" t="s">
        <v>275</v>
      </c>
      <c r="K1413" t="s">
        <v>23</v>
      </c>
      <c r="L1413" t="s">
        <v>137</v>
      </c>
      <c r="M1413" t="s">
        <v>138</v>
      </c>
      <c r="N1413" t="s">
        <v>139</v>
      </c>
      <c r="O1413" t="s">
        <v>27</v>
      </c>
      <c r="P1413" s="1">
        <v>44777</v>
      </c>
      <c r="Q1413">
        <f t="shared" si="110"/>
        <v>0</v>
      </c>
      <c r="R1413">
        <f t="shared" si="111"/>
        <v>0</v>
      </c>
      <c r="S1413">
        <f t="shared" si="112"/>
        <v>0</v>
      </c>
      <c r="T1413" s="11">
        <f t="shared" si="113"/>
        <v>2019</v>
      </c>
      <c r="U1413" s="11">
        <f t="shared" si="114"/>
        <v>34925</v>
      </c>
    </row>
    <row r="1414" spans="1:21" x14ac:dyDescent="0.3">
      <c r="A1414" t="s">
        <v>2095</v>
      </c>
      <c r="B1414">
        <v>2021</v>
      </c>
      <c r="C1414" t="s">
        <v>17</v>
      </c>
      <c r="D1414" t="s">
        <v>32</v>
      </c>
      <c r="E1414">
        <v>22656</v>
      </c>
      <c r="F1414" t="s">
        <v>19</v>
      </c>
      <c r="G1414">
        <v>75800</v>
      </c>
      <c r="H1414" t="s">
        <v>77</v>
      </c>
      <c r="I1414" t="s">
        <v>21</v>
      </c>
      <c r="J1414" t="s">
        <v>476</v>
      </c>
      <c r="K1414" t="s">
        <v>23</v>
      </c>
      <c r="O1414" t="s">
        <v>27</v>
      </c>
      <c r="P1414" s="1">
        <v>44777</v>
      </c>
      <c r="Q1414">
        <f t="shared" si="110"/>
        <v>0</v>
      </c>
      <c r="R1414">
        <f t="shared" si="111"/>
        <v>0</v>
      </c>
      <c r="S1414">
        <f t="shared" si="112"/>
        <v>1</v>
      </c>
      <c r="T1414" s="11">
        <f t="shared" si="113"/>
        <v>2021</v>
      </c>
      <c r="U1414" s="11">
        <f t="shared" si="114"/>
        <v>22656</v>
      </c>
    </row>
    <row r="1415" spans="1:21" x14ac:dyDescent="0.3">
      <c r="A1415" t="s">
        <v>2096</v>
      </c>
      <c r="B1415">
        <v>2019</v>
      </c>
      <c r="C1415" t="s">
        <v>56</v>
      </c>
      <c r="D1415" t="s">
        <v>30</v>
      </c>
      <c r="E1415">
        <v>62480</v>
      </c>
      <c r="F1415" t="s">
        <v>57</v>
      </c>
      <c r="G1415">
        <v>49500</v>
      </c>
      <c r="H1415" t="s">
        <v>20</v>
      </c>
      <c r="I1415" t="s">
        <v>78</v>
      </c>
      <c r="J1415" t="s">
        <v>124</v>
      </c>
      <c r="K1415" t="s">
        <v>23</v>
      </c>
      <c r="L1415" t="s">
        <v>137</v>
      </c>
      <c r="M1415" t="s">
        <v>138</v>
      </c>
      <c r="N1415" t="s">
        <v>139</v>
      </c>
      <c r="O1415" t="s">
        <v>27</v>
      </c>
      <c r="P1415" s="1">
        <v>44777</v>
      </c>
      <c r="Q1415">
        <f t="shared" si="110"/>
        <v>0</v>
      </c>
      <c r="R1415">
        <f t="shared" si="111"/>
        <v>0</v>
      </c>
      <c r="S1415">
        <f t="shared" si="112"/>
        <v>0</v>
      </c>
      <c r="T1415" s="11">
        <f t="shared" si="113"/>
        <v>2019</v>
      </c>
      <c r="U1415" s="11">
        <f t="shared" si="114"/>
        <v>62480</v>
      </c>
    </row>
    <row r="1416" spans="1:21" x14ac:dyDescent="0.3">
      <c r="A1416" t="s">
        <v>2097</v>
      </c>
      <c r="B1416">
        <v>2021</v>
      </c>
      <c r="C1416" t="s">
        <v>17</v>
      </c>
      <c r="D1416" t="s">
        <v>32</v>
      </c>
      <c r="E1416">
        <v>14842</v>
      </c>
      <c r="F1416" t="s">
        <v>207</v>
      </c>
      <c r="G1416">
        <v>78900</v>
      </c>
      <c r="H1416" t="s">
        <v>77</v>
      </c>
      <c r="I1416" t="s">
        <v>21</v>
      </c>
      <c r="J1416" t="s">
        <v>476</v>
      </c>
      <c r="K1416" t="s">
        <v>23</v>
      </c>
      <c r="O1416" t="s">
        <v>27</v>
      </c>
      <c r="P1416" s="1">
        <v>44777</v>
      </c>
      <c r="Q1416">
        <f t="shared" si="110"/>
        <v>0</v>
      </c>
      <c r="R1416">
        <f t="shared" si="111"/>
        <v>0</v>
      </c>
      <c r="S1416">
        <f t="shared" si="112"/>
        <v>1</v>
      </c>
      <c r="T1416" s="11">
        <f t="shared" si="113"/>
        <v>2021</v>
      </c>
      <c r="U1416" s="11">
        <f t="shared" si="114"/>
        <v>14842</v>
      </c>
    </row>
    <row r="1417" spans="1:21" x14ac:dyDescent="0.3">
      <c r="A1417" t="s">
        <v>2098</v>
      </c>
      <c r="B1417">
        <v>2020</v>
      </c>
      <c r="C1417" t="s">
        <v>56</v>
      </c>
      <c r="D1417" t="s">
        <v>30</v>
      </c>
      <c r="E1417">
        <v>13930</v>
      </c>
      <c r="F1417" t="s">
        <v>71</v>
      </c>
      <c r="G1417">
        <v>66300</v>
      </c>
      <c r="H1417" t="s">
        <v>20</v>
      </c>
      <c r="I1417" t="s">
        <v>58</v>
      </c>
      <c r="J1417" t="s">
        <v>1269</v>
      </c>
      <c r="K1417" t="s">
        <v>23</v>
      </c>
      <c r="L1417" t="s">
        <v>205</v>
      </c>
      <c r="M1417" t="s">
        <v>42</v>
      </c>
      <c r="N1417" t="s">
        <v>26</v>
      </c>
      <c r="O1417" t="s">
        <v>27</v>
      </c>
      <c r="P1417" s="1">
        <v>44777</v>
      </c>
      <c r="Q1417">
        <f t="shared" si="110"/>
        <v>0</v>
      </c>
      <c r="R1417">
        <f t="shared" si="111"/>
        <v>0</v>
      </c>
      <c r="S1417">
        <f t="shared" si="112"/>
        <v>0</v>
      </c>
      <c r="T1417" s="11">
        <f t="shared" si="113"/>
        <v>2020</v>
      </c>
      <c r="U1417" s="11">
        <f t="shared" si="114"/>
        <v>13930</v>
      </c>
    </row>
    <row r="1418" spans="1:21" x14ac:dyDescent="0.3">
      <c r="A1418" t="s">
        <v>2099</v>
      </c>
      <c r="B1418">
        <v>2019</v>
      </c>
      <c r="C1418" t="s">
        <v>56</v>
      </c>
      <c r="D1418" t="s">
        <v>53</v>
      </c>
      <c r="E1418">
        <v>95803</v>
      </c>
      <c r="F1418" t="s">
        <v>57</v>
      </c>
      <c r="G1418">
        <v>46600</v>
      </c>
      <c r="H1418" t="s">
        <v>20</v>
      </c>
      <c r="I1418" t="s">
        <v>58</v>
      </c>
      <c r="J1418" t="s">
        <v>59</v>
      </c>
      <c r="K1418" t="s">
        <v>23</v>
      </c>
      <c r="L1418" t="s">
        <v>147</v>
      </c>
      <c r="M1418" t="s">
        <v>148</v>
      </c>
      <c r="N1418" t="s">
        <v>149</v>
      </c>
      <c r="O1418" t="s">
        <v>27</v>
      </c>
      <c r="P1418" s="1">
        <v>44777</v>
      </c>
      <c r="Q1418">
        <f t="shared" si="110"/>
        <v>0</v>
      </c>
      <c r="R1418">
        <f t="shared" si="111"/>
        <v>0</v>
      </c>
      <c r="S1418">
        <f t="shared" si="112"/>
        <v>0</v>
      </c>
      <c r="T1418" s="11">
        <f t="shared" si="113"/>
        <v>2019</v>
      </c>
      <c r="U1418" s="11">
        <f t="shared" si="114"/>
        <v>95803</v>
      </c>
    </row>
    <row r="1419" spans="1:21" x14ac:dyDescent="0.3">
      <c r="A1419" t="s">
        <v>2100</v>
      </c>
      <c r="B1419">
        <v>2019</v>
      </c>
      <c r="C1419" t="s">
        <v>29</v>
      </c>
      <c r="D1419" t="s">
        <v>32</v>
      </c>
      <c r="E1419">
        <v>44617</v>
      </c>
      <c r="F1419" t="s">
        <v>177</v>
      </c>
      <c r="G1419">
        <v>97100</v>
      </c>
      <c r="H1419" t="s">
        <v>32</v>
      </c>
      <c r="I1419" t="s">
        <v>110</v>
      </c>
      <c r="J1419" t="s">
        <v>301</v>
      </c>
      <c r="K1419" t="s">
        <v>23</v>
      </c>
      <c r="L1419" t="s">
        <v>381</v>
      </c>
      <c r="M1419" t="s">
        <v>382</v>
      </c>
      <c r="N1419" t="s">
        <v>26</v>
      </c>
      <c r="O1419" t="s">
        <v>27</v>
      </c>
      <c r="P1419" s="1">
        <v>44777</v>
      </c>
      <c r="Q1419">
        <f t="shared" si="110"/>
        <v>0</v>
      </c>
      <c r="R1419">
        <f t="shared" si="111"/>
        <v>1</v>
      </c>
      <c r="S1419">
        <f t="shared" si="112"/>
        <v>0</v>
      </c>
      <c r="T1419" s="11">
        <f t="shared" si="113"/>
        <v>2019</v>
      </c>
      <c r="U1419" s="11">
        <f t="shared" si="114"/>
        <v>44617</v>
      </c>
    </row>
    <row r="1420" spans="1:21" x14ac:dyDescent="0.3">
      <c r="A1420" t="s">
        <v>2101</v>
      </c>
      <c r="B1420">
        <v>2021</v>
      </c>
      <c r="C1420" t="s">
        <v>37</v>
      </c>
      <c r="D1420" t="s">
        <v>30</v>
      </c>
      <c r="E1420">
        <v>3890</v>
      </c>
      <c r="F1420" t="s">
        <v>131</v>
      </c>
      <c r="G1420">
        <v>136700</v>
      </c>
      <c r="H1420" t="s">
        <v>53</v>
      </c>
      <c r="I1420" t="s">
        <v>39</v>
      </c>
      <c r="J1420" t="s">
        <v>560</v>
      </c>
      <c r="K1420" t="s">
        <v>23</v>
      </c>
      <c r="L1420" t="s">
        <v>2102</v>
      </c>
      <c r="M1420" t="s">
        <v>2103</v>
      </c>
      <c r="N1420" t="s">
        <v>582</v>
      </c>
      <c r="O1420" t="s">
        <v>27</v>
      </c>
      <c r="P1420" s="1">
        <v>44777</v>
      </c>
      <c r="Q1420">
        <f t="shared" si="110"/>
        <v>1</v>
      </c>
      <c r="R1420">
        <f t="shared" si="111"/>
        <v>0</v>
      </c>
      <c r="S1420">
        <f t="shared" si="112"/>
        <v>0</v>
      </c>
      <c r="T1420" s="11">
        <f t="shared" si="113"/>
        <v>2021</v>
      </c>
      <c r="U1420" s="11">
        <f t="shared" si="114"/>
        <v>3890</v>
      </c>
    </row>
    <row r="1421" spans="1:21" x14ac:dyDescent="0.3">
      <c r="A1421" t="s">
        <v>2104</v>
      </c>
      <c r="B1421">
        <v>2020</v>
      </c>
      <c r="C1421" t="s">
        <v>56</v>
      </c>
      <c r="D1421" t="s">
        <v>30</v>
      </c>
      <c r="E1421">
        <v>16075</v>
      </c>
      <c r="F1421" t="s">
        <v>57</v>
      </c>
      <c r="G1421">
        <v>59600</v>
      </c>
      <c r="H1421" t="s">
        <v>20</v>
      </c>
      <c r="I1421" t="s">
        <v>78</v>
      </c>
      <c r="J1421" t="s">
        <v>124</v>
      </c>
      <c r="K1421" t="s">
        <v>23</v>
      </c>
      <c r="L1421" t="s">
        <v>205</v>
      </c>
      <c r="M1421" t="s">
        <v>42</v>
      </c>
      <c r="N1421" t="s">
        <v>26</v>
      </c>
      <c r="O1421" t="s">
        <v>27</v>
      </c>
      <c r="P1421" s="1">
        <v>44777</v>
      </c>
      <c r="Q1421">
        <f t="shared" si="110"/>
        <v>0</v>
      </c>
      <c r="R1421">
        <f t="shared" si="111"/>
        <v>0</v>
      </c>
      <c r="S1421">
        <f t="shared" si="112"/>
        <v>0</v>
      </c>
      <c r="T1421" s="11">
        <f t="shared" si="113"/>
        <v>2020</v>
      </c>
      <c r="U1421" s="11">
        <f t="shared" si="114"/>
        <v>16075</v>
      </c>
    </row>
    <row r="1422" spans="1:21" x14ac:dyDescent="0.3">
      <c r="A1422" t="s">
        <v>2105</v>
      </c>
      <c r="B1422">
        <v>2018</v>
      </c>
      <c r="C1422" t="s">
        <v>56</v>
      </c>
      <c r="D1422" t="s">
        <v>93</v>
      </c>
      <c r="E1422">
        <v>30443</v>
      </c>
      <c r="F1422" t="s">
        <v>234</v>
      </c>
      <c r="G1422">
        <v>49600</v>
      </c>
      <c r="H1422" t="s">
        <v>20</v>
      </c>
      <c r="I1422" t="s">
        <v>58</v>
      </c>
      <c r="J1422" t="s">
        <v>541</v>
      </c>
      <c r="K1422" t="s">
        <v>23</v>
      </c>
      <c r="L1422" t="s">
        <v>112</v>
      </c>
      <c r="M1422" t="s">
        <v>113</v>
      </c>
      <c r="N1422" t="s">
        <v>114</v>
      </c>
      <c r="O1422" t="s">
        <v>27</v>
      </c>
      <c r="P1422" s="1">
        <v>44777</v>
      </c>
      <c r="Q1422">
        <f t="shared" si="110"/>
        <v>0</v>
      </c>
      <c r="R1422">
        <f t="shared" si="111"/>
        <v>0</v>
      </c>
      <c r="S1422">
        <f t="shared" si="112"/>
        <v>0</v>
      </c>
      <c r="T1422" s="11">
        <f t="shared" si="113"/>
        <v>2018</v>
      </c>
      <c r="U1422" s="11">
        <f t="shared" si="114"/>
        <v>30443</v>
      </c>
    </row>
    <row r="1423" spans="1:21" x14ac:dyDescent="0.3">
      <c r="A1423" t="s">
        <v>2106</v>
      </c>
      <c r="B1423">
        <v>2019</v>
      </c>
      <c r="C1423" t="s">
        <v>56</v>
      </c>
      <c r="D1423" t="s">
        <v>32</v>
      </c>
      <c r="E1423">
        <v>67882</v>
      </c>
      <c r="F1423" t="s">
        <v>57</v>
      </c>
      <c r="G1423">
        <v>50800</v>
      </c>
      <c r="H1423" t="s">
        <v>20</v>
      </c>
      <c r="I1423" t="s">
        <v>58</v>
      </c>
      <c r="J1423" t="s">
        <v>168</v>
      </c>
      <c r="K1423" t="s">
        <v>23</v>
      </c>
      <c r="L1423" t="s">
        <v>456</v>
      </c>
      <c r="M1423" t="s">
        <v>164</v>
      </c>
      <c r="N1423" t="s">
        <v>26</v>
      </c>
      <c r="O1423" t="s">
        <v>27</v>
      </c>
      <c r="P1423" s="1">
        <v>44777</v>
      </c>
      <c r="Q1423">
        <f t="shared" si="110"/>
        <v>0</v>
      </c>
      <c r="R1423">
        <f t="shared" si="111"/>
        <v>0</v>
      </c>
      <c r="S1423">
        <f t="shared" si="112"/>
        <v>0</v>
      </c>
      <c r="T1423" s="11">
        <f t="shared" si="113"/>
        <v>2019</v>
      </c>
      <c r="U1423" s="11">
        <f t="shared" si="114"/>
        <v>67882</v>
      </c>
    </row>
    <row r="1424" spans="1:21" x14ac:dyDescent="0.3">
      <c r="A1424" t="s">
        <v>2107</v>
      </c>
      <c r="B1424">
        <v>2018</v>
      </c>
      <c r="C1424" t="s">
        <v>56</v>
      </c>
      <c r="D1424" t="s">
        <v>93</v>
      </c>
      <c r="E1424">
        <v>31006</v>
      </c>
      <c r="F1424" t="s">
        <v>57</v>
      </c>
      <c r="G1424">
        <v>52500</v>
      </c>
      <c r="H1424" t="s">
        <v>20</v>
      </c>
      <c r="I1424" t="s">
        <v>78</v>
      </c>
      <c r="J1424" t="s">
        <v>218</v>
      </c>
      <c r="K1424" t="s">
        <v>23</v>
      </c>
      <c r="L1424" t="s">
        <v>122</v>
      </c>
      <c r="M1424" t="s">
        <v>113</v>
      </c>
      <c r="N1424" t="s">
        <v>114</v>
      </c>
      <c r="O1424" t="s">
        <v>27</v>
      </c>
      <c r="P1424" s="1">
        <v>44777</v>
      </c>
      <c r="Q1424">
        <f t="shared" si="110"/>
        <v>0</v>
      </c>
      <c r="R1424">
        <f t="shared" si="111"/>
        <v>0</v>
      </c>
      <c r="S1424">
        <f t="shared" si="112"/>
        <v>0</v>
      </c>
      <c r="T1424" s="11">
        <f t="shared" si="113"/>
        <v>2018</v>
      </c>
      <c r="U1424" s="11">
        <f t="shared" si="114"/>
        <v>31006</v>
      </c>
    </row>
    <row r="1425" spans="1:21" x14ac:dyDescent="0.3">
      <c r="A1425" t="s">
        <v>2108</v>
      </c>
      <c r="B1425">
        <v>2019</v>
      </c>
      <c r="C1425" t="s">
        <v>56</v>
      </c>
      <c r="D1425" t="s">
        <v>53</v>
      </c>
      <c r="E1425">
        <v>22132</v>
      </c>
      <c r="F1425" t="s">
        <v>65</v>
      </c>
      <c r="G1425">
        <v>50100</v>
      </c>
      <c r="H1425" t="s">
        <v>20</v>
      </c>
      <c r="I1425" t="s">
        <v>58</v>
      </c>
      <c r="J1425" t="s">
        <v>66</v>
      </c>
      <c r="K1425" t="s">
        <v>23</v>
      </c>
      <c r="L1425" t="s">
        <v>197</v>
      </c>
      <c r="M1425" t="s">
        <v>198</v>
      </c>
      <c r="N1425" t="s">
        <v>26</v>
      </c>
      <c r="O1425" t="s">
        <v>27</v>
      </c>
      <c r="P1425" s="1">
        <v>44777</v>
      </c>
      <c r="Q1425">
        <f t="shared" si="110"/>
        <v>0</v>
      </c>
      <c r="R1425">
        <f t="shared" si="111"/>
        <v>0</v>
      </c>
      <c r="S1425">
        <f t="shared" si="112"/>
        <v>0</v>
      </c>
      <c r="T1425" s="11">
        <f t="shared" si="113"/>
        <v>2019</v>
      </c>
      <c r="U1425" s="11">
        <f t="shared" si="114"/>
        <v>22132</v>
      </c>
    </row>
    <row r="1426" spans="1:21" x14ac:dyDescent="0.3">
      <c r="A1426" t="s">
        <v>2109</v>
      </c>
      <c r="B1426">
        <v>2018</v>
      </c>
      <c r="C1426" t="s">
        <v>29</v>
      </c>
      <c r="D1426" t="s">
        <v>32</v>
      </c>
      <c r="E1426">
        <v>35278</v>
      </c>
      <c r="F1426" t="s">
        <v>52</v>
      </c>
      <c r="G1426">
        <v>86200</v>
      </c>
      <c r="H1426" t="s">
        <v>45</v>
      </c>
      <c r="I1426" t="s">
        <v>21</v>
      </c>
      <c r="J1426" t="s">
        <v>2110</v>
      </c>
      <c r="K1426" t="s">
        <v>23</v>
      </c>
      <c r="L1426" t="s">
        <v>117</v>
      </c>
      <c r="M1426" t="s">
        <v>118</v>
      </c>
      <c r="N1426" t="s">
        <v>119</v>
      </c>
      <c r="O1426" t="s">
        <v>27</v>
      </c>
      <c r="P1426" s="1">
        <v>44777</v>
      </c>
      <c r="Q1426">
        <f t="shared" si="110"/>
        <v>0</v>
      </c>
      <c r="R1426">
        <f t="shared" si="111"/>
        <v>1</v>
      </c>
      <c r="S1426">
        <f t="shared" si="112"/>
        <v>0</v>
      </c>
      <c r="T1426" s="11">
        <f t="shared" si="113"/>
        <v>2018</v>
      </c>
      <c r="U1426" s="11">
        <f t="shared" si="114"/>
        <v>35278</v>
      </c>
    </row>
    <row r="1427" spans="1:21" x14ac:dyDescent="0.3">
      <c r="A1427" t="s">
        <v>2111</v>
      </c>
      <c r="B1427">
        <v>2019</v>
      </c>
      <c r="C1427" t="s">
        <v>56</v>
      </c>
      <c r="D1427" t="s">
        <v>32</v>
      </c>
      <c r="E1427">
        <v>13799</v>
      </c>
      <c r="F1427" t="s">
        <v>65</v>
      </c>
      <c r="G1427">
        <v>51500</v>
      </c>
      <c r="H1427" t="s">
        <v>77</v>
      </c>
      <c r="I1427" t="s">
        <v>58</v>
      </c>
      <c r="J1427" t="s">
        <v>266</v>
      </c>
      <c r="K1427" t="s">
        <v>23</v>
      </c>
      <c r="L1427" t="s">
        <v>236</v>
      </c>
      <c r="M1427" t="s">
        <v>25</v>
      </c>
      <c r="N1427" t="s">
        <v>26</v>
      </c>
      <c r="O1427" t="s">
        <v>27</v>
      </c>
      <c r="P1427" s="1">
        <v>44777</v>
      </c>
      <c r="Q1427">
        <f t="shared" si="110"/>
        <v>0</v>
      </c>
      <c r="R1427">
        <f t="shared" si="111"/>
        <v>0</v>
      </c>
      <c r="S1427">
        <f t="shared" si="112"/>
        <v>0</v>
      </c>
      <c r="T1427" s="11">
        <f t="shared" si="113"/>
        <v>2019</v>
      </c>
      <c r="U1427" s="11">
        <f t="shared" si="114"/>
        <v>13799</v>
      </c>
    </row>
    <row r="1428" spans="1:21" x14ac:dyDescent="0.3">
      <c r="A1428" t="s">
        <v>2112</v>
      </c>
      <c r="B1428">
        <v>2018</v>
      </c>
      <c r="C1428" t="s">
        <v>56</v>
      </c>
      <c r="D1428" t="s">
        <v>53</v>
      </c>
      <c r="E1428">
        <v>33142</v>
      </c>
      <c r="F1428" t="s">
        <v>636</v>
      </c>
      <c r="G1428">
        <v>48300</v>
      </c>
      <c r="H1428" t="s">
        <v>20</v>
      </c>
      <c r="I1428" t="s">
        <v>78</v>
      </c>
      <c r="J1428" t="s">
        <v>403</v>
      </c>
      <c r="K1428" t="s">
        <v>23</v>
      </c>
      <c r="L1428" t="s">
        <v>95</v>
      </c>
      <c r="M1428" t="s">
        <v>96</v>
      </c>
      <c r="N1428" t="s">
        <v>89</v>
      </c>
      <c r="O1428" t="s">
        <v>27</v>
      </c>
      <c r="P1428" s="1">
        <v>44777</v>
      </c>
      <c r="Q1428">
        <f t="shared" si="110"/>
        <v>0</v>
      </c>
      <c r="R1428">
        <f t="shared" si="111"/>
        <v>0</v>
      </c>
      <c r="S1428">
        <f t="shared" si="112"/>
        <v>0</v>
      </c>
      <c r="T1428" s="11">
        <f t="shared" si="113"/>
        <v>2018</v>
      </c>
      <c r="U1428" s="11">
        <f t="shared" si="114"/>
        <v>33142</v>
      </c>
    </row>
    <row r="1429" spans="1:21" x14ac:dyDescent="0.3">
      <c r="A1429" t="s">
        <v>2113</v>
      </c>
      <c r="B1429">
        <v>2019</v>
      </c>
      <c r="C1429" t="s">
        <v>56</v>
      </c>
      <c r="D1429" t="s">
        <v>32</v>
      </c>
      <c r="E1429">
        <v>33610</v>
      </c>
      <c r="F1429" t="s">
        <v>57</v>
      </c>
      <c r="G1429">
        <v>55100</v>
      </c>
      <c r="H1429" t="s">
        <v>77</v>
      </c>
      <c r="I1429" t="s">
        <v>78</v>
      </c>
      <c r="J1429" t="s">
        <v>650</v>
      </c>
      <c r="K1429" t="s">
        <v>23</v>
      </c>
      <c r="L1429" t="s">
        <v>24</v>
      </c>
      <c r="M1429" t="s">
        <v>25</v>
      </c>
      <c r="N1429" t="s">
        <v>26</v>
      </c>
      <c r="O1429" t="s">
        <v>27</v>
      </c>
      <c r="P1429" s="1">
        <v>44777</v>
      </c>
      <c r="Q1429">
        <f t="shared" si="110"/>
        <v>0</v>
      </c>
      <c r="R1429">
        <f t="shared" si="111"/>
        <v>0</v>
      </c>
      <c r="S1429">
        <f t="shared" si="112"/>
        <v>0</v>
      </c>
      <c r="T1429" s="11">
        <f t="shared" si="113"/>
        <v>2019</v>
      </c>
      <c r="U1429" s="11">
        <f t="shared" si="114"/>
        <v>33610</v>
      </c>
    </row>
    <row r="1430" spans="1:21" x14ac:dyDescent="0.3">
      <c r="A1430" t="s">
        <v>2114</v>
      </c>
      <c r="B1430">
        <v>2018</v>
      </c>
      <c r="C1430" t="s">
        <v>56</v>
      </c>
      <c r="D1430" t="s">
        <v>32</v>
      </c>
      <c r="E1430">
        <v>64965</v>
      </c>
      <c r="F1430" t="s">
        <v>57</v>
      </c>
      <c r="G1430">
        <v>48600</v>
      </c>
      <c r="H1430" t="s">
        <v>77</v>
      </c>
      <c r="I1430" t="s">
        <v>58</v>
      </c>
      <c r="J1430" t="s">
        <v>411</v>
      </c>
      <c r="K1430" t="s">
        <v>23</v>
      </c>
      <c r="L1430" t="s">
        <v>95</v>
      </c>
      <c r="M1430" t="s">
        <v>96</v>
      </c>
      <c r="N1430" t="s">
        <v>89</v>
      </c>
      <c r="O1430" t="s">
        <v>27</v>
      </c>
      <c r="P1430" s="1">
        <v>44777</v>
      </c>
      <c r="Q1430">
        <f t="shared" si="110"/>
        <v>0</v>
      </c>
      <c r="R1430">
        <f t="shared" si="111"/>
        <v>0</v>
      </c>
      <c r="S1430">
        <f t="shared" si="112"/>
        <v>0</v>
      </c>
      <c r="T1430" s="11">
        <f t="shared" si="113"/>
        <v>2018</v>
      </c>
      <c r="U1430" s="11">
        <f t="shared" si="114"/>
        <v>64965</v>
      </c>
    </row>
    <row r="1431" spans="1:21" x14ac:dyDescent="0.3">
      <c r="A1431" t="s">
        <v>2115</v>
      </c>
      <c r="B1431">
        <v>2020</v>
      </c>
      <c r="C1431" t="s">
        <v>37</v>
      </c>
      <c r="D1431" t="s">
        <v>51</v>
      </c>
      <c r="E1431">
        <v>17937</v>
      </c>
      <c r="F1431" t="s">
        <v>303</v>
      </c>
      <c r="G1431">
        <v>97000</v>
      </c>
      <c r="H1431" t="s">
        <v>53</v>
      </c>
      <c r="I1431" t="s">
        <v>78</v>
      </c>
      <c r="J1431" t="s">
        <v>716</v>
      </c>
      <c r="K1431" t="s">
        <v>23</v>
      </c>
      <c r="L1431" t="s">
        <v>163</v>
      </c>
      <c r="M1431" t="s">
        <v>164</v>
      </c>
      <c r="N1431" t="s">
        <v>26</v>
      </c>
      <c r="O1431" t="s">
        <v>27</v>
      </c>
      <c r="P1431" s="1">
        <v>44777</v>
      </c>
      <c r="Q1431">
        <f t="shared" si="110"/>
        <v>1</v>
      </c>
      <c r="R1431">
        <f t="shared" si="111"/>
        <v>0</v>
      </c>
      <c r="S1431">
        <f t="shared" si="112"/>
        <v>0</v>
      </c>
      <c r="T1431" s="11">
        <f t="shared" si="113"/>
        <v>2020</v>
      </c>
      <c r="U1431" s="11">
        <f t="shared" si="114"/>
        <v>17937</v>
      </c>
    </row>
    <row r="1432" spans="1:21" x14ac:dyDescent="0.3">
      <c r="A1432" t="s">
        <v>2116</v>
      </c>
      <c r="B1432">
        <v>2017</v>
      </c>
      <c r="C1432" t="s">
        <v>37</v>
      </c>
      <c r="D1432" t="s">
        <v>51</v>
      </c>
      <c r="E1432">
        <v>38112</v>
      </c>
      <c r="F1432" t="s">
        <v>104</v>
      </c>
      <c r="G1432">
        <v>71900</v>
      </c>
      <c r="H1432" t="s">
        <v>53</v>
      </c>
      <c r="I1432" t="s">
        <v>78</v>
      </c>
      <c r="J1432" t="s">
        <v>2117</v>
      </c>
      <c r="K1432" t="s">
        <v>23</v>
      </c>
      <c r="L1432" t="s">
        <v>84</v>
      </c>
      <c r="M1432" t="s">
        <v>48</v>
      </c>
      <c r="N1432" t="s">
        <v>69</v>
      </c>
      <c r="O1432" t="s">
        <v>27</v>
      </c>
      <c r="P1432" s="1">
        <v>44777</v>
      </c>
      <c r="Q1432">
        <f t="shared" si="110"/>
        <v>1</v>
      </c>
      <c r="R1432">
        <f t="shared" si="111"/>
        <v>0</v>
      </c>
      <c r="S1432">
        <f t="shared" si="112"/>
        <v>0</v>
      </c>
      <c r="T1432" s="11">
        <f t="shared" si="113"/>
        <v>2017</v>
      </c>
      <c r="U1432" s="11">
        <f t="shared" si="114"/>
        <v>38112</v>
      </c>
    </row>
    <row r="1433" spans="1:21" x14ac:dyDescent="0.3">
      <c r="A1433" t="s">
        <v>2118</v>
      </c>
      <c r="B1433">
        <v>2021</v>
      </c>
      <c r="C1433" t="s">
        <v>37</v>
      </c>
      <c r="D1433" t="s">
        <v>51</v>
      </c>
      <c r="E1433">
        <v>948</v>
      </c>
      <c r="F1433" t="s">
        <v>131</v>
      </c>
      <c r="G1433">
        <v>124500</v>
      </c>
      <c r="H1433" t="s">
        <v>53</v>
      </c>
      <c r="I1433" t="s">
        <v>78</v>
      </c>
      <c r="J1433" t="s">
        <v>408</v>
      </c>
      <c r="K1433" t="s">
        <v>23</v>
      </c>
      <c r="L1433" t="s">
        <v>41</v>
      </c>
      <c r="M1433" t="s">
        <v>42</v>
      </c>
      <c r="N1433" t="s">
        <v>26</v>
      </c>
      <c r="O1433" t="s">
        <v>27</v>
      </c>
      <c r="P1433" s="1">
        <v>44777</v>
      </c>
      <c r="Q1433">
        <f t="shared" si="110"/>
        <v>1</v>
      </c>
      <c r="R1433">
        <f t="shared" si="111"/>
        <v>0</v>
      </c>
      <c r="S1433">
        <f t="shared" si="112"/>
        <v>0</v>
      </c>
      <c r="T1433" s="11">
        <f t="shared" si="113"/>
        <v>2021</v>
      </c>
      <c r="U1433" s="11">
        <f t="shared" si="114"/>
        <v>948</v>
      </c>
    </row>
    <row r="1434" spans="1:21" x14ac:dyDescent="0.3">
      <c r="A1434" t="s">
        <v>2119</v>
      </c>
      <c r="B1434">
        <v>2020</v>
      </c>
      <c r="C1434" t="s">
        <v>56</v>
      </c>
      <c r="D1434" t="s">
        <v>53</v>
      </c>
      <c r="E1434">
        <v>10362</v>
      </c>
      <c r="F1434" t="s">
        <v>57</v>
      </c>
      <c r="G1434">
        <v>60400</v>
      </c>
      <c r="H1434" t="s">
        <v>20</v>
      </c>
      <c r="I1434" t="s">
        <v>58</v>
      </c>
      <c r="J1434" t="s">
        <v>59</v>
      </c>
      <c r="K1434" t="s">
        <v>23</v>
      </c>
      <c r="L1434" t="s">
        <v>367</v>
      </c>
      <c r="M1434" t="s">
        <v>244</v>
      </c>
      <c r="N1434" t="s">
        <v>245</v>
      </c>
      <c r="O1434" t="s">
        <v>27</v>
      </c>
      <c r="P1434" s="1">
        <v>44777</v>
      </c>
      <c r="Q1434">
        <f t="shared" si="110"/>
        <v>0</v>
      </c>
      <c r="R1434">
        <f t="shared" si="111"/>
        <v>0</v>
      </c>
      <c r="S1434">
        <f t="shared" si="112"/>
        <v>0</v>
      </c>
      <c r="T1434" s="11">
        <f t="shared" si="113"/>
        <v>2020</v>
      </c>
      <c r="U1434" s="11">
        <f t="shared" si="114"/>
        <v>10362</v>
      </c>
    </row>
    <row r="1435" spans="1:21" x14ac:dyDescent="0.3">
      <c r="A1435" t="s">
        <v>2120</v>
      </c>
      <c r="B1435">
        <v>2019</v>
      </c>
      <c r="C1435" t="s">
        <v>56</v>
      </c>
      <c r="D1435" t="s">
        <v>53</v>
      </c>
      <c r="E1435">
        <v>38769</v>
      </c>
      <c r="F1435" t="s">
        <v>65</v>
      </c>
      <c r="G1435">
        <v>49200</v>
      </c>
      <c r="H1435" t="s">
        <v>77</v>
      </c>
      <c r="I1435" t="s">
        <v>78</v>
      </c>
      <c r="J1435" t="s">
        <v>1046</v>
      </c>
      <c r="K1435" t="s">
        <v>23</v>
      </c>
      <c r="L1435" t="s">
        <v>205</v>
      </c>
      <c r="M1435" t="s">
        <v>42</v>
      </c>
      <c r="N1435" t="s">
        <v>26</v>
      </c>
      <c r="O1435" t="s">
        <v>27</v>
      </c>
      <c r="P1435" s="1">
        <v>44777</v>
      </c>
      <c r="Q1435">
        <f t="shared" si="110"/>
        <v>0</v>
      </c>
      <c r="R1435">
        <f t="shared" si="111"/>
        <v>0</v>
      </c>
      <c r="S1435">
        <f t="shared" si="112"/>
        <v>0</v>
      </c>
      <c r="T1435" s="11">
        <f t="shared" si="113"/>
        <v>2019</v>
      </c>
      <c r="U1435" s="11">
        <f t="shared" si="114"/>
        <v>38769</v>
      </c>
    </row>
    <row r="1436" spans="1:21" x14ac:dyDescent="0.3">
      <c r="A1436" t="s">
        <v>2121</v>
      </c>
      <c r="B1436">
        <v>2020</v>
      </c>
      <c r="C1436" t="s">
        <v>56</v>
      </c>
      <c r="D1436" t="s">
        <v>53</v>
      </c>
      <c r="E1436">
        <v>25388</v>
      </c>
      <c r="F1436" t="s">
        <v>57</v>
      </c>
      <c r="G1436">
        <v>62800</v>
      </c>
      <c r="H1436" t="s">
        <v>20</v>
      </c>
      <c r="I1436" t="s">
        <v>58</v>
      </c>
      <c r="J1436" t="s">
        <v>59</v>
      </c>
      <c r="K1436" t="s">
        <v>23</v>
      </c>
      <c r="L1436" t="s">
        <v>34</v>
      </c>
      <c r="N1436" t="s">
        <v>35</v>
      </c>
      <c r="O1436" t="s">
        <v>27</v>
      </c>
      <c r="P1436" s="1">
        <v>44777</v>
      </c>
      <c r="Q1436">
        <f t="shared" si="110"/>
        <v>0</v>
      </c>
      <c r="R1436">
        <f t="shared" si="111"/>
        <v>0</v>
      </c>
      <c r="S1436">
        <f t="shared" si="112"/>
        <v>0</v>
      </c>
      <c r="T1436" s="11">
        <f t="shared" si="113"/>
        <v>2020</v>
      </c>
      <c r="U1436" s="11">
        <f t="shared" si="114"/>
        <v>25388</v>
      </c>
    </row>
    <row r="1437" spans="1:21" x14ac:dyDescent="0.3">
      <c r="A1437" t="s">
        <v>2122</v>
      </c>
      <c r="B1437">
        <v>2018</v>
      </c>
      <c r="C1437" t="s">
        <v>29</v>
      </c>
      <c r="D1437" t="s">
        <v>53</v>
      </c>
      <c r="E1437">
        <v>45152</v>
      </c>
      <c r="F1437" t="s">
        <v>270</v>
      </c>
      <c r="G1437">
        <v>84800</v>
      </c>
      <c r="H1437" t="s">
        <v>53</v>
      </c>
      <c r="I1437" t="s">
        <v>110</v>
      </c>
      <c r="J1437" t="s">
        <v>2123</v>
      </c>
      <c r="K1437" t="s">
        <v>23</v>
      </c>
      <c r="L1437" t="s">
        <v>1160</v>
      </c>
      <c r="M1437" t="s">
        <v>202</v>
      </c>
      <c r="N1437" t="s">
        <v>203</v>
      </c>
      <c r="O1437" t="s">
        <v>27</v>
      </c>
      <c r="P1437" s="1">
        <v>44777</v>
      </c>
      <c r="Q1437">
        <f t="shared" si="110"/>
        <v>0</v>
      </c>
      <c r="R1437">
        <f t="shared" si="111"/>
        <v>1</v>
      </c>
      <c r="S1437">
        <f t="shared" si="112"/>
        <v>0</v>
      </c>
      <c r="T1437" s="11">
        <f t="shared" si="113"/>
        <v>2018</v>
      </c>
      <c r="U1437" s="11">
        <f t="shared" si="114"/>
        <v>45152</v>
      </c>
    </row>
    <row r="1438" spans="1:21" x14ac:dyDescent="0.3">
      <c r="A1438" t="s">
        <v>2124</v>
      </c>
      <c r="B1438">
        <v>2019</v>
      </c>
      <c r="C1438" t="s">
        <v>29</v>
      </c>
      <c r="D1438" t="s">
        <v>76</v>
      </c>
      <c r="E1438">
        <v>12813</v>
      </c>
      <c r="F1438" t="s">
        <v>44</v>
      </c>
      <c r="G1438">
        <v>108900</v>
      </c>
      <c r="H1438" t="s">
        <v>53</v>
      </c>
      <c r="I1438" t="s">
        <v>21</v>
      </c>
      <c r="J1438" t="s">
        <v>2125</v>
      </c>
      <c r="K1438" t="s">
        <v>23</v>
      </c>
      <c r="L1438" t="s">
        <v>60</v>
      </c>
      <c r="M1438" t="s">
        <v>48</v>
      </c>
      <c r="N1438" t="s">
        <v>49</v>
      </c>
      <c r="O1438" t="s">
        <v>27</v>
      </c>
      <c r="P1438" s="1">
        <v>44777</v>
      </c>
      <c r="Q1438">
        <f t="shared" si="110"/>
        <v>0</v>
      </c>
      <c r="R1438">
        <f t="shared" si="111"/>
        <v>1</v>
      </c>
      <c r="S1438">
        <f t="shared" si="112"/>
        <v>0</v>
      </c>
      <c r="T1438" s="11">
        <f t="shared" si="113"/>
        <v>2019</v>
      </c>
      <c r="U1438" s="11">
        <f t="shared" si="114"/>
        <v>12813</v>
      </c>
    </row>
    <row r="1439" spans="1:21" x14ac:dyDescent="0.3">
      <c r="A1439" t="s">
        <v>2126</v>
      </c>
      <c r="B1439">
        <v>2020</v>
      </c>
      <c r="C1439" t="s">
        <v>56</v>
      </c>
      <c r="D1439" t="s">
        <v>76</v>
      </c>
      <c r="E1439">
        <v>18856</v>
      </c>
      <c r="F1439" t="s">
        <v>57</v>
      </c>
      <c r="G1439">
        <v>57600</v>
      </c>
      <c r="H1439" t="s">
        <v>77</v>
      </c>
      <c r="I1439" t="s">
        <v>58</v>
      </c>
      <c r="J1439" t="s">
        <v>1198</v>
      </c>
      <c r="K1439" t="s">
        <v>23</v>
      </c>
      <c r="L1439" t="s">
        <v>47</v>
      </c>
      <c r="M1439" t="s">
        <v>48</v>
      </c>
      <c r="N1439" t="s">
        <v>49</v>
      </c>
      <c r="O1439" t="s">
        <v>27</v>
      </c>
      <c r="P1439" s="1">
        <v>44776</v>
      </c>
      <c r="Q1439">
        <f t="shared" si="110"/>
        <v>0</v>
      </c>
      <c r="R1439">
        <f t="shared" si="111"/>
        <v>0</v>
      </c>
      <c r="S1439">
        <f t="shared" si="112"/>
        <v>0</v>
      </c>
      <c r="T1439" s="11">
        <f t="shared" si="113"/>
        <v>2020</v>
      </c>
      <c r="U1439" s="11">
        <f t="shared" si="114"/>
        <v>18856</v>
      </c>
    </row>
    <row r="1440" spans="1:21" x14ac:dyDescent="0.3">
      <c r="A1440" t="s">
        <v>2127</v>
      </c>
      <c r="B1440">
        <v>2019</v>
      </c>
      <c r="C1440" t="s">
        <v>56</v>
      </c>
      <c r="D1440" t="s">
        <v>32</v>
      </c>
      <c r="E1440">
        <v>9492</v>
      </c>
      <c r="F1440" t="s">
        <v>71</v>
      </c>
      <c r="G1440">
        <v>58100</v>
      </c>
      <c r="H1440" t="s">
        <v>20</v>
      </c>
      <c r="I1440" t="s">
        <v>21</v>
      </c>
      <c r="J1440" t="s">
        <v>72</v>
      </c>
      <c r="K1440" t="s">
        <v>23</v>
      </c>
      <c r="L1440" t="s">
        <v>84</v>
      </c>
      <c r="M1440" t="s">
        <v>48</v>
      </c>
      <c r="N1440" t="s">
        <v>69</v>
      </c>
      <c r="O1440" t="s">
        <v>27</v>
      </c>
      <c r="P1440" s="1">
        <v>44776</v>
      </c>
      <c r="Q1440">
        <f t="shared" si="110"/>
        <v>0</v>
      </c>
      <c r="R1440">
        <f t="shared" si="111"/>
        <v>0</v>
      </c>
      <c r="S1440">
        <f t="shared" si="112"/>
        <v>0</v>
      </c>
      <c r="T1440" s="11">
        <f t="shared" si="113"/>
        <v>2019</v>
      </c>
      <c r="U1440" s="11">
        <f t="shared" si="114"/>
        <v>9492</v>
      </c>
    </row>
    <row r="1441" spans="1:21" x14ac:dyDescent="0.3">
      <c r="A1441" t="s">
        <v>2128</v>
      </c>
      <c r="B1441">
        <v>2020</v>
      </c>
      <c r="C1441" t="s">
        <v>56</v>
      </c>
      <c r="D1441" t="s">
        <v>53</v>
      </c>
      <c r="E1441">
        <v>17224</v>
      </c>
      <c r="F1441" t="s">
        <v>57</v>
      </c>
      <c r="G1441">
        <v>57100</v>
      </c>
      <c r="H1441" t="s">
        <v>77</v>
      </c>
      <c r="I1441" t="s">
        <v>58</v>
      </c>
      <c r="J1441" t="s">
        <v>770</v>
      </c>
      <c r="K1441" t="s">
        <v>23</v>
      </c>
      <c r="L1441" t="s">
        <v>47</v>
      </c>
      <c r="M1441" t="s">
        <v>48</v>
      </c>
      <c r="N1441" t="s">
        <v>49</v>
      </c>
      <c r="O1441" t="s">
        <v>27</v>
      </c>
      <c r="P1441" s="1">
        <v>44776</v>
      </c>
      <c r="Q1441">
        <f t="shared" si="110"/>
        <v>0</v>
      </c>
      <c r="R1441">
        <f t="shared" si="111"/>
        <v>0</v>
      </c>
      <c r="S1441">
        <f t="shared" si="112"/>
        <v>0</v>
      </c>
      <c r="T1441" s="11">
        <f t="shared" si="113"/>
        <v>2020</v>
      </c>
      <c r="U1441" s="11">
        <f t="shared" si="114"/>
        <v>17224</v>
      </c>
    </row>
    <row r="1442" spans="1:21" x14ac:dyDescent="0.3">
      <c r="A1442" t="s">
        <v>2129</v>
      </c>
      <c r="B1442">
        <v>2020</v>
      </c>
      <c r="C1442" t="s">
        <v>56</v>
      </c>
      <c r="D1442" t="s">
        <v>32</v>
      </c>
      <c r="E1442">
        <v>18532</v>
      </c>
      <c r="F1442" t="s">
        <v>57</v>
      </c>
      <c r="G1442">
        <v>55900</v>
      </c>
      <c r="H1442" t="s">
        <v>20</v>
      </c>
      <c r="I1442" t="s">
        <v>78</v>
      </c>
      <c r="J1442" t="s">
        <v>275</v>
      </c>
      <c r="K1442" t="s">
        <v>23</v>
      </c>
      <c r="L1442" t="s">
        <v>425</v>
      </c>
      <c r="M1442" t="s">
        <v>426</v>
      </c>
      <c r="N1442" t="s">
        <v>427</v>
      </c>
      <c r="O1442" t="s">
        <v>27</v>
      </c>
      <c r="P1442" s="1">
        <v>44776</v>
      </c>
      <c r="Q1442">
        <f t="shared" si="110"/>
        <v>0</v>
      </c>
      <c r="R1442">
        <f t="shared" si="111"/>
        <v>0</v>
      </c>
      <c r="S1442">
        <f t="shared" si="112"/>
        <v>0</v>
      </c>
      <c r="T1442" s="11">
        <f t="shared" si="113"/>
        <v>2020</v>
      </c>
      <c r="U1442" s="11">
        <f t="shared" si="114"/>
        <v>18532</v>
      </c>
    </row>
    <row r="1443" spans="1:21" x14ac:dyDescent="0.3">
      <c r="A1443" t="s">
        <v>2130</v>
      </c>
      <c r="B1443">
        <v>2019</v>
      </c>
      <c r="C1443" t="s">
        <v>56</v>
      </c>
      <c r="D1443" t="s">
        <v>32</v>
      </c>
      <c r="E1443">
        <v>23181</v>
      </c>
      <c r="F1443" t="s">
        <v>57</v>
      </c>
      <c r="G1443">
        <v>52600</v>
      </c>
      <c r="H1443" t="s">
        <v>20</v>
      </c>
      <c r="I1443" t="s">
        <v>58</v>
      </c>
      <c r="J1443" t="s">
        <v>168</v>
      </c>
      <c r="K1443" t="s">
        <v>23</v>
      </c>
      <c r="L1443" t="s">
        <v>84</v>
      </c>
      <c r="M1443" t="s">
        <v>48</v>
      </c>
      <c r="N1443" t="s">
        <v>69</v>
      </c>
      <c r="O1443" t="s">
        <v>27</v>
      </c>
      <c r="P1443" s="1">
        <v>44776</v>
      </c>
      <c r="Q1443">
        <f t="shared" si="110"/>
        <v>0</v>
      </c>
      <c r="R1443">
        <f t="shared" si="111"/>
        <v>0</v>
      </c>
      <c r="S1443">
        <f t="shared" si="112"/>
        <v>0</v>
      </c>
      <c r="T1443" s="11">
        <f t="shared" si="113"/>
        <v>2019</v>
      </c>
      <c r="U1443" s="11">
        <f t="shared" si="114"/>
        <v>23181</v>
      </c>
    </row>
    <row r="1444" spans="1:21" x14ac:dyDescent="0.3">
      <c r="A1444" t="s">
        <v>2131</v>
      </c>
      <c r="B1444">
        <v>2019</v>
      </c>
      <c r="C1444" t="s">
        <v>56</v>
      </c>
      <c r="D1444" t="s">
        <v>53</v>
      </c>
      <c r="E1444">
        <v>16399</v>
      </c>
      <c r="F1444" t="s">
        <v>57</v>
      </c>
      <c r="G1444">
        <v>55000</v>
      </c>
      <c r="H1444" t="s">
        <v>20</v>
      </c>
      <c r="I1444" t="s">
        <v>78</v>
      </c>
      <c r="J1444" t="s">
        <v>564</v>
      </c>
      <c r="K1444" t="s">
        <v>23</v>
      </c>
      <c r="L1444" t="s">
        <v>60</v>
      </c>
      <c r="M1444" t="s">
        <v>48</v>
      </c>
      <c r="N1444" t="s">
        <v>49</v>
      </c>
      <c r="O1444" t="s">
        <v>27</v>
      </c>
      <c r="P1444" s="1">
        <v>44776</v>
      </c>
      <c r="Q1444">
        <f t="shared" si="110"/>
        <v>0</v>
      </c>
      <c r="R1444">
        <f t="shared" si="111"/>
        <v>0</v>
      </c>
      <c r="S1444">
        <f t="shared" si="112"/>
        <v>0</v>
      </c>
      <c r="T1444" s="11">
        <f t="shared" si="113"/>
        <v>2019</v>
      </c>
      <c r="U1444" s="11">
        <f t="shared" si="114"/>
        <v>16399</v>
      </c>
    </row>
    <row r="1445" spans="1:21" x14ac:dyDescent="0.3">
      <c r="A1445" t="s">
        <v>2132</v>
      </c>
      <c r="B1445">
        <v>2019</v>
      </c>
      <c r="C1445" t="s">
        <v>56</v>
      </c>
      <c r="D1445" t="s">
        <v>30</v>
      </c>
      <c r="E1445">
        <v>43565</v>
      </c>
      <c r="F1445" t="s">
        <v>57</v>
      </c>
      <c r="G1445">
        <v>49100</v>
      </c>
      <c r="H1445" t="s">
        <v>77</v>
      </c>
      <c r="I1445" t="s">
        <v>58</v>
      </c>
      <c r="J1445" t="s">
        <v>284</v>
      </c>
      <c r="K1445" t="s">
        <v>23</v>
      </c>
      <c r="L1445" t="s">
        <v>197</v>
      </c>
      <c r="M1445" t="s">
        <v>198</v>
      </c>
      <c r="N1445" t="s">
        <v>26</v>
      </c>
      <c r="O1445" t="s">
        <v>27</v>
      </c>
      <c r="P1445" s="1">
        <v>44776</v>
      </c>
      <c r="Q1445">
        <f t="shared" si="110"/>
        <v>0</v>
      </c>
      <c r="R1445">
        <f t="shared" si="111"/>
        <v>0</v>
      </c>
      <c r="S1445">
        <f t="shared" si="112"/>
        <v>0</v>
      </c>
      <c r="T1445" s="11">
        <f t="shared" si="113"/>
        <v>2019</v>
      </c>
      <c r="U1445" s="11">
        <f t="shared" si="114"/>
        <v>43565</v>
      </c>
    </row>
    <row r="1446" spans="1:21" x14ac:dyDescent="0.3">
      <c r="A1446" t="s">
        <v>2133</v>
      </c>
      <c r="B1446">
        <v>2019</v>
      </c>
      <c r="C1446" t="s">
        <v>56</v>
      </c>
      <c r="D1446" t="s">
        <v>93</v>
      </c>
      <c r="E1446">
        <v>30021</v>
      </c>
      <c r="F1446" t="s">
        <v>57</v>
      </c>
      <c r="G1446">
        <v>51900</v>
      </c>
      <c r="H1446" t="s">
        <v>77</v>
      </c>
      <c r="I1446" t="s">
        <v>58</v>
      </c>
      <c r="J1446" t="s">
        <v>232</v>
      </c>
      <c r="K1446" t="s">
        <v>23</v>
      </c>
      <c r="L1446" t="s">
        <v>1570</v>
      </c>
      <c r="M1446" t="s">
        <v>255</v>
      </c>
      <c r="N1446" t="s">
        <v>256</v>
      </c>
      <c r="O1446" t="s">
        <v>27</v>
      </c>
      <c r="P1446" s="1">
        <v>44776</v>
      </c>
      <c r="Q1446">
        <f t="shared" si="110"/>
        <v>0</v>
      </c>
      <c r="R1446">
        <f t="shared" si="111"/>
        <v>0</v>
      </c>
      <c r="S1446">
        <f t="shared" si="112"/>
        <v>0</v>
      </c>
      <c r="T1446" s="11">
        <f t="shared" si="113"/>
        <v>2019</v>
      </c>
      <c r="U1446" s="11">
        <f t="shared" si="114"/>
        <v>30021</v>
      </c>
    </row>
    <row r="1447" spans="1:21" x14ac:dyDescent="0.3">
      <c r="A1447" t="s">
        <v>2134</v>
      </c>
      <c r="B1447">
        <v>2019</v>
      </c>
      <c r="C1447" t="s">
        <v>56</v>
      </c>
      <c r="D1447" t="s">
        <v>53</v>
      </c>
      <c r="E1447">
        <v>17655</v>
      </c>
      <c r="F1447" t="s">
        <v>57</v>
      </c>
      <c r="G1447">
        <v>56500</v>
      </c>
      <c r="H1447" t="s">
        <v>20</v>
      </c>
      <c r="I1447" t="s">
        <v>58</v>
      </c>
      <c r="J1447" t="s">
        <v>59</v>
      </c>
      <c r="K1447" t="s">
        <v>23</v>
      </c>
      <c r="L1447" t="s">
        <v>197</v>
      </c>
      <c r="M1447" t="s">
        <v>198</v>
      </c>
      <c r="N1447" t="s">
        <v>26</v>
      </c>
      <c r="O1447" t="s">
        <v>27</v>
      </c>
      <c r="P1447" s="1">
        <v>44776</v>
      </c>
      <c r="Q1447">
        <f t="shared" si="110"/>
        <v>0</v>
      </c>
      <c r="R1447">
        <f t="shared" si="111"/>
        <v>0</v>
      </c>
      <c r="S1447">
        <f t="shared" si="112"/>
        <v>0</v>
      </c>
      <c r="T1447" s="11">
        <f t="shared" si="113"/>
        <v>2019</v>
      </c>
      <c r="U1447" s="11">
        <f t="shared" si="114"/>
        <v>17655</v>
      </c>
    </row>
    <row r="1448" spans="1:21" x14ac:dyDescent="0.3">
      <c r="A1448" t="s">
        <v>2135</v>
      </c>
      <c r="B1448">
        <v>2018</v>
      </c>
      <c r="C1448" t="s">
        <v>56</v>
      </c>
      <c r="D1448" t="s">
        <v>32</v>
      </c>
      <c r="E1448">
        <v>63091</v>
      </c>
      <c r="F1448" t="s">
        <v>57</v>
      </c>
      <c r="G1448">
        <v>49700</v>
      </c>
      <c r="H1448" t="s">
        <v>20</v>
      </c>
      <c r="I1448" t="s">
        <v>58</v>
      </c>
      <c r="J1448" t="s">
        <v>168</v>
      </c>
      <c r="K1448" t="s">
        <v>23</v>
      </c>
      <c r="L1448" t="s">
        <v>84</v>
      </c>
      <c r="M1448" t="s">
        <v>48</v>
      </c>
      <c r="N1448" t="s">
        <v>69</v>
      </c>
      <c r="O1448" t="s">
        <v>27</v>
      </c>
      <c r="P1448" s="1">
        <v>44776</v>
      </c>
      <c r="Q1448">
        <f t="shared" si="110"/>
        <v>0</v>
      </c>
      <c r="R1448">
        <f t="shared" si="111"/>
        <v>0</v>
      </c>
      <c r="S1448">
        <f t="shared" si="112"/>
        <v>0</v>
      </c>
      <c r="T1448" s="11">
        <f t="shared" si="113"/>
        <v>2018</v>
      </c>
      <c r="U1448" s="11">
        <f t="shared" si="114"/>
        <v>63091</v>
      </c>
    </row>
    <row r="1449" spans="1:21" x14ac:dyDescent="0.3">
      <c r="A1449" t="s">
        <v>2136</v>
      </c>
      <c r="B1449">
        <v>2019</v>
      </c>
      <c r="C1449" t="s">
        <v>56</v>
      </c>
      <c r="D1449" t="s">
        <v>53</v>
      </c>
      <c r="E1449">
        <v>35710</v>
      </c>
      <c r="F1449" t="s">
        <v>57</v>
      </c>
      <c r="G1449">
        <v>57800</v>
      </c>
      <c r="H1449" t="s">
        <v>20</v>
      </c>
      <c r="I1449" t="s">
        <v>58</v>
      </c>
      <c r="J1449" t="s">
        <v>59</v>
      </c>
      <c r="K1449" t="s">
        <v>23</v>
      </c>
      <c r="L1449" t="s">
        <v>205</v>
      </c>
      <c r="M1449" t="s">
        <v>42</v>
      </c>
      <c r="N1449" t="s">
        <v>26</v>
      </c>
      <c r="O1449" t="s">
        <v>27</v>
      </c>
      <c r="P1449" s="1">
        <v>44776</v>
      </c>
      <c r="Q1449">
        <f t="shared" si="110"/>
        <v>0</v>
      </c>
      <c r="R1449">
        <f t="shared" si="111"/>
        <v>0</v>
      </c>
      <c r="S1449">
        <f t="shared" si="112"/>
        <v>0</v>
      </c>
      <c r="T1449" s="11">
        <f t="shared" si="113"/>
        <v>2019</v>
      </c>
      <c r="U1449" s="11">
        <f t="shared" si="114"/>
        <v>35710</v>
      </c>
    </row>
    <row r="1450" spans="1:21" x14ac:dyDescent="0.3">
      <c r="A1450" t="s">
        <v>2137</v>
      </c>
      <c r="B1450">
        <v>2019</v>
      </c>
      <c r="C1450" t="s">
        <v>56</v>
      </c>
      <c r="D1450" t="s">
        <v>32</v>
      </c>
      <c r="E1450">
        <v>13071</v>
      </c>
      <c r="F1450" t="s">
        <v>65</v>
      </c>
      <c r="G1450">
        <v>49400</v>
      </c>
      <c r="H1450" t="s">
        <v>20</v>
      </c>
      <c r="I1450" t="s">
        <v>58</v>
      </c>
      <c r="J1450" t="s">
        <v>192</v>
      </c>
      <c r="K1450" t="s">
        <v>23</v>
      </c>
      <c r="L1450" t="s">
        <v>47</v>
      </c>
      <c r="M1450" t="s">
        <v>48</v>
      </c>
      <c r="N1450" t="s">
        <v>49</v>
      </c>
      <c r="O1450" t="s">
        <v>27</v>
      </c>
      <c r="P1450" s="1">
        <v>44776</v>
      </c>
      <c r="Q1450">
        <f t="shared" si="110"/>
        <v>0</v>
      </c>
      <c r="R1450">
        <f t="shared" si="111"/>
        <v>0</v>
      </c>
      <c r="S1450">
        <f t="shared" si="112"/>
        <v>0</v>
      </c>
      <c r="T1450" s="11">
        <f t="shared" si="113"/>
        <v>2019</v>
      </c>
      <c r="U1450" s="11">
        <f t="shared" si="114"/>
        <v>13071</v>
      </c>
    </row>
    <row r="1451" spans="1:21" x14ac:dyDescent="0.3">
      <c r="A1451" t="s">
        <v>2138</v>
      </c>
      <c r="B1451">
        <v>2021</v>
      </c>
      <c r="C1451" t="s">
        <v>56</v>
      </c>
      <c r="D1451" t="s">
        <v>93</v>
      </c>
      <c r="E1451">
        <v>17415</v>
      </c>
      <c r="F1451" t="s">
        <v>57</v>
      </c>
      <c r="G1451">
        <v>62100</v>
      </c>
      <c r="H1451" t="s">
        <v>20</v>
      </c>
      <c r="I1451" t="s">
        <v>58</v>
      </c>
      <c r="J1451" t="s">
        <v>842</v>
      </c>
      <c r="K1451" t="s">
        <v>23</v>
      </c>
      <c r="L1451" t="s">
        <v>509</v>
      </c>
      <c r="N1451" t="s">
        <v>26</v>
      </c>
      <c r="O1451" t="s">
        <v>27</v>
      </c>
      <c r="P1451" s="1">
        <v>44776</v>
      </c>
      <c r="Q1451">
        <f t="shared" si="110"/>
        <v>0</v>
      </c>
      <c r="R1451">
        <f t="shared" si="111"/>
        <v>0</v>
      </c>
      <c r="S1451">
        <f t="shared" si="112"/>
        <v>0</v>
      </c>
      <c r="T1451" s="11">
        <f t="shared" si="113"/>
        <v>2021</v>
      </c>
      <c r="U1451" s="11">
        <f t="shared" si="114"/>
        <v>17415</v>
      </c>
    </row>
    <row r="1452" spans="1:21" x14ac:dyDescent="0.3">
      <c r="A1452" t="s">
        <v>2139</v>
      </c>
      <c r="B1452">
        <v>2018</v>
      </c>
      <c r="C1452" t="s">
        <v>56</v>
      </c>
      <c r="D1452" t="s">
        <v>30</v>
      </c>
      <c r="E1452">
        <v>44253</v>
      </c>
      <c r="F1452" t="s">
        <v>57</v>
      </c>
      <c r="G1452">
        <v>49000</v>
      </c>
      <c r="H1452" t="s">
        <v>20</v>
      </c>
      <c r="I1452" t="s">
        <v>58</v>
      </c>
      <c r="J1452" t="s">
        <v>413</v>
      </c>
      <c r="K1452" t="s">
        <v>23</v>
      </c>
      <c r="L1452" t="s">
        <v>345</v>
      </c>
      <c r="M1452" t="s">
        <v>48</v>
      </c>
      <c r="N1452" t="s">
        <v>69</v>
      </c>
      <c r="O1452" t="s">
        <v>27</v>
      </c>
      <c r="P1452" s="1">
        <v>44776</v>
      </c>
      <c r="Q1452">
        <f t="shared" si="110"/>
        <v>0</v>
      </c>
      <c r="R1452">
        <f t="shared" si="111"/>
        <v>0</v>
      </c>
      <c r="S1452">
        <f t="shared" si="112"/>
        <v>0</v>
      </c>
      <c r="T1452" s="11">
        <f t="shared" si="113"/>
        <v>2018</v>
      </c>
      <c r="U1452" s="11">
        <f t="shared" si="114"/>
        <v>44253</v>
      </c>
    </row>
    <row r="1453" spans="1:21" x14ac:dyDescent="0.3">
      <c r="A1453" t="s">
        <v>2140</v>
      </c>
      <c r="B1453">
        <v>2020</v>
      </c>
      <c r="C1453" t="s">
        <v>56</v>
      </c>
      <c r="D1453" t="s">
        <v>32</v>
      </c>
      <c r="E1453">
        <v>16488</v>
      </c>
      <c r="F1453" t="s">
        <v>71</v>
      </c>
      <c r="G1453">
        <v>66500</v>
      </c>
      <c r="H1453" t="s">
        <v>77</v>
      </c>
      <c r="I1453" t="s">
        <v>21</v>
      </c>
      <c r="J1453" t="s">
        <v>1340</v>
      </c>
      <c r="K1453" t="s">
        <v>23</v>
      </c>
      <c r="L1453" t="s">
        <v>1119</v>
      </c>
      <c r="M1453" t="s">
        <v>1120</v>
      </c>
      <c r="N1453" t="s">
        <v>119</v>
      </c>
      <c r="O1453" t="s">
        <v>27</v>
      </c>
      <c r="P1453" s="1">
        <v>44776</v>
      </c>
      <c r="Q1453">
        <f t="shared" si="110"/>
        <v>0</v>
      </c>
      <c r="R1453">
        <f t="shared" si="111"/>
        <v>0</v>
      </c>
      <c r="S1453">
        <f t="shared" si="112"/>
        <v>0</v>
      </c>
      <c r="T1453" s="11">
        <f t="shared" si="113"/>
        <v>2020</v>
      </c>
      <c r="U1453" s="11">
        <f t="shared" si="114"/>
        <v>16488</v>
      </c>
    </row>
    <row r="1454" spans="1:21" x14ac:dyDescent="0.3">
      <c r="A1454" t="s">
        <v>2141</v>
      </c>
      <c r="B1454">
        <v>2019</v>
      </c>
      <c r="C1454" t="s">
        <v>56</v>
      </c>
      <c r="D1454" t="s">
        <v>53</v>
      </c>
      <c r="E1454">
        <v>17351</v>
      </c>
      <c r="F1454" t="s">
        <v>65</v>
      </c>
      <c r="G1454">
        <v>50300</v>
      </c>
      <c r="H1454" t="s">
        <v>77</v>
      </c>
      <c r="I1454" t="s">
        <v>58</v>
      </c>
      <c r="J1454" t="s">
        <v>126</v>
      </c>
      <c r="K1454" t="s">
        <v>23</v>
      </c>
      <c r="L1454" t="s">
        <v>95</v>
      </c>
      <c r="M1454" t="s">
        <v>96</v>
      </c>
      <c r="N1454" t="s">
        <v>89</v>
      </c>
      <c r="O1454" t="s">
        <v>27</v>
      </c>
      <c r="P1454" s="1">
        <v>44776</v>
      </c>
      <c r="Q1454">
        <f t="shared" si="110"/>
        <v>0</v>
      </c>
      <c r="R1454">
        <f t="shared" si="111"/>
        <v>0</v>
      </c>
      <c r="S1454">
        <f t="shared" si="112"/>
        <v>0</v>
      </c>
      <c r="T1454" s="11">
        <f t="shared" si="113"/>
        <v>2019</v>
      </c>
      <c r="U1454" s="11">
        <f t="shared" si="114"/>
        <v>17351</v>
      </c>
    </row>
    <row r="1455" spans="1:21" x14ac:dyDescent="0.3">
      <c r="A1455" t="s">
        <v>2142</v>
      </c>
      <c r="B1455">
        <v>2018</v>
      </c>
      <c r="C1455" t="s">
        <v>56</v>
      </c>
      <c r="D1455" t="s">
        <v>93</v>
      </c>
      <c r="E1455">
        <v>46003</v>
      </c>
      <c r="F1455" t="s">
        <v>57</v>
      </c>
      <c r="G1455">
        <v>48300</v>
      </c>
      <c r="H1455" t="s">
        <v>20</v>
      </c>
      <c r="I1455" t="s">
        <v>58</v>
      </c>
      <c r="J1455" t="s">
        <v>842</v>
      </c>
      <c r="K1455" t="s">
        <v>23</v>
      </c>
      <c r="L1455" t="s">
        <v>87</v>
      </c>
      <c r="M1455" t="s">
        <v>88</v>
      </c>
      <c r="N1455" t="s">
        <v>89</v>
      </c>
      <c r="O1455" t="s">
        <v>27</v>
      </c>
      <c r="P1455" s="1">
        <v>44776</v>
      </c>
      <c r="Q1455">
        <f t="shared" si="110"/>
        <v>0</v>
      </c>
      <c r="R1455">
        <f t="shared" si="111"/>
        <v>0</v>
      </c>
      <c r="S1455">
        <f t="shared" si="112"/>
        <v>0</v>
      </c>
      <c r="T1455" s="11">
        <f t="shared" si="113"/>
        <v>2018</v>
      </c>
      <c r="U1455" s="11">
        <f t="shared" si="114"/>
        <v>46003</v>
      </c>
    </row>
    <row r="1456" spans="1:21" x14ac:dyDescent="0.3">
      <c r="A1456" t="s">
        <v>2143</v>
      </c>
      <c r="B1456">
        <v>2019</v>
      </c>
      <c r="C1456" t="s">
        <v>56</v>
      </c>
      <c r="D1456" t="s">
        <v>53</v>
      </c>
      <c r="E1456">
        <v>30077</v>
      </c>
      <c r="F1456" t="s">
        <v>65</v>
      </c>
      <c r="G1456">
        <v>46800</v>
      </c>
      <c r="H1456" t="s">
        <v>20</v>
      </c>
      <c r="I1456" t="s">
        <v>58</v>
      </c>
      <c r="J1456" t="s">
        <v>66</v>
      </c>
      <c r="K1456" t="s">
        <v>23</v>
      </c>
      <c r="L1456" t="s">
        <v>95</v>
      </c>
      <c r="M1456" t="s">
        <v>96</v>
      </c>
      <c r="N1456" t="s">
        <v>89</v>
      </c>
      <c r="O1456" t="s">
        <v>27</v>
      </c>
      <c r="P1456" s="1">
        <v>44776</v>
      </c>
      <c r="Q1456">
        <f t="shared" si="110"/>
        <v>0</v>
      </c>
      <c r="R1456">
        <f t="shared" si="111"/>
        <v>0</v>
      </c>
      <c r="S1456">
        <f t="shared" si="112"/>
        <v>0</v>
      </c>
      <c r="T1456" s="11">
        <f t="shared" si="113"/>
        <v>2019</v>
      </c>
      <c r="U1456" s="11">
        <f t="shared" si="114"/>
        <v>30077</v>
      </c>
    </row>
    <row r="1457" spans="1:21" x14ac:dyDescent="0.3">
      <c r="A1457" t="s">
        <v>2144</v>
      </c>
      <c r="B1457">
        <v>2018</v>
      </c>
      <c r="C1457" t="s">
        <v>56</v>
      </c>
      <c r="D1457" t="s">
        <v>76</v>
      </c>
      <c r="E1457">
        <v>50787</v>
      </c>
      <c r="F1457" t="s">
        <v>234</v>
      </c>
      <c r="G1457">
        <v>50600</v>
      </c>
      <c r="H1457" t="s">
        <v>20</v>
      </c>
      <c r="I1457" t="s">
        <v>78</v>
      </c>
      <c r="J1457" t="s">
        <v>358</v>
      </c>
      <c r="K1457" t="s">
        <v>23</v>
      </c>
      <c r="L1457" t="s">
        <v>87</v>
      </c>
      <c r="M1457" t="s">
        <v>88</v>
      </c>
      <c r="N1457" t="s">
        <v>89</v>
      </c>
      <c r="O1457" t="s">
        <v>27</v>
      </c>
      <c r="P1457" s="1">
        <v>44776</v>
      </c>
      <c r="Q1457">
        <f t="shared" si="110"/>
        <v>0</v>
      </c>
      <c r="R1457">
        <f t="shared" si="111"/>
        <v>0</v>
      </c>
      <c r="S1457">
        <f t="shared" si="112"/>
        <v>0</v>
      </c>
      <c r="T1457" s="11">
        <f t="shared" si="113"/>
        <v>2018</v>
      </c>
      <c r="U1457" s="11">
        <f t="shared" si="114"/>
        <v>50787</v>
      </c>
    </row>
    <row r="1458" spans="1:21" x14ac:dyDescent="0.3">
      <c r="A1458" t="s">
        <v>2145</v>
      </c>
      <c r="B1458">
        <v>2021</v>
      </c>
      <c r="C1458" t="s">
        <v>17</v>
      </c>
      <c r="D1458" t="s">
        <v>30</v>
      </c>
      <c r="E1458">
        <v>17623</v>
      </c>
      <c r="F1458" t="s">
        <v>19</v>
      </c>
      <c r="G1458">
        <v>76100</v>
      </c>
      <c r="H1458" t="s">
        <v>20</v>
      </c>
      <c r="I1458" t="s">
        <v>78</v>
      </c>
      <c r="J1458" t="s">
        <v>242</v>
      </c>
      <c r="K1458" t="s">
        <v>23</v>
      </c>
      <c r="L1458" t="s">
        <v>117</v>
      </c>
      <c r="M1458" t="s">
        <v>118</v>
      </c>
      <c r="N1458" t="s">
        <v>119</v>
      </c>
      <c r="O1458" t="s">
        <v>27</v>
      </c>
      <c r="P1458" s="1">
        <v>44776</v>
      </c>
      <c r="Q1458">
        <f t="shared" si="110"/>
        <v>0</v>
      </c>
      <c r="R1458">
        <f t="shared" si="111"/>
        <v>0</v>
      </c>
      <c r="S1458">
        <f t="shared" si="112"/>
        <v>1</v>
      </c>
      <c r="T1458" s="11">
        <f t="shared" si="113"/>
        <v>2021</v>
      </c>
      <c r="U1458" s="11">
        <f t="shared" si="114"/>
        <v>17623</v>
      </c>
    </row>
    <row r="1459" spans="1:21" x14ac:dyDescent="0.3">
      <c r="A1459" t="s">
        <v>2146</v>
      </c>
      <c r="B1459">
        <v>2019</v>
      </c>
      <c r="C1459" t="s">
        <v>56</v>
      </c>
      <c r="D1459" t="s">
        <v>32</v>
      </c>
      <c r="E1459">
        <v>29742</v>
      </c>
      <c r="F1459" t="s">
        <v>57</v>
      </c>
      <c r="G1459">
        <v>52700</v>
      </c>
      <c r="H1459" t="s">
        <v>20</v>
      </c>
      <c r="I1459" t="s">
        <v>78</v>
      </c>
      <c r="J1459" t="s">
        <v>275</v>
      </c>
      <c r="K1459" t="s">
        <v>23</v>
      </c>
      <c r="L1459" t="s">
        <v>95</v>
      </c>
      <c r="M1459" t="s">
        <v>96</v>
      </c>
      <c r="N1459" t="s">
        <v>89</v>
      </c>
      <c r="O1459" t="s">
        <v>27</v>
      </c>
      <c r="P1459" s="1">
        <v>44776</v>
      </c>
      <c r="Q1459">
        <f t="shared" si="110"/>
        <v>0</v>
      </c>
      <c r="R1459">
        <f t="shared" si="111"/>
        <v>0</v>
      </c>
      <c r="S1459">
        <f t="shared" si="112"/>
        <v>0</v>
      </c>
      <c r="T1459" s="11">
        <f t="shared" si="113"/>
        <v>2019</v>
      </c>
      <c r="U1459" s="11">
        <f t="shared" si="114"/>
        <v>29742</v>
      </c>
    </row>
    <row r="1460" spans="1:21" x14ac:dyDescent="0.3">
      <c r="A1460" t="s">
        <v>2147</v>
      </c>
      <c r="B1460">
        <v>2020</v>
      </c>
      <c r="C1460" t="s">
        <v>56</v>
      </c>
      <c r="D1460" t="s">
        <v>32</v>
      </c>
      <c r="E1460">
        <v>32631</v>
      </c>
      <c r="F1460" t="s">
        <v>71</v>
      </c>
      <c r="G1460">
        <v>53300</v>
      </c>
      <c r="H1460" t="s">
        <v>20</v>
      </c>
      <c r="I1460" t="s">
        <v>58</v>
      </c>
      <c r="J1460" t="s">
        <v>2148</v>
      </c>
      <c r="K1460" t="s">
        <v>23</v>
      </c>
      <c r="L1460" t="s">
        <v>2149</v>
      </c>
      <c r="M1460" t="s">
        <v>113</v>
      </c>
      <c r="N1460" t="s">
        <v>114</v>
      </c>
      <c r="O1460" t="s">
        <v>27</v>
      </c>
      <c r="P1460" s="1">
        <v>44776</v>
      </c>
      <c r="Q1460">
        <f t="shared" si="110"/>
        <v>0</v>
      </c>
      <c r="R1460">
        <f t="shared" si="111"/>
        <v>0</v>
      </c>
      <c r="S1460">
        <f t="shared" si="112"/>
        <v>0</v>
      </c>
      <c r="T1460" s="11">
        <f t="shared" si="113"/>
        <v>2020</v>
      </c>
      <c r="U1460" s="11">
        <f t="shared" si="114"/>
        <v>32631</v>
      </c>
    </row>
    <row r="1461" spans="1:21" x14ac:dyDescent="0.3">
      <c r="A1461" t="s">
        <v>2150</v>
      </c>
      <c r="B1461">
        <v>2020</v>
      </c>
      <c r="C1461" t="s">
        <v>56</v>
      </c>
      <c r="D1461" t="s">
        <v>32</v>
      </c>
      <c r="E1461">
        <v>24309</v>
      </c>
      <c r="F1461" t="s">
        <v>57</v>
      </c>
      <c r="G1461">
        <v>55100</v>
      </c>
      <c r="H1461" t="s">
        <v>77</v>
      </c>
      <c r="I1461" t="s">
        <v>58</v>
      </c>
      <c r="J1461" t="s">
        <v>411</v>
      </c>
      <c r="K1461" t="s">
        <v>23</v>
      </c>
      <c r="L1461" t="s">
        <v>95</v>
      </c>
      <c r="M1461" t="s">
        <v>96</v>
      </c>
      <c r="N1461" t="s">
        <v>89</v>
      </c>
      <c r="O1461" t="s">
        <v>27</v>
      </c>
      <c r="P1461" s="1">
        <v>44776</v>
      </c>
      <c r="Q1461">
        <f t="shared" si="110"/>
        <v>0</v>
      </c>
      <c r="R1461">
        <f t="shared" si="111"/>
        <v>0</v>
      </c>
      <c r="S1461">
        <f t="shared" si="112"/>
        <v>0</v>
      </c>
      <c r="T1461" s="11">
        <f t="shared" si="113"/>
        <v>2020</v>
      </c>
      <c r="U1461" s="11">
        <f t="shared" si="114"/>
        <v>24309</v>
      </c>
    </row>
    <row r="1462" spans="1:21" x14ac:dyDescent="0.3">
      <c r="A1462" t="s">
        <v>2151</v>
      </c>
      <c r="B1462">
        <v>2019</v>
      </c>
      <c r="C1462" t="s">
        <v>56</v>
      </c>
      <c r="D1462" t="s">
        <v>32</v>
      </c>
      <c r="E1462">
        <v>38892</v>
      </c>
      <c r="F1462" t="s">
        <v>57</v>
      </c>
      <c r="G1462">
        <v>56100</v>
      </c>
      <c r="H1462" t="s">
        <v>77</v>
      </c>
      <c r="I1462" t="s">
        <v>78</v>
      </c>
      <c r="J1462" t="s">
        <v>650</v>
      </c>
      <c r="K1462" t="s">
        <v>23</v>
      </c>
      <c r="L1462" t="s">
        <v>404</v>
      </c>
      <c r="M1462" t="s">
        <v>405</v>
      </c>
      <c r="N1462" t="s">
        <v>406</v>
      </c>
      <c r="O1462" t="s">
        <v>27</v>
      </c>
      <c r="P1462" s="1">
        <v>44776</v>
      </c>
      <c r="Q1462">
        <f t="shared" si="110"/>
        <v>0</v>
      </c>
      <c r="R1462">
        <f t="shared" si="111"/>
        <v>0</v>
      </c>
      <c r="S1462">
        <f t="shared" si="112"/>
        <v>0</v>
      </c>
      <c r="T1462" s="11">
        <f t="shared" si="113"/>
        <v>2019</v>
      </c>
      <c r="U1462" s="11">
        <f t="shared" si="114"/>
        <v>38892</v>
      </c>
    </row>
    <row r="1463" spans="1:21" x14ac:dyDescent="0.3">
      <c r="A1463" t="s">
        <v>2152</v>
      </c>
      <c r="B1463">
        <v>2019</v>
      </c>
      <c r="C1463" t="s">
        <v>56</v>
      </c>
      <c r="D1463" t="s">
        <v>76</v>
      </c>
      <c r="E1463">
        <v>28504</v>
      </c>
      <c r="F1463" t="s">
        <v>65</v>
      </c>
      <c r="G1463">
        <v>43500</v>
      </c>
      <c r="H1463" t="s">
        <v>20</v>
      </c>
      <c r="I1463" t="s">
        <v>58</v>
      </c>
      <c r="J1463" t="s">
        <v>2153</v>
      </c>
      <c r="K1463" t="s">
        <v>23</v>
      </c>
      <c r="L1463" t="s">
        <v>254</v>
      </c>
      <c r="M1463" t="s">
        <v>255</v>
      </c>
      <c r="N1463" t="s">
        <v>256</v>
      </c>
      <c r="O1463" t="s">
        <v>27</v>
      </c>
      <c r="P1463" s="1">
        <v>44776</v>
      </c>
      <c r="Q1463">
        <f t="shared" si="110"/>
        <v>0</v>
      </c>
      <c r="R1463">
        <f t="shared" si="111"/>
        <v>0</v>
      </c>
      <c r="S1463">
        <f t="shared" si="112"/>
        <v>0</v>
      </c>
      <c r="T1463" s="11">
        <f t="shared" si="113"/>
        <v>2019</v>
      </c>
      <c r="U1463" s="11">
        <f t="shared" si="114"/>
        <v>28504</v>
      </c>
    </row>
    <row r="1464" spans="1:21" x14ac:dyDescent="0.3">
      <c r="A1464" t="s">
        <v>2154</v>
      </c>
      <c r="B1464">
        <v>2019</v>
      </c>
      <c r="C1464" t="s">
        <v>56</v>
      </c>
      <c r="D1464" t="s">
        <v>53</v>
      </c>
      <c r="E1464">
        <v>35489</v>
      </c>
      <c r="F1464" t="s">
        <v>65</v>
      </c>
      <c r="G1464">
        <v>48000</v>
      </c>
      <c r="H1464" t="s">
        <v>20</v>
      </c>
      <c r="I1464" t="s">
        <v>58</v>
      </c>
      <c r="J1464" t="s">
        <v>66</v>
      </c>
      <c r="K1464" t="s">
        <v>23</v>
      </c>
      <c r="L1464" t="s">
        <v>137</v>
      </c>
      <c r="M1464" t="s">
        <v>138</v>
      </c>
      <c r="N1464" t="s">
        <v>139</v>
      </c>
      <c r="O1464" t="s">
        <v>27</v>
      </c>
      <c r="P1464" s="1">
        <v>44776</v>
      </c>
      <c r="Q1464">
        <f t="shared" si="110"/>
        <v>0</v>
      </c>
      <c r="R1464">
        <f t="shared" si="111"/>
        <v>0</v>
      </c>
      <c r="S1464">
        <f t="shared" si="112"/>
        <v>0</v>
      </c>
      <c r="T1464" s="11">
        <f t="shared" si="113"/>
        <v>2019</v>
      </c>
      <c r="U1464" s="11">
        <f t="shared" si="114"/>
        <v>35489</v>
      </c>
    </row>
    <row r="1465" spans="1:21" x14ac:dyDescent="0.3">
      <c r="A1465" t="s">
        <v>2155</v>
      </c>
      <c r="B1465">
        <v>2018</v>
      </c>
      <c r="C1465" t="s">
        <v>56</v>
      </c>
      <c r="D1465" t="s">
        <v>93</v>
      </c>
      <c r="E1465">
        <v>65532</v>
      </c>
      <c r="F1465" t="s">
        <v>636</v>
      </c>
      <c r="G1465">
        <v>46600</v>
      </c>
      <c r="H1465" t="s">
        <v>20</v>
      </c>
      <c r="I1465" t="s">
        <v>78</v>
      </c>
      <c r="J1465" t="s">
        <v>290</v>
      </c>
      <c r="K1465" t="s">
        <v>23</v>
      </c>
      <c r="L1465" t="s">
        <v>1179</v>
      </c>
      <c r="M1465" t="s">
        <v>42</v>
      </c>
      <c r="N1465" t="s">
        <v>26</v>
      </c>
      <c r="O1465" t="s">
        <v>27</v>
      </c>
      <c r="P1465" s="1">
        <v>44776</v>
      </c>
      <c r="Q1465">
        <f t="shared" si="110"/>
        <v>0</v>
      </c>
      <c r="R1465">
        <f t="shared" si="111"/>
        <v>0</v>
      </c>
      <c r="S1465">
        <f t="shared" si="112"/>
        <v>0</v>
      </c>
      <c r="T1465" s="11">
        <f t="shared" si="113"/>
        <v>2018</v>
      </c>
      <c r="U1465" s="11">
        <f t="shared" si="114"/>
        <v>65532</v>
      </c>
    </row>
    <row r="1466" spans="1:21" x14ac:dyDescent="0.3">
      <c r="A1466" t="s">
        <v>2156</v>
      </c>
      <c r="B1466">
        <v>2021</v>
      </c>
      <c r="C1466" t="s">
        <v>56</v>
      </c>
      <c r="D1466" t="s">
        <v>32</v>
      </c>
      <c r="E1466">
        <v>24676</v>
      </c>
      <c r="F1466" t="s">
        <v>57</v>
      </c>
      <c r="G1466">
        <v>64000</v>
      </c>
      <c r="H1466" t="s">
        <v>20</v>
      </c>
      <c r="I1466" t="s">
        <v>58</v>
      </c>
      <c r="J1466" t="s">
        <v>168</v>
      </c>
      <c r="K1466" t="s">
        <v>23</v>
      </c>
      <c r="L1466" t="s">
        <v>205</v>
      </c>
      <c r="M1466" t="s">
        <v>42</v>
      </c>
      <c r="N1466" t="s">
        <v>26</v>
      </c>
      <c r="O1466" t="s">
        <v>27</v>
      </c>
      <c r="P1466" s="1">
        <v>44776</v>
      </c>
      <c r="Q1466">
        <f t="shared" si="110"/>
        <v>0</v>
      </c>
      <c r="R1466">
        <f t="shared" si="111"/>
        <v>0</v>
      </c>
      <c r="S1466">
        <f t="shared" si="112"/>
        <v>0</v>
      </c>
      <c r="T1466" s="11">
        <f t="shared" si="113"/>
        <v>2021</v>
      </c>
      <c r="U1466" s="11">
        <f t="shared" si="114"/>
        <v>24676</v>
      </c>
    </row>
    <row r="1467" spans="1:21" x14ac:dyDescent="0.3">
      <c r="A1467" t="s">
        <v>2157</v>
      </c>
      <c r="B1467">
        <v>2019</v>
      </c>
      <c r="C1467" t="s">
        <v>56</v>
      </c>
      <c r="D1467" t="s">
        <v>76</v>
      </c>
      <c r="E1467">
        <v>23903</v>
      </c>
      <c r="F1467" t="s">
        <v>71</v>
      </c>
      <c r="G1467">
        <v>58200</v>
      </c>
      <c r="H1467" t="s">
        <v>20</v>
      </c>
      <c r="I1467" t="s">
        <v>21</v>
      </c>
      <c r="J1467" t="s">
        <v>1603</v>
      </c>
      <c r="K1467" t="s">
        <v>23</v>
      </c>
      <c r="L1467" t="s">
        <v>183</v>
      </c>
      <c r="M1467" t="s">
        <v>25</v>
      </c>
      <c r="N1467" t="s">
        <v>26</v>
      </c>
      <c r="O1467" t="s">
        <v>27</v>
      </c>
      <c r="P1467" s="1">
        <v>44776</v>
      </c>
      <c r="Q1467">
        <f t="shared" si="110"/>
        <v>0</v>
      </c>
      <c r="R1467">
        <f t="shared" si="111"/>
        <v>0</v>
      </c>
      <c r="S1467">
        <f t="shared" si="112"/>
        <v>0</v>
      </c>
      <c r="T1467" s="11">
        <f t="shared" si="113"/>
        <v>2019</v>
      </c>
      <c r="U1467" s="11">
        <f t="shared" si="114"/>
        <v>23903</v>
      </c>
    </row>
    <row r="1468" spans="1:21" x14ac:dyDescent="0.3">
      <c r="A1468" t="s">
        <v>2158</v>
      </c>
      <c r="B1468">
        <v>2020</v>
      </c>
      <c r="C1468" t="s">
        <v>17</v>
      </c>
      <c r="D1468" t="s">
        <v>53</v>
      </c>
      <c r="E1468">
        <v>11410</v>
      </c>
      <c r="F1468" t="s">
        <v>207</v>
      </c>
      <c r="G1468">
        <v>83000</v>
      </c>
      <c r="H1468" t="s">
        <v>20</v>
      </c>
      <c r="I1468" t="s">
        <v>21</v>
      </c>
      <c r="J1468" t="s">
        <v>613</v>
      </c>
      <c r="K1468" t="s">
        <v>23</v>
      </c>
      <c r="L1468" t="s">
        <v>509</v>
      </c>
      <c r="N1468" t="s">
        <v>26</v>
      </c>
      <c r="O1468" t="s">
        <v>27</v>
      </c>
      <c r="P1468" s="1">
        <v>44776</v>
      </c>
      <c r="Q1468">
        <f t="shared" si="110"/>
        <v>0</v>
      </c>
      <c r="R1468">
        <f t="shared" si="111"/>
        <v>0</v>
      </c>
      <c r="S1468">
        <f t="shared" si="112"/>
        <v>1</v>
      </c>
      <c r="T1468" s="11">
        <f t="shared" si="113"/>
        <v>2020</v>
      </c>
      <c r="U1468" s="11">
        <f t="shared" si="114"/>
        <v>11410</v>
      </c>
    </row>
    <row r="1469" spans="1:21" x14ac:dyDescent="0.3">
      <c r="A1469" t="s">
        <v>2159</v>
      </c>
      <c r="B1469">
        <v>2019</v>
      </c>
      <c r="C1469" t="s">
        <v>56</v>
      </c>
      <c r="D1469" t="s">
        <v>93</v>
      </c>
      <c r="E1469">
        <v>30302</v>
      </c>
      <c r="F1469" t="s">
        <v>57</v>
      </c>
      <c r="G1469">
        <v>51700</v>
      </c>
      <c r="H1469" t="s">
        <v>77</v>
      </c>
      <c r="I1469" t="s">
        <v>78</v>
      </c>
      <c r="J1469" t="s">
        <v>280</v>
      </c>
      <c r="K1469" t="s">
        <v>23</v>
      </c>
      <c r="L1469" t="s">
        <v>876</v>
      </c>
      <c r="M1469" t="s">
        <v>220</v>
      </c>
      <c r="N1469" t="s">
        <v>221</v>
      </c>
      <c r="O1469" t="s">
        <v>27</v>
      </c>
      <c r="P1469" s="1">
        <v>44776</v>
      </c>
      <c r="Q1469">
        <f t="shared" si="110"/>
        <v>0</v>
      </c>
      <c r="R1469">
        <f t="shared" si="111"/>
        <v>0</v>
      </c>
      <c r="S1469">
        <f t="shared" si="112"/>
        <v>0</v>
      </c>
      <c r="T1469" s="11">
        <f t="shared" si="113"/>
        <v>2019</v>
      </c>
      <c r="U1469" s="11">
        <f t="shared" si="114"/>
        <v>30302</v>
      </c>
    </row>
    <row r="1470" spans="1:21" x14ac:dyDescent="0.3">
      <c r="A1470" t="s">
        <v>2160</v>
      </c>
      <c r="B1470">
        <v>2019</v>
      </c>
      <c r="C1470" t="s">
        <v>56</v>
      </c>
      <c r="D1470" t="s">
        <v>32</v>
      </c>
      <c r="E1470">
        <v>24584</v>
      </c>
      <c r="F1470" t="s">
        <v>65</v>
      </c>
      <c r="G1470">
        <v>54200</v>
      </c>
      <c r="H1470" t="s">
        <v>20</v>
      </c>
      <c r="I1470" t="s">
        <v>58</v>
      </c>
      <c r="J1470" t="s">
        <v>192</v>
      </c>
      <c r="K1470" t="s">
        <v>23</v>
      </c>
      <c r="L1470" t="s">
        <v>205</v>
      </c>
      <c r="M1470" t="s">
        <v>42</v>
      </c>
      <c r="N1470" t="s">
        <v>26</v>
      </c>
      <c r="O1470" t="s">
        <v>27</v>
      </c>
      <c r="P1470" s="1">
        <v>44776</v>
      </c>
      <c r="Q1470">
        <f t="shared" si="110"/>
        <v>0</v>
      </c>
      <c r="R1470">
        <f t="shared" si="111"/>
        <v>0</v>
      </c>
      <c r="S1470">
        <f t="shared" si="112"/>
        <v>0</v>
      </c>
      <c r="T1470" s="11">
        <f t="shared" si="113"/>
        <v>2019</v>
      </c>
      <c r="U1470" s="11">
        <f t="shared" si="114"/>
        <v>24584</v>
      </c>
    </row>
    <row r="1471" spans="1:21" x14ac:dyDescent="0.3">
      <c r="A1471" t="s">
        <v>2161</v>
      </c>
      <c r="B1471">
        <v>2021</v>
      </c>
      <c r="C1471" t="s">
        <v>17</v>
      </c>
      <c r="D1471" t="s">
        <v>53</v>
      </c>
      <c r="E1471">
        <v>15089</v>
      </c>
      <c r="F1471" t="s">
        <v>207</v>
      </c>
      <c r="G1471">
        <v>80400</v>
      </c>
      <c r="H1471" t="s">
        <v>77</v>
      </c>
      <c r="I1471" t="s">
        <v>21</v>
      </c>
      <c r="J1471" t="s">
        <v>422</v>
      </c>
      <c r="K1471" t="s">
        <v>23</v>
      </c>
      <c r="L1471" t="s">
        <v>779</v>
      </c>
      <c r="M1471" t="s">
        <v>780</v>
      </c>
      <c r="N1471" t="s">
        <v>256</v>
      </c>
      <c r="O1471" t="s">
        <v>27</v>
      </c>
      <c r="P1471" s="1">
        <v>44776</v>
      </c>
      <c r="Q1471">
        <f t="shared" si="110"/>
        <v>0</v>
      </c>
      <c r="R1471">
        <f t="shared" si="111"/>
        <v>0</v>
      </c>
      <c r="S1471">
        <f t="shared" si="112"/>
        <v>1</v>
      </c>
      <c r="T1471" s="11">
        <f t="shared" si="113"/>
        <v>2021</v>
      </c>
      <c r="U1471" s="11">
        <f t="shared" si="114"/>
        <v>15089</v>
      </c>
    </row>
    <row r="1472" spans="1:21" x14ac:dyDescent="0.3">
      <c r="A1472" t="s">
        <v>2162</v>
      </c>
      <c r="B1472">
        <v>2020</v>
      </c>
      <c r="C1472" t="s">
        <v>56</v>
      </c>
      <c r="D1472" t="s">
        <v>93</v>
      </c>
      <c r="E1472">
        <v>48608</v>
      </c>
      <c r="F1472" t="s">
        <v>57</v>
      </c>
      <c r="G1472">
        <v>53700</v>
      </c>
      <c r="H1472" t="s">
        <v>20</v>
      </c>
      <c r="I1472" t="s">
        <v>58</v>
      </c>
      <c r="J1472" t="s">
        <v>842</v>
      </c>
      <c r="K1472" t="s">
        <v>23</v>
      </c>
      <c r="L1472" t="s">
        <v>197</v>
      </c>
      <c r="M1472" t="s">
        <v>198</v>
      </c>
      <c r="N1472" t="s">
        <v>26</v>
      </c>
      <c r="O1472" t="s">
        <v>27</v>
      </c>
      <c r="P1472" s="1">
        <v>44776</v>
      </c>
      <c r="Q1472">
        <f t="shared" si="110"/>
        <v>0</v>
      </c>
      <c r="R1472">
        <f t="shared" si="111"/>
        <v>0</v>
      </c>
      <c r="S1472">
        <f t="shared" si="112"/>
        <v>0</v>
      </c>
      <c r="T1472" s="11">
        <f t="shared" si="113"/>
        <v>2020</v>
      </c>
      <c r="U1472" s="11">
        <f t="shared" si="114"/>
        <v>48608</v>
      </c>
    </row>
    <row r="1473" spans="1:21" x14ac:dyDescent="0.3">
      <c r="A1473" t="s">
        <v>2163</v>
      </c>
      <c r="B1473">
        <v>2019</v>
      </c>
      <c r="C1473" t="s">
        <v>56</v>
      </c>
      <c r="D1473" t="s">
        <v>53</v>
      </c>
      <c r="E1473">
        <v>36254</v>
      </c>
      <c r="F1473" t="s">
        <v>65</v>
      </c>
      <c r="G1473">
        <v>47900</v>
      </c>
      <c r="H1473" t="s">
        <v>77</v>
      </c>
      <c r="I1473" t="s">
        <v>78</v>
      </c>
      <c r="J1473" t="s">
        <v>1046</v>
      </c>
      <c r="K1473" t="s">
        <v>23</v>
      </c>
      <c r="L1473" t="s">
        <v>41</v>
      </c>
      <c r="M1473" t="s">
        <v>42</v>
      </c>
      <c r="N1473" t="s">
        <v>26</v>
      </c>
      <c r="O1473" t="s">
        <v>27</v>
      </c>
      <c r="P1473" s="1">
        <v>44776</v>
      </c>
      <c r="Q1473">
        <f t="shared" si="110"/>
        <v>0</v>
      </c>
      <c r="R1473">
        <f t="shared" si="111"/>
        <v>0</v>
      </c>
      <c r="S1473">
        <f t="shared" si="112"/>
        <v>0</v>
      </c>
      <c r="T1473" s="11">
        <f t="shared" si="113"/>
        <v>2019</v>
      </c>
      <c r="U1473" s="11">
        <f t="shared" si="114"/>
        <v>36254</v>
      </c>
    </row>
    <row r="1474" spans="1:21" x14ac:dyDescent="0.3">
      <c r="A1474" t="s">
        <v>2164</v>
      </c>
      <c r="B1474">
        <v>2021</v>
      </c>
      <c r="C1474" t="s">
        <v>56</v>
      </c>
      <c r="D1474" t="s">
        <v>53</v>
      </c>
      <c r="E1474">
        <v>15860</v>
      </c>
      <c r="F1474" t="s">
        <v>57</v>
      </c>
      <c r="G1474">
        <v>63200</v>
      </c>
      <c r="H1474" t="s">
        <v>20</v>
      </c>
      <c r="I1474" t="s">
        <v>58</v>
      </c>
      <c r="J1474" t="s">
        <v>59</v>
      </c>
      <c r="K1474" t="s">
        <v>23</v>
      </c>
      <c r="L1474" t="s">
        <v>24</v>
      </c>
      <c r="M1474" t="s">
        <v>25</v>
      </c>
      <c r="N1474" t="s">
        <v>26</v>
      </c>
      <c r="O1474" t="s">
        <v>27</v>
      </c>
      <c r="P1474" s="1">
        <v>44776</v>
      </c>
      <c r="Q1474">
        <f t="shared" ref="Q1474:Q1537" si="115">--(C1474="ms")</f>
        <v>0</v>
      </c>
      <c r="R1474">
        <f t="shared" ref="R1474:R1537" si="116">--(C1474="mx")</f>
        <v>0</v>
      </c>
      <c r="S1474">
        <f t="shared" ref="S1474:S1537" si="117">--(C1474="my")</f>
        <v>0</v>
      </c>
      <c r="T1474" s="11">
        <f t="shared" ref="T1474:T1537" si="118">B1474</f>
        <v>2021</v>
      </c>
      <c r="U1474" s="11">
        <f t="shared" ref="U1474:U1537" si="119">E1474</f>
        <v>15860</v>
      </c>
    </row>
    <row r="1475" spans="1:21" x14ac:dyDescent="0.3">
      <c r="A1475" t="s">
        <v>2165</v>
      </c>
      <c r="B1475">
        <v>2019</v>
      </c>
      <c r="C1475" t="s">
        <v>37</v>
      </c>
      <c r="D1475" t="s">
        <v>51</v>
      </c>
      <c r="E1475">
        <v>16721</v>
      </c>
      <c r="F1475" t="s">
        <v>98</v>
      </c>
      <c r="G1475">
        <v>105500</v>
      </c>
      <c r="H1475" t="s">
        <v>53</v>
      </c>
      <c r="I1475" t="s">
        <v>39</v>
      </c>
      <c r="J1475" t="s">
        <v>2166</v>
      </c>
      <c r="K1475" t="s">
        <v>23</v>
      </c>
      <c r="L1475" t="s">
        <v>183</v>
      </c>
      <c r="M1475" t="s">
        <v>25</v>
      </c>
      <c r="N1475" t="s">
        <v>26</v>
      </c>
      <c r="O1475" t="s">
        <v>27</v>
      </c>
      <c r="P1475" s="1">
        <v>44776</v>
      </c>
      <c r="Q1475">
        <f t="shared" si="115"/>
        <v>1</v>
      </c>
      <c r="R1475">
        <f t="shared" si="116"/>
        <v>0</v>
      </c>
      <c r="S1475">
        <f t="shared" si="117"/>
        <v>0</v>
      </c>
      <c r="T1475" s="11">
        <f t="shared" si="118"/>
        <v>2019</v>
      </c>
      <c r="U1475" s="11">
        <f t="shared" si="119"/>
        <v>16721</v>
      </c>
    </row>
    <row r="1476" spans="1:21" x14ac:dyDescent="0.3">
      <c r="A1476" t="s">
        <v>2167</v>
      </c>
      <c r="B1476">
        <v>2020</v>
      </c>
      <c r="C1476" t="s">
        <v>56</v>
      </c>
      <c r="D1476" t="s">
        <v>32</v>
      </c>
      <c r="E1476">
        <v>20525</v>
      </c>
      <c r="F1476" t="s">
        <v>57</v>
      </c>
      <c r="G1476">
        <v>57100</v>
      </c>
      <c r="H1476" t="s">
        <v>20</v>
      </c>
      <c r="I1476" t="s">
        <v>78</v>
      </c>
      <c r="J1476" t="s">
        <v>275</v>
      </c>
      <c r="K1476" t="s">
        <v>23</v>
      </c>
      <c r="L1476" t="s">
        <v>876</v>
      </c>
      <c r="M1476" t="s">
        <v>220</v>
      </c>
      <c r="N1476" t="s">
        <v>221</v>
      </c>
      <c r="O1476" t="s">
        <v>27</v>
      </c>
      <c r="P1476" s="1">
        <v>44776</v>
      </c>
      <c r="Q1476">
        <f t="shared" si="115"/>
        <v>0</v>
      </c>
      <c r="R1476">
        <f t="shared" si="116"/>
        <v>0</v>
      </c>
      <c r="S1476">
        <f t="shared" si="117"/>
        <v>0</v>
      </c>
      <c r="T1476" s="11">
        <f t="shared" si="118"/>
        <v>2020</v>
      </c>
      <c r="U1476" s="11">
        <f t="shared" si="119"/>
        <v>20525</v>
      </c>
    </row>
    <row r="1477" spans="1:21" x14ac:dyDescent="0.3">
      <c r="A1477" t="s">
        <v>2168</v>
      </c>
      <c r="B1477">
        <v>2019</v>
      </c>
      <c r="C1477" t="s">
        <v>56</v>
      </c>
      <c r="D1477" t="s">
        <v>32</v>
      </c>
      <c r="E1477">
        <v>16048</v>
      </c>
      <c r="F1477" t="s">
        <v>57</v>
      </c>
      <c r="G1477">
        <v>54400</v>
      </c>
      <c r="H1477" t="s">
        <v>77</v>
      </c>
      <c r="I1477" t="s">
        <v>78</v>
      </c>
      <c r="J1477" t="s">
        <v>650</v>
      </c>
      <c r="K1477" t="s">
        <v>23</v>
      </c>
      <c r="L1477" t="s">
        <v>1160</v>
      </c>
      <c r="M1477" t="s">
        <v>202</v>
      </c>
      <c r="N1477" t="s">
        <v>203</v>
      </c>
      <c r="O1477" t="s">
        <v>27</v>
      </c>
      <c r="P1477" s="1">
        <v>44776</v>
      </c>
      <c r="Q1477">
        <f t="shared" si="115"/>
        <v>0</v>
      </c>
      <c r="R1477">
        <f t="shared" si="116"/>
        <v>0</v>
      </c>
      <c r="S1477">
        <f t="shared" si="117"/>
        <v>0</v>
      </c>
      <c r="T1477" s="11">
        <f t="shared" si="118"/>
        <v>2019</v>
      </c>
      <c r="U1477" s="11">
        <f t="shared" si="119"/>
        <v>16048</v>
      </c>
    </row>
    <row r="1478" spans="1:21" x14ac:dyDescent="0.3">
      <c r="A1478" t="s">
        <v>2169</v>
      </c>
      <c r="B1478">
        <v>2021</v>
      </c>
      <c r="C1478" t="s">
        <v>17</v>
      </c>
      <c r="D1478" t="s">
        <v>32</v>
      </c>
      <c r="E1478">
        <v>11819</v>
      </c>
      <c r="F1478" t="s">
        <v>207</v>
      </c>
      <c r="G1478">
        <v>75100</v>
      </c>
      <c r="H1478" t="s">
        <v>20</v>
      </c>
      <c r="I1478" t="s">
        <v>21</v>
      </c>
      <c r="J1478" t="s">
        <v>429</v>
      </c>
      <c r="K1478" t="s">
        <v>23</v>
      </c>
      <c r="L1478" t="s">
        <v>243</v>
      </c>
      <c r="M1478" t="s">
        <v>244</v>
      </c>
      <c r="N1478" t="s">
        <v>245</v>
      </c>
      <c r="O1478" t="s">
        <v>27</v>
      </c>
      <c r="P1478" s="1">
        <v>44776</v>
      </c>
      <c r="Q1478">
        <f t="shared" si="115"/>
        <v>0</v>
      </c>
      <c r="R1478">
        <f t="shared" si="116"/>
        <v>0</v>
      </c>
      <c r="S1478">
        <f t="shared" si="117"/>
        <v>1</v>
      </c>
      <c r="T1478" s="11">
        <f t="shared" si="118"/>
        <v>2021</v>
      </c>
      <c r="U1478" s="11">
        <f t="shared" si="119"/>
        <v>11819</v>
      </c>
    </row>
    <row r="1479" spans="1:21" x14ac:dyDescent="0.3">
      <c r="A1479" t="s">
        <v>2170</v>
      </c>
      <c r="B1479">
        <v>2021</v>
      </c>
      <c r="C1479" t="s">
        <v>56</v>
      </c>
      <c r="D1479" t="s">
        <v>32</v>
      </c>
      <c r="E1479">
        <v>13578</v>
      </c>
      <c r="F1479" t="s">
        <v>57</v>
      </c>
      <c r="G1479">
        <v>64600</v>
      </c>
      <c r="H1479" t="s">
        <v>20</v>
      </c>
      <c r="I1479" t="s">
        <v>58</v>
      </c>
      <c r="J1479" t="s">
        <v>168</v>
      </c>
      <c r="K1479" t="s">
        <v>23</v>
      </c>
      <c r="L1479" t="s">
        <v>243</v>
      </c>
      <c r="M1479" t="s">
        <v>244</v>
      </c>
      <c r="N1479" t="s">
        <v>245</v>
      </c>
      <c r="O1479" t="s">
        <v>27</v>
      </c>
      <c r="P1479" s="1">
        <v>44776</v>
      </c>
      <c r="Q1479">
        <f t="shared" si="115"/>
        <v>0</v>
      </c>
      <c r="R1479">
        <f t="shared" si="116"/>
        <v>0</v>
      </c>
      <c r="S1479">
        <f t="shared" si="117"/>
        <v>0</v>
      </c>
      <c r="T1479" s="11">
        <f t="shared" si="118"/>
        <v>2021</v>
      </c>
      <c r="U1479" s="11">
        <f t="shared" si="119"/>
        <v>13578</v>
      </c>
    </row>
    <row r="1480" spans="1:21" x14ac:dyDescent="0.3">
      <c r="A1480" t="s">
        <v>2171</v>
      </c>
      <c r="B1480">
        <v>2022</v>
      </c>
      <c r="C1480" t="s">
        <v>37</v>
      </c>
      <c r="D1480" t="s">
        <v>53</v>
      </c>
      <c r="E1480">
        <v>5660</v>
      </c>
      <c r="F1480" t="s">
        <v>606</v>
      </c>
      <c r="G1480">
        <v>121800</v>
      </c>
      <c r="H1480" t="s">
        <v>53</v>
      </c>
      <c r="I1480" t="s">
        <v>39</v>
      </c>
      <c r="J1480" t="s">
        <v>552</v>
      </c>
      <c r="K1480" t="s">
        <v>23</v>
      </c>
      <c r="L1480" t="s">
        <v>1277</v>
      </c>
      <c r="M1480" t="s">
        <v>364</v>
      </c>
      <c r="N1480" t="s">
        <v>245</v>
      </c>
      <c r="O1480" t="s">
        <v>27</v>
      </c>
      <c r="P1480" s="1">
        <v>44776</v>
      </c>
      <c r="Q1480">
        <f t="shared" si="115"/>
        <v>1</v>
      </c>
      <c r="R1480">
        <f t="shared" si="116"/>
        <v>0</v>
      </c>
      <c r="S1480">
        <f t="shared" si="117"/>
        <v>0</v>
      </c>
      <c r="T1480" s="11">
        <f t="shared" si="118"/>
        <v>2022</v>
      </c>
      <c r="U1480" s="11">
        <f t="shared" si="119"/>
        <v>5660</v>
      </c>
    </row>
    <row r="1481" spans="1:21" x14ac:dyDescent="0.3">
      <c r="A1481" t="s">
        <v>2172</v>
      </c>
      <c r="B1481">
        <v>2020</v>
      </c>
      <c r="C1481" t="s">
        <v>29</v>
      </c>
      <c r="D1481" t="s">
        <v>51</v>
      </c>
      <c r="E1481">
        <v>18296</v>
      </c>
      <c r="F1481" t="s">
        <v>31</v>
      </c>
      <c r="G1481">
        <v>112900</v>
      </c>
      <c r="H1481" t="s">
        <v>45</v>
      </c>
      <c r="I1481" t="s">
        <v>110</v>
      </c>
      <c r="J1481" t="s">
        <v>424</v>
      </c>
      <c r="K1481" t="s">
        <v>23</v>
      </c>
      <c r="L1481" t="s">
        <v>345</v>
      </c>
      <c r="M1481" t="s">
        <v>48</v>
      </c>
      <c r="N1481" t="s">
        <v>69</v>
      </c>
      <c r="O1481" t="s">
        <v>27</v>
      </c>
      <c r="P1481" s="1">
        <v>44776</v>
      </c>
      <c r="Q1481">
        <f t="shared" si="115"/>
        <v>0</v>
      </c>
      <c r="R1481">
        <f t="shared" si="116"/>
        <v>1</v>
      </c>
      <c r="S1481">
        <f t="shared" si="117"/>
        <v>0</v>
      </c>
      <c r="T1481" s="11">
        <f t="shared" si="118"/>
        <v>2020</v>
      </c>
      <c r="U1481" s="11">
        <f t="shared" si="119"/>
        <v>18296</v>
      </c>
    </row>
    <row r="1482" spans="1:21" x14ac:dyDescent="0.3">
      <c r="A1482" t="s">
        <v>2173</v>
      </c>
      <c r="B1482">
        <v>2018</v>
      </c>
      <c r="C1482" t="s">
        <v>29</v>
      </c>
      <c r="D1482" t="s">
        <v>18</v>
      </c>
      <c r="E1482">
        <v>49990</v>
      </c>
      <c r="F1482" t="s">
        <v>270</v>
      </c>
      <c r="G1482">
        <v>85700</v>
      </c>
      <c r="H1482" t="s">
        <v>32</v>
      </c>
      <c r="I1482" t="s">
        <v>21</v>
      </c>
      <c r="J1482" t="s">
        <v>2174</v>
      </c>
      <c r="K1482" t="s">
        <v>23</v>
      </c>
      <c r="L1482" t="s">
        <v>1570</v>
      </c>
      <c r="M1482" t="s">
        <v>255</v>
      </c>
      <c r="N1482" t="s">
        <v>256</v>
      </c>
      <c r="O1482" t="s">
        <v>27</v>
      </c>
      <c r="P1482" s="1">
        <v>44776</v>
      </c>
      <c r="Q1482">
        <f t="shared" si="115"/>
        <v>0</v>
      </c>
      <c r="R1482">
        <f t="shared" si="116"/>
        <v>1</v>
      </c>
      <c r="S1482">
        <f t="shared" si="117"/>
        <v>0</v>
      </c>
      <c r="T1482" s="11">
        <f t="shared" si="118"/>
        <v>2018</v>
      </c>
      <c r="U1482" s="11">
        <f t="shared" si="119"/>
        <v>49990</v>
      </c>
    </row>
    <row r="1483" spans="1:21" x14ac:dyDescent="0.3">
      <c r="A1483" t="s">
        <v>2175</v>
      </c>
      <c r="B1483">
        <v>2017</v>
      </c>
      <c r="C1483" t="s">
        <v>29</v>
      </c>
      <c r="D1483" t="s">
        <v>32</v>
      </c>
      <c r="E1483">
        <v>56620</v>
      </c>
      <c r="F1483" t="s">
        <v>104</v>
      </c>
      <c r="G1483">
        <v>68100</v>
      </c>
      <c r="H1483" t="s">
        <v>53</v>
      </c>
      <c r="I1483" t="s">
        <v>21</v>
      </c>
      <c r="J1483" t="s">
        <v>2176</v>
      </c>
      <c r="K1483" t="s">
        <v>23</v>
      </c>
      <c r="L1483" t="s">
        <v>254</v>
      </c>
      <c r="M1483" t="s">
        <v>255</v>
      </c>
      <c r="N1483" t="s">
        <v>256</v>
      </c>
      <c r="O1483" t="s">
        <v>27</v>
      </c>
      <c r="P1483" s="1">
        <v>44776</v>
      </c>
      <c r="Q1483">
        <f t="shared" si="115"/>
        <v>0</v>
      </c>
      <c r="R1483">
        <f t="shared" si="116"/>
        <v>1</v>
      </c>
      <c r="S1483">
        <f t="shared" si="117"/>
        <v>0</v>
      </c>
      <c r="T1483" s="11">
        <f t="shared" si="118"/>
        <v>2017</v>
      </c>
      <c r="U1483" s="11">
        <f t="shared" si="119"/>
        <v>56620</v>
      </c>
    </row>
    <row r="1484" spans="1:21" x14ac:dyDescent="0.3">
      <c r="A1484" t="s">
        <v>2177</v>
      </c>
      <c r="B1484">
        <v>2019</v>
      </c>
      <c r="C1484" t="s">
        <v>56</v>
      </c>
      <c r="D1484" t="s">
        <v>53</v>
      </c>
      <c r="E1484">
        <v>44965</v>
      </c>
      <c r="F1484" t="s">
        <v>65</v>
      </c>
      <c r="G1484">
        <v>47500</v>
      </c>
      <c r="H1484" t="s">
        <v>20</v>
      </c>
      <c r="I1484" t="s">
        <v>58</v>
      </c>
      <c r="J1484" t="s">
        <v>66</v>
      </c>
      <c r="K1484" t="s">
        <v>23</v>
      </c>
      <c r="L1484" t="s">
        <v>1160</v>
      </c>
      <c r="M1484" t="s">
        <v>202</v>
      </c>
      <c r="N1484" t="s">
        <v>203</v>
      </c>
      <c r="O1484" t="s">
        <v>27</v>
      </c>
      <c r="P1484" s="1">
        <v>44775</v>
      </c>
      <c r="Q1484">
        <f t="shared" si="115"/>
        <v>0</v>
      </c>
      <c r="R1484">
        <f t="shared" si="116"/>
        <v>0</v>
      </c>
      <c r="S1484">
        <f t="shared" si="117"/>
        <v>0</v>
      </c>
      <c r="T1484" s="11">
        <f t="shared" si="118"/>
        <v>2019</v>
      </c>
      <c r="U1484" s="11">
        <f t="shared" si="119"/>
        <v>44965</v>
      </c>
    </row>
    <row r="1485" spans="1:21" x14ac:dyDescent="0.3">
      <c r="A1485" t="s">
        <v>2178</v>
      </c>
      <c r="B1485">
        <v>2019</v>
      </c>
      <c r="C1485" t="s">
        <v>56</v>
      </c>
      <c r="D1485" t="s">
        <v>30</v>
      </c>
      <c r="E1485">
        <v>13108</v>
      </c>
      <c r="F1485" t="s">
        <v>65</v>
      </c>
      <c r="G1485">
        <v>48200</v>
      </c>
      <c r="H1485" t="s">
        <v>20</v>
      </c>
      <c r="I1485" t="s">
        <v>58</v>
      </c>
      <c r="J1485" t="s">
        <v>774</v>
      </c>
      <c r="K1485" t="s">
        <v>23</v>
      </c>
      <c r="L1485" t="s">
        <v>224</v>
      </c>
      <c r="M1485" t="s">
        <v>202</v>
      </c>
      <c r="N1485" t="s">
        <v>203</v>
      </c>
      <c r="O1485" t="s">
        <v>27</v>
      </c>
      <c r="P1485" s="1">
        <v>44775</v>
      </c>
      <c r="Q1485">
        <f t="shared" si="115"/>
        <v>0</v>
      </c>
      <c r="R1485">
        <f t="shared" si="116"/>
        <v>0</v>
      </c>
      <c r="S1485">
        <f t="shared" si="117"/>
        <v>0</v>
      </c>
      <c r="T1485" s="11">
        <f t="shared" si="118"/>
        <v>2019</v>
      </c>
      <c r="U1485" s="11">
        <f t="shared" si="119"/>
        <v>13108</v>
      </c>
    </row>
    <row r="1486" spans="1:21" x14ac:dyDescent="0.3">
      <c r="A1486" t="s">
        <v>2179</v>
      </c>
      <c r="B1486">
        <v>2022</v>
      </c>
      <c r="C1486" t="s">
        <v>17</v>
      </c>
      <c r="D1486" t="s">
        <v>18</v>
      </c>
      <c r="E1486">
        <v>14456</v>
      </c>
      <c r="F1486" t="s">
        <v>189</v>
      </c>
      <c r="G1486">
        <v>81200</v>
      </c>
      <c r="H1486" t="s">
        <v>20</v>
      </c>
      <c r="I1486" t="s">
        <v>39</v>
      </c>
      <c r="J1486" t="s">
        <v>157</v>
      </c>
      <c r="K1486" t="s">
        <v>23</v>
      </c>
      <c r="L1486" t="s">
        <v>24</v>
      </c>
      <c r="M1486" t="s">
        <v>25</v>
      </c>
      <c r="N1486" t="s">
        <v>26</v>
      </c>
      <c r="O1486" t="s">
        <v>27</v>
      </c>
      <c r="P1486" s="1">
        <v>44775</v>
      </c>
      <c r="Q1486">
        <f t="shared" si="115"/>
        <v>0</v>
      </c>
      <c r="R1486">
        <f t="shared" si="116"/>
        <v>0</v>
      </c>
      <c r="S1486">
        <f t="shared" si="117"/>
        <v>1</v>
      </c>
      <c r="T1486" s="11">
        <f t="shared" si="118"/>
        <v>2022</v>
      </c>
      <c r="U1486" s="11">
        <f t="shared" si="119"/>
        <v>14456</v>
      </c>
    </row>
    <row r="1487" spans="1:21" x14ac:dyDescent="0.3">
      <c r="A1487" t="s">
        <v>2180</v>
      </c>
      <c r="B1487">
        <v>2019</v>
      </c>
      <c r="C1487" t="s">
        <v>56</v>
      </c>
      <c r="D1487" t="s">
        <v>32</v>
      </c>
      <c r="E1487">
        <v>28798</v>
      </c>
      <c r="F1487" t="s">
        <v>65</v>
      </c>
      <c r="G1487">
        <v>46700</v>
      </c>
      <c r="H1487" t="s">
        <v>20</v>
      </c>
      <c r="I1487" t="s">
        <v>58</v>
      </c>
      <c r="J1487" t="s">
        <v>192</v>
      </c>
      <c r="K1487" t="s">
        <v>23</v>
      </c>
      <c r="L1487" t="s">
        <v>224</v>
      </c>
      <c r="M1487" t="s">
        <v>202</v>
      </c>
      <c r="N1487" t="s">
        <v>203</v>
      </c>
      <c r="O1487" t="s">
        <v>27</v>
      </c>
      <c r="P1487" s="1">
        <v>44775</v>
      </c>
      <c r="Q1487">
        <f t="shared" si="115"/>
        <v>0</v>
      </c>
      <c r="R1487">
        <f t="shared" si="116"/>
        <v>0</v>
      </c>
      <c r="S1487">
        <f t="shared" si="117"/>
        <v>0</v>
      </c>
      <c r="T1487" s="11">
        <f t="shared" si="118"/>
        <v>2019</v>
      </c>
      <c r="U1487" s="11">
        <f t="shared" si="119"/>
        <v>28798</v>
      </c>
    </row>
    <row r="1488" spans="1:21" x14ac:dyDescent="0.3">
      <c r="A1488" t="s">
        <v>2181</v>
      </c>
      <c r="B1488">
        <v>2021</v>
      </c>
      <c r="C1488" t="s">
        <v>56</v>
      </c>
      <c r="D1488" t="s">
        <v>53</v>
      </c>
      <c r="E1488">
        <v>21162</v>
      </c>
      <c r="F1488" t="s">
        <v>65</v>
      </c>
      <c r="G1488">
        <v>56800</v>
      </c>
      <c r="H1488" t="s">
        <v>77</v>
      </c>
      <c r="I1488" t="s">
        <v>58</v>
      </c>
      <c r="J1488" t="s">
        <v>126</v>
      </c>
      <c r="K1488" t="s">
        <v>23</v>
      </c>
      <c r="L1488" t="s">
        <v>197</v>
      </c>
      <c r="M1488" t="s">
        <v>198</v>
      </c>
      <c r="N1488" t="s">
        <v>26</v>
      </c>
      <c r="O1488" t="s">
        <v>27</v>
      </c>
      <c r="P1488" s="1">
        <v>44775</v>
      </c>
      <c r="Q1488">
        <f t="shared" si="115"/>
        <v>0</v>
      </c>
      <c r="R1488">
        <f t="shared" si="116"/>
        <v>0</v>
      </c>
      <c r="S1488">
        <f t="shared" si="117"/>
        <v>0</v>
      </c>
      <c r="T1488" s="11">
        <f t="shared" si="118"/>
        <v>2021</v>
      </c>
      <c r="U1488" s="11">
        <f t="shared" si="119"/>
        <v>21162</v>
      </c>
    </row>
    <row r="1489" spans="1:21" x14ac:dyDescent="0.3">
      <c r="A1489" t="s">
        <v>2182</v>
      </c>
      <c r="B1489">
        <v>2019</v>
      </c>
      <c r="C1489" t="s">
        <v>29</v>
      </c>
      <c r="D1489" t="s">
        <v>51</v>
      </c>
      <c r="E1489">
        <v>33978</v>
      </c>
      <c r="F1489" t="s">
        <v>177</v>
      </c>
      <c r="G1489">
        <v>94100</v>
      </c>
      <c r="H1489" t="s">
        <v>32</v>
      </c>
      <c r="I1489" t="s">
        <v>110</v>
      </c>
      <c r="J1489" t="s">
        <v>2183</v>
      </c>
      <c r="K1489" t="s">
        <v>23</v>
      </c>
      <c r="L1489" t="s">
        <v>95</v>
      </c>
      <c r="M1489" t="s">
        <v>96</v>
      </c>
      <c r="N1489" t="s">
        <v>89</v>
      </c>
      <c r="O1489" t="s">
        <v>27</v>
      </c>
      <c r="P1489" s="1">
        <v>44775</v>
      </c>
      <c r="Q1489">
        <f t="shared" si="115"/>
        <v>0</v>
      </c>
      <c r="R1489">
        <f t="shared" si="116"/>
        <v>1</v>
      </c>
      <c r="S1489">
        <f t="shared" si="117"/>
        <v>0</v>
      </c>
      <c r="T1489" s="11">
        <f t="shared" si="118"/>
        <v>2019</v>
      </c>
      <c r="U1489" s="11">
        <f t="shared" si="119"/>
        <v>33978</v>
      </c>
    </row>
    <row r="1490" spans="1:21" x14ac:dyDescent="0.3">
      <c r="A1490" t="s">
        <v>2184</v>
      </c>
      <c r="B1490">
        <v>2021</v>
      </c>
      <c r="C1490" t="s">
        <v>17</v>
      </c>
      <c r="D1490" t="s">
        <v>30</v>
      </c>
      <c r="E1490">
        <v>7108</v>
      </c>
      <c r="F1490" t="s">
        <v>161</v>
      </c>
      <c r="G1490">
        <v>63300</v>
      </c>
      <c r="H1490" t="s">
        <v>77</v>
      </c>
      <c r="I1490" t="s">
        <v>21</v>
      </c>
      <c r="J1490" t="s">
        <v>2185</v>
      </c>
      <c r="K1490" t="s">
        <v>23</v>
      </c>
      <c r="L1490" t="s">
        <v>509</v>
      </c>
      <c r="N1490" t="s">
        <v>26</v>
      </c>
      <c r="O1490" t="s">
        <v>27</v>
      </c>
      <c r="P1490" s="1">
        <v>44775</v>
      </c>
      <c r="Q1490">
        <f t="shared" si="115"/>
        <v>0</v>
      </c>
      <c r="R1490">
        <f t="shared" si="116"/>
        <v>0</v>
      </c>
      <c r="S1490">
        <f t="shared" si="117"/>
        <v>1</v>
      </c>
      <c r="T1490" s="11">
        <f t="shared" si="118"/>
        <v>2021</v>
      </c>
      <c r="U1490" s="11">
        <f t="shared" si="119"/>
        <v>7108</v>
      </c>
    </row>
    <row r="1491" spans="1:21" x14ac:dyDescent="0.3">
      <c r="A1491" t="s">
        <v>2186</v>
      </c>
      <c r="B1491">
        <v>2017</v>
      </c>
      <c r="C1491" t="s">
        <v>29</v>
      </c>
      <c r="D1491" t="s">
        <v>51</v>
      </c>
      <c r="E1491">
        <v>39633</v>
      </c>
      <c r="F1491" t="s">
        <v>52</v>
      </c>
      <c r="G1491">
        <v>76800</v>
      </c>
      <c r="H1491" t="s">
        <v>53</v>
      </c>
      <c r="I1491" t="s">
        <v>21</v>
      </c>
      <c r="J1491" t="s">
        <v>2187</v>
      </c>
      <c r="K1491" t="s">
        <v>23</v>
      </c>
      <c r="L1491" t="s">
        <v>95</v>
      </c>
      <c r="M1491" t="s">
        <v>96</v>
      </c>
      <c r="N1491" t="s">
        <v>89</v>
      </c>
      <c r="O1491" t="s">
        <v>27</v>
      </c>
      <c r="P1491" s="1">
        <v>44775</v>
      </c>
      <c r="Q1491">
        <f t="shared" si="115"/>
        <v>0</v>
      </c>
      <c r="R1491">
        <f t="shared" si="116"/>
        <v>1</v>
      </c>
      <c r="S1491">
        <f t="shared" si="117"/>
        <v>0</v>
      </c>
      <c r="T1491" s="11">
        <f t="shared" si="118"/>
        <v>2017</v>
      </c>
      <c r="U1491" s="11">
        <f t="shared" si="119"/>
        <v>39633</v>
      </c>
    </row>
    <row r="1492" spans="1:21" x14ac:dyDescent="0.3">
      <c r="A1492" t="s">
        <v>2188</v>
      </c>
      <c r="B1492">
        <v>2022</v>
      </c>
      <c r="C1492" t="s">
        <v>17</v>
      </c>
      <c r="D1492" t="s">
        <v>32</v>
      </c>
      <c r="E1492">
        <v>3187</v>
      </c>
      <c r="F1492" t="s">
        <v>19</v>
      </c>
      <c r="G1492">
        <v>79200</v>
      </c>
      <c r="H1492" t="s">
        <v>20</v>
      </c>
      <c r="I1492" t="s">
        <v>78</v>
      </c>
      <c r="J1492" t="s">
        <v>200</v>
      </c>
      <c r="K1492" t="s">
        <v>23</v>
      </c>
      <c r="O1492" t="s">
        <v>27</v>
      </c>
      <c r="P1492" s="1">
        <v>44775</v>
      </c>
      <c r="Q1492">
        <f t="shared" si="115"/>
        <v>0</v>
      </c>
      <c r="R1492">
        <f t="shared" si="116"/>
        <v>0</v>
      </c>
      <c r="S1492">
        <f t="shared" si="117"/>
        <v>1</v>
      </c>
      <c r="T1492" s="11">
        <f t="shared" si="118"/>
        <v>2022</v>
      </c>
      <c r="U1492" s="11">
        <f t="shared" si="119"/>
        <v>3187</v>
      </c>
    </row>
    <row r="1493" spans="1:21" x14ac:dyDescent="0.3">
      <c r="A1493" t="s">
        <v>2189</v>
      </c>
      <c r="B1493">
        <v>2021</v>
      </c>
      <c r="C1493" t="s">
        <v>17</v>
      </c>
      <c r="D1493" t="s">
        <v>53</v>
      </c>
      <c r="E1493">
        <v>15567</v>
      </c>
      <c r="F1493" t="s">
        <v>189</v>
      </c>
      <c r="G1493">
        <v>82200</v>
      </c>
      <c r="H1493" t="s">
        <v>77</v>
      </c>
      <c r="I1493" t="s">
        <v>39</v>
      </c>
      <c r="J1493" t="s">
        <v>273</v>
      </c>
      <c r="K1493" t="s">
        <v>23</v>
      </c>
      <c r="L1493" t="s">
        <v>1273</v>
      </c>
      <c r="M1493" t="s">
        <v>1274</v>
      </c>
      <c r="N1493" t="s">
        <v>245</v>
      </c>
      <c r="O1493" t="s">
        <v>27</v>
      </c>
      <c r="P1493" s="1">
        <v>44775</v>
      </c>
      <c r="Q1493">
        <f t="shared" si="115"/>
        <v>0</v>
      </c>
      <c r="R1493">
        <f t="shared" si="116"/>
        <v>0</v>
      </c>
      <c r="S1493">
        <f t="shared" si="117"/>
        <v>1</v>
      </c>
      <c r="T1493" s="11">
        <f t="shared" si="118"/>
        <v>2021</v>
      </c>
      <c r="U1493" s="11">
        <f t="shared" si="119"/>
        <v>15567</v>
      </c>
    </row>
    <row r="1494" spans="1:21" x14ac:dyDescent="0.3">
      <c r="A1494" t="s">
        <v>2190</v>
      </c>
      <c r="B1494">
        <v>2018</v>
      </c>
      <c r="C1494" t="s">
        <v>56</v>
      </c>
      <c r="D1494" t="s">
        <v>93</v>
      </c>
      <c r="E1494">
        <v>14891</v>
      </c>
      <c r="F1494" t="s">
        <v>234</v>
      </c>
      <c r="G1494">
        <v>49400</v>
      </c>
      <c r="H1494" t="s">
        <v>20</v>
      </c>
      <c r="I1494" t="s">
        <v>78</v>
      </c>
      <c r="J1494" t="s">
        <v>290</v>
      </c>
      <c r="K1494" t="s">
        <v>23</v>
      </c>
      <c r="L1494" t="s">
        <v>806</v>
      </c>
      <c r="N1494" t="s">
        <v>149</v>
      </c>
      <c r="O1494" t="s">
        <v>27</v>
      </c>
      <c r="P1494" s="1">
        <v>44775</v>
      </c>
      <c r="Q1494">
        <f t="shared" si="115"/>
        <v>0</v>
      </c>
      <c r="R1494">
        <f t="shared" si="116"/>
        <v>0</v>
      </c>
      <c r="S1494">
        <f t="shared" si="117"/>
        <v>0</v>
      </c>
      <c r="T1494" s="11">
        <f t="shared" si="118"/>
        <v>2018</v>
      </c>
      <c r="U1494" s="11">
        <f t="shared" si="119"/>
        <v>14891</v>
      </c>
    </row>
    <row r="1495" spans="1:21" x14ac:dyDescent="0.3">
      <c r="A1495" t="s">
        <v>2191</v>
      </c>
      <c r="B1495">
        <v>2018</v>
      </c>
      <c r="C1495" t="s">
        <v>29</v>
      </c>
      <c r="D1495" t="s">
        <v>53</v>
      </c>
      <c r="E1495">
        <v>38320</v>
      </c>
      <c r="F1495" t="s">
        <v>52</v>
      </c>
      <c r="G1495">
        <v>92700</v>
      </c>
      <c r="H1495" t="s">
        <v>53</v>
      </c>
      <c r="I1495" t="s">
        <v>21</v>
      </c>
      <c r="J1495" t="s">
        <v>2192</v>
      </c>
      <c r="K1495" t="s">
        <v>23</v>
      </c>
      <c r="L1495" t="s">
        <v>84</v>
      </c>
      <c r="M1495" t="s">
        <v>48</v>
      </c>
      <c r="N1495" t="s">
        <v>69</v>
      </c>
      <c r="O1495" t="s">
        <v>27</v>
      </c>
      <c r="P1495" s="1">
        <v>44775</v>
      </c>
      <c r="Q1495">
        <f t="shared" si="115"/>
        <v>0</v>
      </c>
      <c r="R1495">
        <f t="shared" si="116"/>
        <v>1</v>
      </c>
      <c r="S1495">
        <f t="shared" si="117"/>
        <v>0</v>
      </c>
      <c r="T1495" s="11">
        <f t="shared" si="118"/>
        <v>2018</v>
      </c>
      <c r="U1495" s="11">
        <f t="shared" si="119"/>
        <v>38320</v>
      </c>
    </row>
    <row r="1496" spans="1:21" x14ac:dyDescent="0.3">
      <c r="A1496" t="s">
        <v>2193</v>
      </c>
      <c r="B1496">
        <v>2016</v>
      </c>
      <c r="C1496" t="s">
        <v>29</v>
      </c>
      <c r="D1496" t="s">
        <v>32</v>
      </c>
      <c r="E1496">
        <v>75958</v>
      </c>
      <c r="F1496" t="s">
        <v>104</v>
      </c>
      <c r="G1496">
        <v>70900</v>
      </c>
      <c r="H1496" t="s">
        <v>53</v>
      </c>
      <c r="I1496" t="s">
        <v>110</v>
      </c>
      <c r="J1496" t="s">
        <v>2194</v>
      </c>
      <c r="K1496" t="s">
        <v>23</v>
      </c>
      <c r="L1496" t="s">
        <v>806</v>
      </c>
      <c r="N1496" t="s">
        <v>149</v>
      </c>
      <c r="O1496" t="s">
        <v>27</v>
      </c>
      <c r="P1496" s="1">
        <v>44775</v>
      </c>
      <c r="Q1496">
        <f t="shared" si="115"/>
        <v>0</v>
      </c>
      <c r="R1496">
        <f t="shared" si="116"/>
        <v>1</v>
      </c>
      <c r="S1496">
        <f t="shared" si="117"/>
        <v>0</v>
      </c>
      <c r="T1496" s="11">
        <f t="shared" si="118"/>
        <v>2016</v>
      </c>
      <c r="U1496" s="11">
        <f t="shared" si="119"/>
        <v>75958</v>
      </c>
    </row>
    <row r="1497" spans="1:21" x14ac:dyDescent="0.3">
      <c r="A1497" t="s">
        <v>2195</v>
      </c>
      <c r="B1497">
        <v>2018</v>
      </c>
      <c r="C1497" t="s">
        <v>29</v>
      </c>
      <c r="D1497" t="s">
        <v>53</v>
      </c>
      <c r="E1497">
        <v>42090</v>
      </c>
      <c r="F1497" t="s">
        <v>52</v>
      </c>
      <c r="G1497">
        <v>89700</v>
      </c>
      <c r="H1497" t="s">
        <v>32</v>
      </c>
      <c r="I1497" t="s">
        <v>21</v>
      </c>
      <c r="J1497" t="s">
        <v>2196</v>
      </c>
      <c r="K1497" t="s">
        <v>23</v>
      </c>
      <c r="L1497" t="s">
        <v>84</v>
      </c>
      <c r="M1497" t="s">
        <v>48</v>
      </c>
      <c r="N1497" t="s">
        <v>69</v>
      </c>
      <c r="O1497" t="s">
        <v>27</v>
      </c>
      <c r="P1497" s="1">
        <v>44775</v>
      </c>
      <c r="Q1497">
        <f t="shared" si="115"/>
        <v>0</v>
      </c>
      <c r="R1497">
        <f t="shared" si="116"/>
        <v>1</v>
      </c>
      <c r="S1497">
        <f t="shared" si="117"/>
        <v>0</v>
      </c>
      <c r="T1497" s="11">
        <f t="shared" si="118"/>
        <v>2018</v>
      </c>
      <c r="U1497" s="11">
        <f t="shared" si="119"/>
        <v>42090</v>
      </c>
    </row>
    <row r="1498" spans="1:21" x14ac:dyDescent="0.3">
      <c r="A1498" t="s">
        <v>2197</v>
      </c>
      <c r="B1498">
        <v>2018</v>
      </c>
      <c r="C1498" t="s">
        <v>29</v>
      </c>
      <c r="D1498" t="s">
        <v>32</v>
      </c>
      <c r="E1498">
        <v>65741</v>
      </c>
      <c r="F1498" t="s">
        <v>104</v>
      </c>
      <c r="G1498">
        <v>80200</v>
      </c>
      <c r="H1498" t="s">
        <v>32</v>
      </c>
      <c r="I1498" t="s">
        <v>21</v>
      </c>
      <c r="J1498" t="s">
        <v>2198</v>
      </c>
      <c r="K1498" t="s">
        <v>23</v>
      </c>
      <c r="L1498" t="s">
        <v>278</v>
      </c>
      <c r="M1498" t="s">
        <v>148</v>
      </c>
      <c r="N1498" t="s">
        <v>149</v>
      </c>
      <c r="O1498" t="s">
        <v>27</v>
      </c>
      <c r="P1498" s="1">
        <v>44775</v>
      </c>
      <c r="Q1498">
        <f t="shared" si="115"/>
        <v>0</v>
      </c>
      <c r="R1498">
        <f t="shared" si="116"/>
        <v>1</v>
      </c>
      <c r="S1498">
        <f t="shared" si="117"/>
        <v>0</v>
      </c>
      <c r="T1498" s="11">
        <f t="shared" si="118"/>
        <v>2018</v>
      </c>
      <c r="U1498" s="11">
        <f t="shared" si="119"/>
        <v>65741</v>
      </c>
    </row>
    <row r="1499" spans="1:21" x14ac:dyDescent="0.3">
      <c r="A1499" t="s">
        <v>2199</v>
      </c>
      <c r="B1499">
        <v>2017</v>
      </c>
      <c r="C1499" t="s">
        <v>29</v>
      </c>
      <c r="D1499" t="s">
        <v>30</v>
      </c>
      <c r="E1499">
        <v>43098</v>
      </c>
      <c r="F1499" t="s">
        <v>52</v>
      </c>
      <c r="G1499">
        <v>77300</v>
      </c>
      <c r="H1499" t="s">
        <v>32</v>
      </c>
      <c r="I1499" t="s">
        <v>21</v>
      </c>
      <c r="J1499" t="s">
        <v>2200</v>
      </c>
      <c r="K1499" t="s">
        <v>23</v>
      </c>
      <c r="L1499" t="s">
        <v>47</v>
      </c>
      <c r="M1499" t="s">
        <v>48</v>
      </c>
      <c r="N1499" t="s">
        <v>49</v>
      </c>
      <c r="O1499" t="s">
        <v>27</v>
      </c>
      <c r="P1499" s="1">
        <v>44775</v>
      </c>
      <c r="Q1499">
        <f t="shared" si="115"/>
        <v>0</v>
      </c>
      <c r="R1499">
        <f t="shared" si="116"/>
        <v>1</v>
      </c>
      <c r="S1499">
        <f t="shared" si="117"/>
        <v>0</v>
      </c>
      <c r="T1499" s="11">
        <f t="shared" si="118"/>
        <v>2017</v>
      </c>
      <c r="U1499" s="11">
        <f t="shared" si="119"/>
        <v>43098</v>
      </c>
    </row>
    <row r="1500" spans="1:21" x14ac:dyDescent="0.3">
      <c r="A1500" t="s">
        <v>2201</v>
      </c>
      <c r="B1500">
        <v>2020</v>
      </c>
      <c r="C1500" t="s">
        <v>17</v>
      </c>
      <c r="D1500" t="s">
        <v>53</v>
      </c>
      <c r="E1500">
        <v>20628</v>
      </c>
      <c r="F1500" t="s">
        <v>207</v>
      </c>
      <c r="G1500">
        <v>75600</v>
      </c>
      <c r="H1500" t="s">
        <v>20</v>
      </c>
      <c r="I1500" t="s">
        <v>78</v>
      </c>
      <c r="J1500" t="s">
        <v>857</v>
      </c>
      <c r="K1500" t="s">
        <v>23</v>
      </c>
      <c r="L1500" t="s">
        <v>806</v>
      </c>
      <c r="N1500" t="s">
        <v>149</v>
      </c>
      <c r="O1500" t="s">
        <v>27</v>
      </c>
      <c r="P1500" s="1">
        <v>44775</v>
      </c>
      <c r="Q1500">
        <f t="shared" si="115"/>
        <v>0</v>
      </c>
      <c r="R1500">
        <f t="shared" si="116"/>
        <v>0</v>
      </c>
      <c r="S1500">
        <f t="shared" si="117"/>
        <v>1</v>
      </c>
      <c r="T1500" s="11">
        <f t="shared" si="118"/>
        <v>2020</v>
      </c>
      <c r="U1500" s="11">
        <f t="shared" si="119"/>
        <v>20628</v>
      </c>
    </row>
    <row r="1501" spans="1:21" x14ac:dyDescent="0.3">
      <c r="A1501" t="s">
        <v>2202</v>
      </c>
      <c r="B1501">
        <v>2019</v>
      </c>
      <c r="C1501" t="s">
        <v>56</v>
      </c>
      <c r="D1501" t="s">
        <v>53</v>
      </c>
      <c r="E1501">
        <v>24847</v>
      </c>
      <c r="F1501" t="s">
        <v>57</v>
      </c>
      <c r="G1501">
        <v>60100</v>
      </c>
      <c r="H1501" t="s">
        <v>20</v>
      </c>
      <c r="I1501" t="s">
        <v>78</v>
      </c>
      <c r="J1501" t="s">
        <v>564</v>
      </c>
      <c r="K1501" t="s">
        <v>23</v>
      </c>
      <c r="L1501" t="s">
        <v>34</v>
      </c>
      <c r="N1501" t="s">
        <v>35</v>
      </c>
      <c r="O1501" t="s">
        <v>27</v>
      </c>
      <c r="P1501" s="1">
        <v>44775</v>
      </c>
      <c r="Q1501">
        <f t="shared" si="115"/>
        <v>0</v>
      </c>
      <c r="R1501">
        <f t="shared" si="116"/>
        <v>0</v>
      </c>
      <c r="S1501">
        <f t="shared" si="117"/>
        <v>0</v>
      </c>
      <c r="T1501" s="11">
        <f t="shared" si="118"/>
        <v>2019</v>
      </c>
      <c r="U1501" s="11">
        <f t="shared" si="119"/>
        <v>24847</v>
      </c>
    </row>
    <row r="1502" spans="1:21" x14ac:dyDescent="0.3">
      <c r="A1502" t="s">
        <v>2203</v>
      </c>
      <c r="B1502">
        <v>2021</v>
      </c>
      <c r="C1502" t="s">
        <v>37</v>
      </c>
      <c r="D1502" t="s">
        <v>51</v>
      </c>
      <c r="E1502">
        <v>7895</v>
      </c>
      <c r="F1502" t="s">
        <v>131</v>
      </c>
      <c r="G1502">
        <v>133700</v>
      </c>
      <c r="H1502" t="s">
        <v>53</v>
      </c>
      <c r="I1502" t="s">
        <v>39</v>
      </c>
      <c r="J1502" t="s">
        <v>319</v>
      </c>
      <c r="K1502" t="s">
        <v>23</v>
      </c>
      <c r="L1502" t="s">
        <v>117</v>
      </c>
      <c r="M1502" t="s">
        <v>118</v>
      </c>
      <c r="N1502" t="s">
        <v>119</v>
      </c>
      <c r="O1502" t="s">
        <v>27</v>
      </c>
      <c r="P1502" s="1">
        <v>44775</v>
      </c>
      <c r="Q1502">
        <f t="shared" si="115"/>
        <v>1</v>
      </c>
      <c r="R1502">
        <f t="shared" si="116"/>
        <v>0</v>
      </c>
      <c r="S1502">
        <f t="shared" si="117"/>
        <v>0</v>
      </c>
      <c r="T1502" s="11">
        <f t="shared" si="118"/>
        <v>2021</v>
      </c>
      <c r="U1502" s="11">
        <f t="shared" si="119"/>
        <v>7895</v>
      </c>
    </row>
    <row r="1503" spans="1:21" x14ac:dyDescent="0.3">
      <c r="A1503" t="s">
        <v>2204</v>
      </c>
      <c r="B1503">
        <v>2019</v>
      </c>
      <c r="C1503" t="s">
        <v>56</v>
      </c>
      <c r="D1503" t="s">
        <v>53</v>
      </c>
      <c r="E1503">
        <v>14560</v>
      </c>
      <c r="F1503" t="s">
        <v>65</v>
      </c>
      <c r="G1503">
        <v>51800</v>
      </c>
      <c r="H1503" t="s">
        <v>20</v>
      </c>
      <c r="I1503" t="s">
        <v>58</v>
      </c>
      <c r="J1503" t="s">
        <v>66</v>
      </c>
      <c r="K1503" t="s">
        <v>23</v>
      </c>
      <c r="L1503" t="s">
        <v>47</v>
      </c>
      <c r="M1503" t="s">
        <v>48</v>
      </c>
      <c r="N1503" t="s">
        <v>49</v>
      </c>
      <c r="O1503" t="s">
        <v>27</v>
      </c>
      <c r="P1503" s="1">
        <v>44775</v>
      </c>
      <c r="Q1503">
        <f t="shared" si="115"/>
        <v>0</v>
      </c>
      <c r="R1503">
        <f t="shared" si="116"/>
        <v>0</v>
      </c>
      <c r="S1503">
        <f t="shared" si="117"/>
        <v>0</v>
      </c>
      <c r="T1503" s="11">
        <f t="shared" si="118"/>
        <v>2019</v>
      </c>
      <c r="U1503" s="11">
        <f t="shared" si="119"/>
        <v>14560</v>
      </c>
    </row>
    <row r="1504" spans="1:21" x14ac:dyDescent="0.3">
      <c r="A1504" t="s">
        <v>2205</v>
      </c>
      <c r="B1504">
        <v>2019</v>
      </c>
      <c r="C1504" t="s">
        <v>56</v>
      </c>
      <c r="D1504" t="s">
        <v>93</v>
      </c>
      <c r="E1504">
        <v>22777</v>
      </c>
      <c r="F1504" t="s">
        <v>71</v>
      </c>
      <c r="G1504">
        <v>58600</v>
      </c>
      <c r="H1504" t="s">
        <v>20</v>
      </c>
      <c r="I1504" t="s">
        <v>21</v>
      </c>
      <c r="J1504" t="s">
        <v>332</v>
      </c>
      <c r="K1504" t="s">
        <v>23</v>
      </c>
      <c r="L1504" t="s">
        <v>117</v>
      </c>
      <c r="M1504" t="s">
        <v>118</v>
      </c>
      <c r="N1504" t="s">
        <v>119</v>
      </c>
      <c r="O1504" t="s">
        <v>27</v>
      </c>
      <c r="P1504" s="1">
        <v>44775</v>
      </c>
      <c r="Q1504">
        <f t="shared" si="115"/>
        <v>0</v>
      </c>
      <c r="R1504">
        <f t="shared" si="116"/>
        <v>0</v>
      </c>
      <c r="S1504">
        <f t="shared" si="117"/>
        <v>0</v>
      </c>
      <c r="T1504" s="11">
        <f t="shared" si="118"/>
        <v>2019</v>
      </c>
      <c r="U1504" s="11">
        <f t="shared" si="119"/>
        <v>22777</v>
      </c>
    </row>
    <row r="1505" spans="1:21" x14ac:dyDescent="0.3">
      <c r="A1505" t="s">
        <v>2206</v>
      </c>
      <c r="B1505">
        <v>2019</v>
      </c>
      <c r="C1505" t="s">
        <v>37</v>
      </c>
      <c r="D1505" t="s">
        <v>51</v>
      </c>
      <c r="E1505">
        <v>30605</v>
      </c>
      <c r="F1505" t="s">
        <v>270</v>
      </c>
      <c r="G1505">
        <v>97800</v>
      </c>
      <c r="H1505" t="s">
        <v>32</v>
      </c>
      <c r="I1505" t="s">
        <v>39</v>
      </c>
      <c r="J1505" t="s">
        <v>2207</v>
      </c>
      <c r="K1505" t="s">
        <v>23</v>
      </c>
      <c r="L1505" t="s">
        <v>34</v>
      </c>
      <c r="N1505" t="s">
        <v>35</v>
      </c>
      <c r="O1505" t="s">
        <v>27</v>
      </c>
      <c r="P1505" s="1">
        <v>44775</v>
      </c>
      <c r="Q1505">
        <f t="shared" si="115"/>
        <v>1</v>
      </c>
      <c r="R1505">
        <f t="shared" si="116"/>
        <v>0</v>
      </c>
      <c r="S1505">
        <f t="shared" si="117"/>
        <v>0</v>
      </c>
      <c r="T1505" s="11">
        <f t="shared" si="118"/>
        <v>2019</v>
      </c>
      <c r="U1505" s="11">
        <f t="shared" si="119"/>
        <v>30605</v>
      </c>
    </row>
    <row r="1506" spans="1:21" x14ac:dyDescent="0.3">
      <c r="A1506" t="s">
        <v>2208</v>
      </c>
      <c r="B1506">
        <v>2021</v>
      </c>
      <c r="C1506" t="s">
        <v>37</v>
      </c>
      <c r="D1506" t="s">
        <v>51</v>
      </c>
      <c r="E1506">
        <v>3198</v>
      </c>
      <c r="F1506" t="s">
        <v>131</v>
      </c>
      <c r="G1506">
        <v>133000</v>
      </c>
      <c r="H1506" t="s">
        <v>53</v>
      </c>
      <c r="I1506" t="s">
        <v>39</v>
      </c>
      <c r="J1506" t="s">
        <v>557</v>
      </c>
      <c r="K1506" t="s">
        <v>23</v>
      </c>
      <c r="L1506" t="s">
        <v>779</v>
      </c>
      <c r="M1506" t="s">
        <v>780</v>
      </c>
      <c r="N1506" t="s">
        <v>256</v>
      </c>
      <c r="O1506" t="s">
        <v>27</v>
      </c>
      <c r="P1506" s="1">
        <v>44775</v>
      </c>
      <c r="Q1506">
        <f t="shared" si="115"/>
        <v>1</v>
      </c>
      <c r="R1506">
        <f t="shared" si="116"/>
        <v>0</v>
      </c>
      <c r="S1506">
        <f t="shared" si="117"/>
        <v>0</v>
      </c>
      <c r="T1506" s="11">
        <f t="shared" si="118"/>
        <v>2021</v>
      </c>
      <c r="U1506" s="11">
        <f t="shared" si="119"/>
        <v>3198</v>
      </c>
    </row>
    <row r="1507" spans="1:21" x14ac:dyDescent="0.3">
      <c r="A1507" t="s">
        <v>2209</v>
      </c>
      <c r="B1507">
        <v>2016</v>
      </c>
      <c r="C1507" t="s">
        <v>37</v>
      </c>
      <c r="D1507" t="s">
        <v>32</v>
      </c>
      <c r="E1507">
        <v>14774</v>
      </c>
      <c r="F1507" t="s">
        <v>153</v>
      </c>
      <c r="G1507">
        <v>63800</v>
      </c>
      <c r="H1507" t="s">
        <v>306</v>
      </c>
      <c r="I1507" t="s">
        <v>78</v>
      </c>
      <c r="J1507" t="s">
        <v>2210</v>
      </c>
      <c r="K1507" t="s">
        <v>23</v>
      </c>
      <c r="L1507" t="s">
        <v>67</v>
      </c>
      <c r="M1507" t="s">
        <v>68</v>
      </c>
      <c r="N1507" t="s">
        <v>69</v>
      </c>
      <c r="O1507" t="s">
        <v>27</v>
      </c>
      <c r="P1507" s="1">
        <v>44775</v>
      </c>
      <c r="Q1507">
        <f t="shared" si="115"/>
        <v>1</v>
      </c>
      <c r="R1507">
        <f t="shared" si="116"/>
        <v>0</v>
      </c>
      <c r="S1507">
        <f t="shared" si="117"/>
        <v>0</v>
      </c>
      <c r="T1507" s="11">
        <f t="shared" si="118"/>
        <v>2016</v>
      </c>
      <c r="U1507" s="11">
        <f t="shared" si="119"/>
        <v>14774</v>
      </c>
    </row>
    <row r="1508" spans="1:21" x14ac:dyDescent="0.3">
      <c r="A1508" t="s">
        <v>2211</v>
      </c>
      <c r="B1508">
        <v>2020</v>
      </c>
      <c r="C1508" t="s">
        <v>56</v>
      </c>
      <c r="D1508" t="s">
        <v>76</v>
      </c>
      <c r="E1508">
        <v>6826</v>
      </c>
      <c r="F1508" t="s">
        <v>65</v>
      </c>
      <c r="G1508">
        <v>54100</v>
      </c>
      <c r="H1508" t="s">
        <v>77</v>
      </c>
      <c r="I1508" t="s">
        <v>78</v>
      </c>
      <c r="J1508" t="s">
        <v>79</v>
      </c>
      <c r="K1508" t="s">
        <v>23</v>
      </c>
      <c r="L1508" t="s">
        <v>47</v>
      </c>
      <c r="M1508" t="s">
        <v>48</v>
      </c>
      <c r="N1508" t="s">
        <v>49</v>
      </c>
      <c r="O1508" t="s">
        <v>27</v>
      </c>
      <c r="P1508" s="1">
        <v>44775</v>
      </c>
      <c r="Q1508">
        <f t="shared" si="115"/>
        <v>0</v>
      </c>
      <c r="R1508">
        <f t="shared" si="116"/>
        <v>0</v>
      </c>
      <c r="S1508">
        <f t="shared" si="117"/>
        <v>0</v>
      </c>
      <c r="T1508" s="11">
        <f t="shared" si="118"/>
        <v>2020</v>
      </c>
      <c r="U1508" s="11">
        <f t="shared" si="119"/>
        <v>6826</v>
      </c>
    </row>
    <row r="1509" spans="1:21" x14ac:dyDescent="0.3">
      <c r="A1509" t="s">
        <v>2212</v>
      </c>
      <c r="B1509">
        <v>2021</v>
      </c>
      <c r="C1509" t="s">
        <v>17</v>
      </c>
      <c r="D1509" t="s">
        <v>32</v>
      </c>
      <c r="E1509">
        <v>28017</v>
      </c>
      <c r="F1509" t="s">
        <v>207</v>
      </c>
      <c r="G1509">
        <v>78000</v>
      </c>
      <c r="H1509" t="s">
        <v>77</v>
      </c>
      <c r="I1509" t="s">
        <v>21</v>
      </c>
      <c r="J1509" t="s">
        <v>476</v>
      </c>
      <c r="K1509" t="s">
        <v>23</v>
      </c>
      <c r="L1509" t="s">
        <v>278</v>
      </c>
      <c r="M1509" t="s">
        <v>148</v>
      </c>
      <c r="N1509" t="s">
        <v>149</v>
      </c>
      <c r="O1509" t="s">
        <v>27</v>
      </c>
      <c r="P1509" s="1">
        <v>44775</v>
      </c>
      <c r="Q1509">
        <f t="shared" si="115"/>
        <v>0</v>
      </c>
      <c r="R1509">
        <f t="shared" si="116"/>
        <v>0</v>
      </c>
      <c r="S1509">
        <f t="shared" si="117"/>
        <v>1</v>
      </c>
      <c r="T1509" s="11">
        <f t="shared" si="118"/>
        <v>2021</v>
      </c>
      <c r="U1509" s="11">
        <f t="shared" si="119"/>
        <v>28017</v>
      </c>
    </row>
    <row r="1510" spans="1:21" x14ac:dyDescent="0.3">
      <c r="A1510" t="s">
        <v>2213</v>
      </c>
      <c r="B1510">
        <v>2022</v>
      </c>
      <c r="C1510" t="s">
        <v>56</v>
      </c>
      <c r="D1510" t="s">
        <v>93</v>
      </c>
      <c r="E1510">
        <v>5313</v>
      </c>
      <c r="F1510" t="s">
        <v>508</v>
      </c>
      <c r="G1510">
        <v>68900</v>
      </c>
      <c r="H1510" t="s">
        <v>20</v>
      </c>
      <c r="I1510" t="s">
        <v>58</v>
      </c>
      <c r="J1510" t="s">
        <v>842</v>
      </c>
      <c r="K1510" t="s">
        <v>23</v>
      </c>
      <c r="L1510" t="s">
        <v>84</v>
      </c>
      <c r="M1510" t="s">
        <v>48</v>
      </c>
      <c r="N1510" t="s">
        <v>69</v>
      </c>
      <c r="O1510" t="s">
        <v>27</v>
      </c>
      <c r="P1510" s="1">
        <v>44775</v>
      </c>
      <c r="Q1510">
        <f t="shared" si="115"/>
        <v>0</v>
      </c>
      <c r="R1510">
        <f t="shared" si="116"/>
        <v>0</v>
      </c>
      <c r="S1510">
        <f t="shared" si="117"/>
        <v>0</v>
      </c>
      <c r="T1510" s="11">
        <f t="shared" si="118"/>
        <v>2022</v>
      </c>
      <c r="U1510" s="11">
        <f t="shared" si="119"/>
        <v>5313</v>
      </c>
    </row>
    <row r="1511" spans="1:21" x14ac:dyDescent="0.3">
      <c r="A1511" t="s">
        <v>2214</v>
      </c>
      <c r="B1511">
        <v>2020</v>
      </c>
      <c r="C1511" t="s">
        <v>29</v>
      </c>
      <c r="D1511" t="s">
        <v>32</v>
      </c>
      <c r="E1511">
        <v>14535</v>
      </c>
      <c r="F1511" t="s">
        <v>44</v>
      </c>
      <c r="G1511">
        <v>110300</v>
      </c>
      <c r="H1511" t="s">
        <v>32</v>
      </c>
      <c r="I1511" t="s">
        <v>21</v>
      </c>
      <c r="J1511" t="s">
        <v>2215</v>
      </c>
      <c r="K1511" t="s">
        <v>23</v>
      </c>
      <c r="O1511" t="s">
        <v>27</v>
      </c>
      <c r="P1511" s="1">
        <v>44775</v>
      </c>
      <c r="Q1511">
        <f t="shared" si="115"/>
        <v>0</v>
      </c>
      <c r="R1511">
        <f t="shared" si="116"/>
        <v>1</v>
      </c>
      <c r="S1511">
        <f t="shared" si="117"/>
        <v>0</v>
      </c>
      <c r="T1511" s="11">
        <f t="shared" si="118"/>
        <v>2020</v>
      </c>
      <c r="U1511" s="11">
        <f t="shared" si="119"/>
        <v>14535</v>
      </c>
    </row>
    <row r="1512" spans="1:21" x14ac:dyDescent="0.3">
      <c r="A1512" t="s">
        <v>2216</v>
      </c>
      <c r="B1512">
        <v>2022</v>
      </c>
      <c r="C1512" t="s">
        <v>29</v>
      </c>
      <c r="D1512" t="s">
        <v>53</v>
      </c>
      <c r="E1512">
        <v>590</v>
      </c>
      <c r="F1512" t="s">
        <v>393</v>
      </c>
      <c r="G1512">
        <v>133300</v>
      </c>
      <c r="H1512" t="s">
        <v>53</v>
      </c>
      <c r="J1512" t="s">
        <v>2217</v>
      </c>
      <c r="K1512" t="s">
        <v>23</v>
      </c>
      <c r="L1512" t="s">
        <v>345</v>
      </c>
      <c r="M1512" t="s">
        <v>48</v>
      </c>
      <c r="N1512" t="s">
        <v>69</v>
      </c>
      <c r="O1512" t="s">
        <v>27</v>
      </c>
      <c r="P1512" s="1">
        <v>44775</v>
      </c>
      <c r="Q1512">
        <f t="shared" si="115"/>
        <v>0</v>
      </c>
      <c r="R1512">
        <f t="shared" si="116"/>
        <v>1</v>
      </c>
      <c r="S1512">
        <f t="shared" si="117"/>
        <v>0</v>
      </c>
      <c r="T1512" s="11">
        <f t="shared" si="118"/>
        <v>2022</v>
      </c>
      <c r="U1512" s="11">
        <f t="shared" si="119"/>
        <v>590</v>
      </c>
    </row>
    <row r="1513" spans="1:21" x14ac:dyDescent="0.3">
      <c r="A1513" t="s">
        <v>2218</v>
      </c>
      <c r="B1513">
        <v>2022</v>
      </c>
      <c r="C1513" t="s">
        <v>56</v>
      </c>
      <c r="D1513" t="s">
        <v>32</v>
      </c>
      <c r="E1513">
        <v>4174</v>
      </c>
      <c r="F1513" t="s">
        <v>508</v>
      </c>
      <c r="G1513">
        <v>68100</v>
      </c>
      <c r="H1513" t="s">
        <v>20</v>
      </c>
      <c r="I1513" t="s">
        <v>58</v>
      </c>
      <c r="J1513" t="s">
        <v>168</v>
      </c>
      <c r="K1513" t="s">
        <v>23</v>
      </c>
      <c r="O1513" t="s">
        <v>27</v>
      </c>
      <c r="P1513" s="1">
        <v>44775</v>
      </c>
      <c r="Q1513">
        <f t="shared" si="115"/>
        <v>0</v>
      </c>
      <c r="R1513">
        <f t="shared" si="116"/>
        <v>0</v>
      </c>
      <c r="S1513">
        <f t="shared" si="117"/>
        <v>0</v>
      </c>
      <c r="T1513" s="11">
        <f t="shared" si="118"/>
        <v>2022</v>
      </c>
      <c r="U1513" s="11">
        <f t="shared" si="119"/>
        <v>4174</v>
      </c>
    </row>
    <row r="1514" spans="1:21" x14ac:dyDescent="0.3">
      <c r="A1514" t="s">
        <v>2219</v>
      </c>
      <c r="B1514">
        <v>2018</v>
      </c>
      <c r="C1514" t="s">
        <v>29</v>
      </c>
      <c r="D1514" t="s">
        <v>32</v>
      </c>
      <c r="E1514">
        <v>23223</v>
      </c>
      <c r="F1514" t="s">
        <v>104</v>
      </c>
      <c r="G1514">
        <v>81000</v>
      </c>
      <c r="H1514" t="s">
        <v>32</v>
      </c>
      <c r="I1514" t="s">
        <v>21</v>
      </c>
      <c r="J1514" t="s">
        <v>2220</v>
      </c>
      <c r="K1514" t="s">
        <v>23</v>
      </c>
      <c r="L1514" t="s">
        <v>1273</v>
      </c>
      <c r="M1514" t="s">
        <v>1274</v>
      </c>
      <c r="N1514" t="s">
        <v>245</v>
      </c>
      <c r="O1514" t="s">
        <v>27</v>
      </c>
      <c r="P1514" s="1">
        <v>44775</v>
      </c>
      <c r="Q1514">
        <f t="shared" si="115"/>
        <v>0</v>
      </c>
      <c r="R1514">
        <f t="shared" si="116"/>
        <v>1</v>
      </c>
      <c r="S1514">
        <f t="shared" si="117"/>
        <v>0</v>
      </c>
      <c r="T1514" s="11">
        <f t="shared" si="118"/>
        <v>2018</v>
      </c>
      <c r="U1514" s="11">
        <f t="shared" si="119"/>
        <v>23223</v>
      </c>
    </row>
    <row r="1515" spans="1:21" x14ac:dyDescent="0.3">
      <c r="A1515" t="s">
        <v>2221</v>
      </c>
      <c r="B1515">
        <v>2019</v>
      </c>
      <c r="C1515" t="s">
        <v>56</v>
      </c>
      <c r="D1515" t="s">
        <v>32</v>
      </c>
      <c r="E1515">
        <v>27052</v>
      </c>
      <c r="F1515" t="s">
        <v>65</v>
      </c>
      <c r="G1515">
        <v>48700</v>
      </c>
      <c r="H1515" t="s">
        <v>20</v>
      </c>
      <c r="I1515" t="s">
        <v>78</v>
      </c>
      <c r="J1515" t="s">
        <v>317</v>
      </c>
      <c r="K1515" t="s">
        <v>23</v>
      </c>
      <c r="O1515" t="s">
        <v>27</v>
      </c>
      <c r="P1515" s="1">
        <v>44775</v>
      </c>
      <c r="Q1515">
        <f t="shared" si="115"/>
        <v>0</v>
      </c>
      <c r="R1515">
        <f t="shared" si="116"/>
        <v>0</v>
      </c>
      <c r="S1515">
        <f t="shared" si="117"/>
        <v>0</v>
      </c>
      <c r="T1515" s="11">
        <f t="shared" si="118"/>
        <v>2019</v>
      </c>
      <c r="U1515" s="11">
        <f t="shared" si="119"/>
        <v>27052</v>
      </c>
    </row>
    <row r="1516" spans="1:21" x14ac:dyDescent="0.3">
      <c r="A1516" t="s">
        <v>2222</v>
      </c>
      <c r="B1516">
        <v>2019</v>
      </c>
      <c r="C1516" t="s">
        <v>56</v>
      </c>
      <c r="D1516" t="s">
        <v>53</v>
      </c>
      <c r="E1516">
        <v>29345</v>
      </c>
      <c r="F1516" t="s">
        <v>71</v>
      </c>
      <c r="G1516">
        <v>54400</v>
      </c>
      <c r="H1516" t="s">
        <v>20</v>
      </c>
      <c r="I1516" t="s">
        <v>21</v>
      </c>
      <c r="J1516" t="s">
        <v>376</v>
      </c>
      <c r="K1516" t="s">
        <v>23</v>
      </c>
      <c r="L1516" t="s">
        <v>292</v>
      </c>
      <c r="M1516" t="s">
        <v>172</v>
      </c>
      <c r="N1516" t="s">
        <v>173</v>
      </c>
      <c r="O1516" t="s">
        <v>27</v>
      </c>
      <c r="P1516" s="1">
        <v>44775</v>
      </c>
      <c r="Q1516">
        <f t="shared" si="115"/>
        <v>0</v>
      </c>
      <c r="R1516">
        <f t="shared" si="116"/>
        <v>0</v>
      </c>
      <c r="S1516">
        <f t="shared" si="117"/>
        <v>0</v>
      </c>
      <c r="T1516" s="11">
        <f t="shared" si="118"/>
        <v>2019</v>
      </c>
      <c r="U1516" s="11">
        <f t="shared" si="119"/>
        <v>29345</v>
      </c>
    </row>
    <row r="1517" spans="1:21" x14ac:dyDescent="0.3">
      <c r="A1517" t="s">
        <v>2223</v>
      </c>
      <c r="B1517">
        <v>2019</v>
      </c>
      <c r="C1517" t="s">
        <v>56</v>
      </c>
      <c r="D1517" t="s">
        <v>32</v>
      </c>
      <c r="E1517">
        <v>30236</v>
      </c>
      <c r="F1517" t="s">
        <v>65</v>
      </c>
      <c r="G1517">
        <v>51000</v>
      </c>
      <c r="H1517" t="s">
        <v>77</v>
      </c>
      <c r="I1517" t="s">
        <v>58</v>
      </c>
      <c r="J1517" t="s">
        <v>266</v>
      </c>
      <c r="K1517" t="s">
        <v>23</v>
      </c>
      <c r="L1517" t="s">
        <v>205</v>
      </c>
      <c r="M1517" t="s">
        <v>42</v>
      </c>
      <c r="N1517" t="s">
        <v>26</v>
      </c>
      <c r="O1517" t="s">
        <v>27</v>
      </c>
      <c r="P1517" s="1">
        <v>44775</v>
      </c>
      <c r="Q1517">
        <f t="shared" si="115"/>
        <v>0</v>
      </c>
      <c r="R1517">
        <f t="shared" si="116"/>
        <v>0</v>
      </c>
      <c r="S1517">
        <f t="shared" si="117"/>
        <v>0</v>
      </c>
      <c r="T1517" s="11">
        <f t="shared" si="118"/>
        <v>2019</v>
      </c>
      <c r="U1517" s="11">
        <f t="shared" si="119"/>
        <v>30236</v>
      </c>
    </row>
    <row r="1518" spans="1:21" x14ac:dyDescent="0.3">
      <c r="A1518" t="s">
        <v>2224</v>
      </c>
      <c r="B1518">
        <v>2019</v>
      </c>
      <c r="C1518" t="s">
        <v>56</v>
      </c>
      <c r="D1518" t="s">
        <v>53</v>
      </c>
      <c r="E1518">
        <v>24389</v>
      </c>
      <c r="F1518" t="s">
        <v>65</v>
      </c>
      <c r="G1518">
        <v>49800</v>
      </c>
      <c r="H1518" t="s">
        <v>77</v>
      </c>
      <c r="I1518" t="s">
        <v>78</v>
      </c>
      <c r="J1518" t="s">
        <v>1046</v>
      </c>
      <c r="K1518" t="s">
        <v>23</v>
      </c>
      <c r="L1518" t="s">
        <v>197</v>
      </c>
      <c r="M1518" t="s">
        <v>198</v>
      </c>
      <c r="N1518" t="s">
        <v>26</v>
      </c>
      <c r="O1518" t="s">
        <v>27</v>
      </c>
      <c r="P1518" s="1">
        <v>44775</v>
      </c>
      <c r="Q1518">
        <f t="shared" si="115"/>
        <v>0</v>
      </c>
      <c r="R1518">
        <f t="shared" si="116"/>
        <v>0</v>
      </c>
      <c r="S1518">
        <f t="shared" si="117"/>
        <v>0</v>
      </c>
      <c r="T1518" s="11">
        <f t="shared" si="118"/>
        <v>2019</v>
      </c>
      <c r="U1518" s="11">
        <f t="shared" si="119"/>
        <v>24389</v>
      </c>
    </row>
    <row r="1519" spans="1:21" x14ac:dyDescent="0.3">
      <c r="A1519" t="s">
        <v>2225</v>
      </c>
      <c r="B1519">
        <v>2019</v>
      </c>
      <c r="C1519" t="s">
        <v>37</v>
      </c>
      <c r="D1519" t="s">
        <v>53</v>
      </c>
      <c r="E1519">
        <v>40370</v>
      </c>
      <c r="F1519" t="s">
        <v>52</v>
      </c>
      <c r="G1519">
        <v>85100</v>
      </c>
      <c r="H1519" t="s">
        <v>53</v>
      </c>
      <c r="I1519" t="s">
        <v>39</v>
      </c>
      <c r="J1519" t="s">
        <v>2226</v>
      </c>
      <c r="K1519" t="s">
        <v>23</v>
      </c>
      <c r="L1519" t="s">
        <v>183</v>
      </c>
      <c r="M1519" t="s">
        <v>25</v>
      </c>
      <c r="N1519" t="s">
        <v>26</v>
      </c>
      <c r="O1519" t="s">
        <v>27</v>
      </c>
      <c r="P1519" s="1">
        <v>44775</v>
      </c>
      <c r="Q1519">
        <f t="shared" si="115"/>
        <v>1</v>
      </c>
      <c r="R1519">
        <f t="shared" si="116"/>
        <v>0</v>
      </c>
      <c r="S1519">
        <f t="shared" si="117"/>
        <v>0</v>
      </c>
      <c r="T1519" s="11">
        <f t="shared" si="118"/>
        <v>2019</v>
      </c>
      <c r="U1519" s="11">
        <f t="shared" si="119"/>
        <v>40370</v>
      </c>
    </row>
    <row r="1520" spans="1:21" x14ac:dyDescent="0.3">
      <c r="A1520" t="s">
        <v>2227</v>
      </c>
      <c r="B1520">
        <v>2021</v>
      </c>
      <c r="C1520" t="s">
        <v>17</v>
      </c>
      <c r="D1520" t="s">
        <v>53</v>
      </c>
      <c r="E1520">
        <v>6130</v>
      </c>
      <c r="F1520" t="s">
        <v>19</v>
      </c>
      <c r="G1520">
        <v>80200</v>
      </c>
      <c r="H1520" t="s">
        <v>77</v>
      </c>
      <c r="I1520" t="s">
        <v>78</v>
      </c>
      <c r="J1520" t="s">
        <v>2228</v>
      </c>
      <c r="K1520" t="s">
        <v>23</v>
      </c>
      <c r="L1520" t="s">
        <v>201</v>
      </c>
      <c r="M1520" t="s">
        <v>202</v>
      </c>
      <c r="N1520" t="s">
        <v>203</v>
      </c>
      <c r="O1520" t="s">
        <v>27</v>
      </c>
      <c r="P1520" s="1">
        <v>44775</v>
      </c>
      <c r="Q1520">
        <f t="shared" si="115"/>
        <v>0</v>
      </c>
      <c r="R1520">
        <f t="shared" si="116"/>
        <v>0</v>
      </c>
      <c r="S1520">
        <f t="shared" si="117"/>
        <v>1</v>
      </c>
      <c r="T1520" s="11">
        <f t="shared" si="118"/>
        <v>2021</v>
      </c>
      <c r="U1520" s="11">
        <f t="shared" si="119"/>
        <v>6130</v>
      </c>
    </row>
    <row r="1521" spans="1:21" x14ac:dyDescent="0.3">
      <c r="A1521" t="s">
        <v>2229</v>
      </c>
      <c r="B1521">
        <v>2022</v>
      </c>
      <c r="C1521" t="s">
        <v>56</v>
      </c>
      <c r="D1521" t="s">
        <v>32</v>
      </c>
      <c r="E1521">
        <v>4758</v>
      </c>
      <c r="F1521" t="s">
        <v>508</v>
      </c>
      <c r="G1521">
        <v>69600</v>
      </c>
      <c r="H1521" t="s">
        <v>77</v>
      </c>
      <c r="I1521" t="s">
        <v>58</v>
      </c>
      <c r="J1521" t="s">
        <v>411</v>
      </c>
      <c r="K1521" t="s">
        <v>23</v>
      </c>
      <c r="L1521" t="s">
        <v>201</v>
      </c>
      <c r="M1521" t="s">
        <v>202</v>
      </c>
      <c r="N1521" t="s">
        <v>203</v>
      </c>
      <c r="O1521" t="s">
        <v>27</v>
      </c>
      <c r="P1521" s="1">
        <v>44775</v>
      </c>
      <c r="Q1521">
        <f t="shared" si="115"/>
        <v>0</v>
      </c>
      <c r="R1521">
        <f t="shared" si="116"/>
        <v>0</v>
      </c>
      <c r="S1521">
        <f t="shared" si="117"/>
        <v>0</v>
      </c>
      <c r="T1521" s="11">
        <f t="shared" si="118"/>
        <v>2022</v>
      </c>
      <c r="U1521" s="11">
        <f t="shared" si="119"/>
        <v>4758</v>
      </c>
    </row>
    <row r="1522" spans="1:21" x14ac:dyDescent="0.3">
      <c r="A1522" t="s">
        <v>2230</v>
      </c>
      <c r="B1522">
        <v>2021</v>
      </c>
      <c r="C1522" t="s">
        <v>56</v>
      </c>
      <c r="D1522" t="s">
        <v>32</v>
      </c>
      <c r="E1522">
        <v>29347</v>
      </c>
      <c r="F1522" t="s">
        <v>57</v>
      </c>
      <c r="G1522">
        <v>60300</v>
      </c>
      <c r="H1522" t="s">
        <v>20</v>
      </c>
      <c r="I1522" t="s">
        <v>78</v>
      </c>
      <c r="J1522" t="s">
        <v>275</v>
      </c>
      <c r="K1522" t="s">
        <v>23</v>
      </c>
      <c r="L1522" t="s">
        <v>201</v>
      </c>
      <c r="M1522" t="s">
        <v>202</v>
      </c>
      <c r="N1522" t="s">
        <v>203</v>
      </c>
      <c r="O1522" t="s">
        <v>27</v>
      </c>
      <c r="P1522" s="1">
        <v>44775</v>
      </c>
      <c r="Q1522">
        <f t="shared" si="115"/>
        <v>0</v>
      </c>
      <c r="R1522">
        <f t="shared" si="116"/>
        <v>0</v>
      </c>
      <c r="S1522">
        <f t="shared" si="117"/>
        <v>0</v>
      </c>
      <c r="T1522" s="11">
        <f t="shared" si="118"/>
        <v>2021</v>
      </c>
      <c r="U1522" s="11">
        <f t="shared" si="119"/>
        <v>29347</v>
      </c>
    </row>
    <row r="1523" spans="1:21" x14ac:dyDescent="0.3">
      <c r="A1523" t="s">
        <v>2231</v>
      </c>
      <c r="B1523">
        <v>2022</v>
      </c>
      <c r="C1523" t="s">
        <v>17</v>
      </c>
      <c r="D1523" t="s">
        <v>18</v>
      </c>
      <c r="E1523">
        <v>2018</v>
      </c>
      <c r="F1523" t="s">
        <v>19</v>
      </c>
      <c r="G1523">
        <v>78100</v>
      </c>
      <c r="H1523" t="s">
        <v>20</v>
      </c>
      <c r="I1523" t="s">
        <v>78</v>
      </c>
      <c r="J1523" t="s">
        <v>881</v>
      </c>
      <c r="K1523" t="s">
        <v>23</v>
      </c>
      <c r="L1523" t="s">
        <v>416</v>
      </c>
      <c r="M1523" t="s">
        <v>417</v>
      </c>
      <c r="N1523" t="s">
        <v>245</v>
      </c>
      <c r="O1523" t="s">
        <v>27</v>
      </c>
      <c r="P1523" s="1">
        <v>44774</v>
      </c>
      <c r="Q1523">
        <f t="shared" si="115"/>
        <v>0</v>
      </c>
      <c r="R1523">
        <f t="shared" si="116"/>
        <v>0</v>
      </c>
      <c r="S1523">
        <f t="shared" si="117"/>
        <v>1</v>
      </c>
      <c r="T1523" s="11">
        <f t="shared" si="118"/>
        <v>2022</v>
      </c>
      <c r="U1523" s="11">
        <f t="shared" si="119"/>
        <v>2018</v>
      </c>
    </row>
    <row r="1524" spans="1:21" x14ac:dyDescent="0.3">
      <c r="A1524" t="s">
        <v>2232</v>
      </c>
      <c r="B1524">
        <v>2020</v>
      </c>
      <c r="C1524" t="s">
        <v>56</v>
      </c>
      <c r="D1524" t="s">
        <v>76</v>
      </c>
      <c r="E1524">
        <v>11800</v>
      </c>
      <c r="F1524" t="s">
        <v>57</v>
      </c>
      <c r="G1524">
        <v>67600</v>
      </c>
      <c r="H1524" t="s">
        <v>77</v>
      </c>
      <c r="I1524" t="s">
        <v>78</v>
      </c>
      <c r="J1524" t="s">
        <v>1688</v>
      </c>
      <c r="K1524" t="s">
        <v>23</v>
      </c>
      <c r="L1524" t="s">
        <v>34</v>
      </c>
      <c r="N1524" t="s">
        <v>35</v>
      </c>
      <c r="O1524" t="s">
        <v>27</v>
      </c>
      <c r="P1524" s="1">
        <v>44774</v>
      </c>
      <c r="Q1524">
        <f t="shared" si="115"/>
        <v>0</v>
      </c>
      <c r="R1524">
        <f t="shared" si="116"/>
        <v>0</v>
      </c>
      <c r="S1524">
        <f t="shared" si="117"/>
        <v>0</v>
      </c>
      <c r="T1524" s="11">
        <f t="shared" si="118"/>
        <v>2020</v>
      </c>
      <c r="U1524" s="11">
        <f t="shared" si="119"/>
        <v>11800</v>
      </c>
    </row>
    <row r="1525" spans="1:21" x14ac:dyDescent="0.3">
      <c r="A1525" t="s">
        <v>2233</v>
      </c>
      <c r="B1525">
        <v>2021</v>
      </c>
      <c r="C1525" t="s">
        <v>17</v>
      </c>
      <c r="D1525" t="s">
        <v>18</v>
      </c>
      <c r="E1525">
        <v>7947</v>
      </c>
      <c r="F1525" t="s">
        <v>189</v>
      </c>
      <c r="G1525">
        <v>78000</v>
      </c>
      <c r="H1525" t="s">
        <v>20</v>
      </c>
      <c r="I1525" t="s">
        <v>39</v>
      </c>
      <c r="J1525" t="s">
        <v>157</v>
      </c>
      <c r="K1525" t="s">
        <v>23</v>
      </c>
      <c r="L1525" t="s">
        <v>342</v>
      </c>
      <c r="M1525" t="s">
        <v>244</v>
      </c>
      <c r="N1525" t="s">
        <v>245</v>
      </c>
      <c r="O1525" t="s">
        <v>27</v>
      </c>
      <c r="P1525" s="1">
        <v>44774</v>
      </c>
      <c r="Q1525">
        <f t="shared" si="115"/>
        <v>0</v>
      </c>
      <c r="R1525">
        <f t="shared" si="116"/>
        <v>0</v>
      </c>
      <c r="S1525">
        <f t="shared" si="117"/>
        <v>1</v>
      </c>
      <c r="T1525" s="11">
        <f t="shared" si="118"/>
        <v>2021</v>
      </c>
      <c r="U1525" s="11">
        <f t="shared" si="119"/>
        <v>7947</v>
      </c>
    </row>
    <row r="1526" spans="1:21" x14ac:dyDescent="0.3">
      <c r="A1526" t="s">
        <v>2234</v>
      </c>
      <c r="B1526">
        <v>2021</v>
      </c>
      <c r="C1526" t="s">
        <v>37</v>
      </c>
      <c r="D1526" t="s">
        <v>32</v>
      </c>
      <c r="E1526">
        <v>20631</v>
      </c>
      <c r="F1526" t="s">
        <v>98</v>
      </c>
      <c r="G1526">
        <v>120500</v>
      </c>
      <c r="H1526" t="s">
        <v>45</v>
      </c>
      <c r="I1526" t="s">
        <v>78</v>
      </c>
      <c r="J1526" t="s">
        <v>2235</v>
      </c>
      <c r="K1526" t="s">
        <v>23</v>
      </c>
      <c r="L1526" t="s">
        <v>367</v>
      </c>
      <c r="M1526" t="s">
        <v>244</v>
      </c>
      <c r="N1526" t="s">
        <v>245</v>
      </c>
      <c r="O1526" t="s">
        <v>27</v>
      </c>
      <c r="P1526" s="1">
        <v>44774</v>
      </c>
      <c r="Q1526">
        <f t="shared" si="115"/>
        <v>1</v>
      </c>
      <c r="R1526">
        <f t="shared" si="116"/>
        <v>0</v>
      </c>
      <c r="S1526">
        <f t="shared" si="117"/>
        <v>0</v>
      </c>
      <c r="T1526" s="11">
        <f t="shared" si="118"/>
        <v>2021</v>
      </c>
      <c r="U1526" s="11">
        <f t="shared" si="119"/>
        <v>20631</v>
      </c>
    </row>
    <row r="1527" spans="1:21" x14ac:dyDescent="0.3">
      <c r="A1527" t="s">
        <v>2236</v>
      </c>
      <c r="B1527">
        <v>2020</v>
      </c>
      <c r="C1527" t="s">
        <v>29</v>
      </c>
      <c r="D1527" t="s">
        <v>32</v>
      </c>
      <c r="E1527">
        <v>45770</v>
      </c>
      <c r="F1527" t="s">
        <v>44</v>
      </c>
      <c r="G1527">
        <v>93300</v>
      </c>
      <c r="H1527" t="s">
        <v>53</v>
      </c>
      <c r="I1527" t="s">
        <v>21</v>
      </c>
      <c r="J1527" t="s">
        <v>2237</v>
      </c>
      <c r="K1527" t="s">
        <v>23</v>
      </c>
      <c r="L1527" t="s">
        <v>2238</v>
      </c>
      <c r="M1527" t="s">
        <v>364</v>
      </c>
      <c r="N1527" t="s">
        <v>245</v>
      </c>
      <c r="O1527" t="s">
        <v>27</v>
      </c>
      <c r="P1527" s="1">
        <v>44774</v>
      </c>
      <c r="Q1527">
        <f t="shared" si="115"/>
        <v>0</v>
      </c>
      <c r="R1527">
        <f t="shared" si="116"/>
        <v>1</v>
      </c>
      <c r="S1527">
        <f t="shared" si="117"/>
        <v>0</v>
      </c>
      <c r="T1527" s="11">
        <f t="shared" si="118"/>
        <v>2020</v>
      </c>
      <c r="U1527" s="11">
        <f t="shared" si="119"/>
        <v>45770</v>
      </c>
    </row>
    <row r="1528" spans="1:21" x14ac:dyDescent="0.3">
      <c r="A1528" t="s">
        <v>2239</v>
      </c>
      <c r="B1528">
        <v>2020</v>
      </c>
      <c r="C1528" t="s">
        <v>56</v>
      </c>
      <c r="D1528" t="s">
        <v>53</v>
      </c>
      <c r="E1528">
        <v>34584</v>
      </c>
      <c r="F1528" t="s">
        <v>71</v>
      </c>
      <c r="G1528">
        <v>66300</v>
      </c>
      <c r="H1528" t="s">
        <v>20</v>
      </c>
      <c r="I1528" t="s">
        <v>21</v>
      </c>
      <c r="J1528" t="s">
        <v>1645</v>
      </c>
      <c r="K1528" t="s">
        <v>23</v>
      </c>
      <c r="L1528" t="s">
        <v>34</v>
      </c>
      <c r="N1528" t="s">
        <v>35</v>
      </c>
      <c r="O1528" t="s">
        <v>27</v>
      </c>
      <c r="P1528" s="1">
        <v>44774</v>
      </c>
      <c r="Q1528">
        <f t="shared" si="115"/>
        <v>0</v>
      </c>
      <c r="R1528">
        <f t="shared" si="116"/>
        <v>0</v>
      </c>
      <c r="S1528">
        <f t="shared" si="117"/>
        <v>0</v>
      </c>
      <c r="T1528" s="11">
        <f t="shared" si="118"/>
        <v>2020</v>
      </c>
      <c r="U1528" s="11">
        <f t="shared" si="119"/>
        <v>34584</v>
      </c>
    </row>
    <row r="1529" spans="1:21" x14ac:dyDescent="0.3">
      <c r="A1529" t="s">
        <v>2240</v>
      </c>
      <c r="B1529">
        <v>2021</v>
      </c>
      <c r="C1529" t="s">
        <v>17</v>
      </c>
      <c r="D1529" t="s">
        <v>76</v>
      </c>
      <c r="E1529">
        <v>15161</v>
      </c>
      <c r="F1529" t="s">
        <v>207</v>
      </c>
      <c r="G1529">
        <v>82700</v>
      </c>
      <c r="H1529" t="s">
        <v>77</v>
      </c>
      <c r="I1529" t="s">
        <v>21</v>
      </c>
      <c r="J1529" t="s">
        <v>489</v>
      </c>
      <c r="K1529" t="s">
        <v>23</v>
      </c>
      <c r="L1529" t="s">
        <v>371</v>
      </c>
      <c r="M1529" t="s">
        <v>48</v>
      </c>
      <c r="N1529" t="s">
        <v>49</v>
      </c>
      <c r="O1529" t="s">
        <v>27</v>
      </c>
      <c r="P1529" s="1">
        <v>44774</v>
      </c>
      <c r="Q1529">
        <f t="shared" si="115"/>
        <v>0</v>
      </c>
      <c r="R1529">
        <f t="shared" si="116"/>
        <v>0</v>
      </c>
      <c r="S1529">
        <f t="shared" si="117"/>
        <v>1</v>
      </c>
      <c r="T1529" s="11">
        <f t="shared" si="118"/>
        <v>2021</v>
      </c>
      <c r="U1529" s="11">
        <f t="shared" si="119"/>
        <v>15161</v>
      </c>
    </row>
    <row r="1530" spans="1:21" x14ac:dyDescent="0.3">
      <c r="A1530" t="s">
        <v>2241</v>
      </c>
      <c r="B1530">
        <v>2020</v>
      </c>
      <c r="C1530" t="s">
        <v>56</v>
      </c>
      <c r="D1530" t="s">
        <v>32</v>
      </c>
      <c r="E1530">
        <v>12528</v>
      </c>
      <c r="F1530" t="s">
        <v>57</v>
      </c>
      <c r="G1530">
        <v>59800</v>
      </c>
      <c r="H1530" t="s">
        <v>77</v>
      </c>
      <c r="I1530" t="s">
        <v>58</v>
      </c>
      <c r="J1530" t="s">
        <v>411</v>
      </c>
      <c r="K1530" t="s">
        <v>23</v>
      </c>
      <c r="L1530" t="s">
        <v>67</v>
      </c>
      <c r="M1530" t="s">
        <v>68</v>
      </c>
      <c r="N1530" t="s">
        <v>69</v>
      </c>
      <c r="O1530" t="s">
        <v>27</v>
      </c>
      <c r="P1530" s="1">
        <v>44774</v>
      </c>
      <c r="Q1530">
        <f t="shared" si="115"/>
        <v>0</v>
      </c>
      <c r="R1530">
        <f t="shared" si="116"/>
        <v>0</v>
      </c>
      <c r="S1530">
        <f t="shared" si="117"/>
        <v>0</v>
      </c>
      <c r="T1530" s="11">
        <f t="shared" si="118"/>
        <v>2020</v>
      </c>
      <c r="U1530" s="11">
        <f t="shared" si="119"/>
        <v>12528</v>
      </c>
    </row>
    <row r="1531" spans="1:21" x14ac:dyDescent="0.3">
      <c r="A1531" t="s">
        <v>2242</v>
      </c>
      <c r="B1531">
        <v>2021</v>
      </c>
      <c r="C1531" t="s">
        <v>17</v>
      </c>
      <c r="D1531" t="s">
        <v>53</v>
      </c>
      <c r="E1531">
        <v>15379</v>
      </c>
      <c r="F1531" t="s">
        <v>189</v>
      </c>
      <c r="G1531">
        <v>78700</v>
      </c>
      <c r="H1531" t="s">
        <v>77</v>
      </c>
      <c r="I1531" t="s">
        <v>39</v>
      </c>
      <c r="J1531" t="s">
        <v>273</v>
      </c>
      <c r="K1531" t="s">
        <v>23</v>
      </c>
      <c r="L1531" t="s">
        <v>34</v>
      </c>
      <c r="N1531" t="s">
        <v>35</v>
      </c>
      <c r="O1531" t="s">
        <v>27</v>
      </c>
      <c r="P1531" s="1">
        <v>44774</v>
      </c>
      <c r="Q1531">
        <f t="shared" si="115"/>
        <v>0</v>
      </c>
      <c r="R1531">
        <f t="shared" si="116"/>
        <v>0</v>
      </c>
      <c r="S1531">
        <f t="shared" si="117"/>
        <v>1</v>
      </c>
      <c r="T1531" s="11">
        <f t="shared" si="118"/>
        <v>2021</v>
      </c>
      <c r="U1531" s="11">
        <f t="shared" si="119"/>
        <v>15379</v>
      </c>
    </row>
    <row r="1532" spans="1:21" x14ac:dyDescent="0.3">
      <c r="A1532" t="s">
        <v>2243</v>
      </c>
      <c r="B1532">
        <v>2020</v>
      </c>
      <c r="C1532" t="s">
        <v>56</v>
      </c>
      <c r="D1532" t="s">
        <v>32</v>
      </c>
      <c r="E1532">
        <v>13061</v>
      </c>
      <c r="F1532" t="s">
        <v>57</v>
      </c>
      <c r="G1532">
        <v>58900</v>
      </c>
      <c r="H1532" t="s">
        <v>77</v>
      </c>
      <c r="I1532" t="s">
        <v>78</v>
      </c>
      <c r="J1532" t="s">
        <v>650</v>
      </c>
      <c r="K1532" t="s">
        <v>23</v>
      </c>
      <c r="L1532" t="s">
        <v>345</v>
      </c>
      <c r="M1532" t="s">
        <v>48</v>
      </c>
      <c r="N1532" t="s">
        <v>69</v>
      </c>
      <c r="O1532" t="s">
        <v>27</v>
      </c>
      <c r="P1532" s="1">
        <v>44774</v>
      </c>
      <c r="Q1532">
        <f t="shared" si="115"/>
        <v>0</v>
      </c>
      <c r="R1532">
        <f t="shared" si="116"/>
        <v>0</v>
      </c>
      <c r="S1532">
        <f t="shared" si="117"/>
        <v>0</v>
      </c>
      <c r="T1532" s="11">
        <f t="shared" si="118"/>
        <v>2020</v>
      </c>
      <c r="U1532" s="11">
        <f t="shared" si="119"/>
        <v>13061</v>
      </c>
    </row>
    <row r="1533" spans="1:21" x14ac:dyDescent="0.3">
      <c r="A1533" t="s">
        <v>2244</v>
      </c>
      <c r="B1533">
        <v>2020</v>
      </c>
      <c r="C1533" t="s">
        <v>29</v>
      </c>
      <c r="D1533" t="s">
        <v>32</v>
      </c>
      <c r="E1533">
        <v>5274</v>
      </c>
      <c r="F1533" t="s">
        <v>177</v>
      </c>
      <c r="G1533">
        <v>114800</v>
      </c>
      <c r="H1533" t="s">
        <v>32</v>
      </c>
      <c r="I1533" t="s">
        <v>21</v>
      </c>
      <c r="J1533" t="s">
        <v>2245</v>
      </c>
      <c r="K1533" t="s">
        <v>23</v>
      </c>
      <c r="L1533" t="s">
        <v>763</v>
      </c>
      <c r="M1533" t="s">
        <v>426</v>
      </c>
      <c r="N1533" t="s">
        <v>35</v>
      </c>
      <c r="O1533" t="s">
        <v>27</v>
      </c>
      <c r="P1533" s="1">
        <v>44774</v>
      </c>
      <c r="Q1533">
        <f t="shared" si="115"/>
        <v>0</v>
      </c>
      <c r="R1533">
        <f t="shared" si="116"/>
        <v>1</v>
      </c>
      <c r="S1533">
        <f t="shared" si="117"/>
        <v>0</v>
      </c>
      <c r="T1533" s="11">
        <f t="shared" si="118"/>
        <v>2020</v>
      </c>
      <c r="U1533" s="11">
        <f t="shared" si="119"/>
        <v>5274</v>
      </c>
    </row>
    <row r="1534" spans="1:21" x14ac:dyDescent="0.3">
      <c r="A1534" t="s">
        <v>2246</v>
      </c>
      <c r="B1534">
        <v>2018</v>
      </c>
      <c r="C1534" t="s">
        <v>56</v>
      </c>
      <c r="D1534" t="s">
        <v>93</v>
      </c>
      <c r="E1534">
        <v>13856</v>
      </c>
      <c r="F1534" t="s">
        <v>57</v>
      </c>
      <c r="G1534">
        <v>56900</v>
      </c>
      <c r="H1534" t="s">
        <v>77</v>
      </c>
      <c r="I1534" t="s">
        <v>58</v>
      </c>
      <c r="J1534" t="s">
        <v>232</v>
      </c>
      <c r="K1534" t="s">
        <v>23</v>
      </c>
      <c r="L1534" t="s">
        <v>67</v>
      </c>
      <c r="M1534" t="s">
        <v>68</v>
      </c>
      <c r="N1534" t="s">
        <v>69</v>
      </c>
      <c r="O1534" t="s">
        <v>27</v>
      </c>
      <c r="P1534" s="1">
        <v>44774</v>
      </c>
      <c r="Q1534">
        <f t="shared" si="115"/>
        <v>0</v>
      </c>
      <c r="R1534">
        <f t="shared" si="116"/>
        <v>0</v>
      </c>
      <c r="S1534">
        <f t="shared" si="117"/>
        <v>0</v>
      </c>
      <c r="T1534" s="11">
        <f t="shared" si="118"/>
        <v>2018</v>
      </c>
      <c r="U1534" s="11">
        <f t="shared" si="119"/>
        <v>13856</v>
      </c>
    </row>
    <row r="1535" spans="1:21" x14ac:dyDescent="0.3">
      <c r="A1535" t="s">
        <v>2247</v>
      </c>
      <c r="B1535">
        <v>2020</v>
      </c>
      <c r="C1535" t="s">
        <v>29</v>
      </c>
      <c r="D1535" t="s">
        <v>51</v>
      </c>
      <c r="E1535">
        <v>16763</v>
      </c>
      <c r="F1535" t="s">
        <v>31</v>
      </c>
      <c r="G1535">
        <v>102200</v>
      </c>
      <c r="H1535" t="s">
        <v>45</v>
      </c>
      <c r="I1535" t="s">
        <v>21</v>
      </c>
      <c r="J1535" t="s">
        <v>196</v>
      </c>
      <c r="K1535" t="s">
        <v>23</v>
      </c>
      <c r="L1535" t="s">
        <v>34</v>
      </c>
      <c r="N1535" t="s">
        <v>35</v>
      </c>
      <c r="O1535" t="s">
        <v>27</v>
      </c>
      <c r="P1535" s="1">
        <v>44774</v>
      </c>
      <c r="Q1535">
        <f t="shared" si="115"/>
        <v>0</v>
      </c>
      <c r="R1535">
        <f t="shared" si="116"/>
        <v>1</v>
      </c>
      <c r="S1535">
        <f t="shared" si="117"/>
        <v>0</v>
      </c>
      <c r="T1535" s="11">
        <f t="shared" si="118"/>
        <v>2020</v>
      </c>
      <c r="U1535" s="11">
        <f t="shared" si="119"/>
        <v>16763</v>
      </c>
    </row>
    <row r="1536" spans="1:21" x14ac:dyDescent="0.3">
      <c r="A1536" t="s">
        <v>2248</v>
      </c>
      <c r="B1536">
        <v>2019</v>
      </c>
      <c r="C1536" t="s">
        <v>56</v>
      </c>
      <c r="D1536" t="s">
        <v>32</v>
      </c>
      <c r="E1536">
        <v>19029</v>
      </c>
      <c r="F1536" t="s">
        <v>65</v>
      </c>
      <c r="G1536">
        <v>51700</v>
      </c>
      <c r="H1536" t="s">
        <v>77</v>
      </c>
      <c r="I1536" t="s">
        <v>58</v>
      </c>
      <c r="J1536" t="s">
        <v>266</v>
      </c>
      <c r="K1536" t="s">
        <v>23</v>
      </c>
      <c r="L1536" t="s">
        <v>47</v>
      </c>
      <c r="M1536" t="s">
        <v>48</v>
      </c>
      <c r="N1536" t="s">
        <v>49</v>
      </c>
      <c r="O1536" t="s">
        <v>27</v>
      </c>
      <c r="P1536" s="1">
        <v>44774</v>
      </c>
      <c r="Q1536">
        <f t="shared" si="115"/>
        <v>0</v>
      </c>
      <c r="R1536">
        <f t="shared" si="116"/>
        <v>0</v>
      </c>
      <c r="S1536">
        <f t="shared" si="117"/>
        <v>0</v>
      </c>
      <c r="T1536" s="11">
        <f t="shared" si="118"/>
        <v>2019</v>
      </c>
      <c r="U1536" s="11">
        <f t="shared" si="119"/>
        <v>19029</v>
      </c>
    </row>
    <row r="1537" spans="1:21" x14ac:dyDescent="0.3">
      <c r="A1537" t="s">
        <v>2249</v>
      </c>
      <c r="B1537">
        <v>2019</v>
      </c>
      <c r="C1537" t="s">
        <v>56</v>
      </c>
      <c r="D1537" t="s">
        <v>76</v>
      </c>
      <c r="E1537">
        <v>14528</v>
      </c>
      <c r="F1537" t="s">
        <v>71</v>
      </c>
      <c r="G1537">
        <v>60800</v>
      </c>
      <c r="H1537" t="s">
        <v>77</v>
      </c>
      <c r="I1537" t="s">
        <v>21</v>
      </c>
      <c r="J1537" t="s">
        <v>146</v>
      </c>
      <c r="K1537" t="s">
        <v>23</v>
      </c>
      <c r="L1537" t="s">
        <v>60</v>
      </c>
      <c r="M1537" t="s">
        <v>48</v>
      </c>
      <c r="N1537" t="s">
        <v>49</v>
      </c>
      <c r="O1537" t="s">
        <v>27</v>
      </c>
      <c r="P1537" s="1">
        <v>44774</v>
      </c>
      <c r="Q1537">
        <f t="shared" si="115"/>
        <v>0</v>
      </c>
      <c r="R1537">
        <f t="shared" si="116"/>
        <v>0</v>
      </c>
      <c r="S1537">
        <f t="shared" si="117"/>
        <v>0</v>
      </c>
      <c r="T1537" s="11">
        <f t="shared" si="118"/>
        <v>2019</v>
      </c>
      <c r="U1537" s="11">
        <f t="shared" si="119"/>
        <v>14528</v>
      </c>
    </row>
    <row r="1538" spans="1:21" x14ac:dyDescent="0.3">
      <c r="A1538" t="s">
        <v>2250</v>
      </c>
      <c r="B1538">
        <v>2018</v>
      </c>
      <c r="C1538" t="s">
        <v>56</v>
      </c>
      <c r="D1538" t="s">
        <v>76</v>
      </c>
      <c r="E1538">
        <v>41695</v>
      </c>
      <c r="F1538" t="s">
        <v>57</v>
      </c>
      <c r="G1538">
        <v>50600</v>
      </c>
      <c r="H1538" t="s">
        <v>20</v>
      </c>
      <c r="I1538" t="s">
        <v>58</v>
      </c>
      <c r="J1538" t="s">
        <v>979</v>
      </c>
      <c r="K1538" t="s">
        <v>23</v>
      </c>
      <c r="L1538" t="s">
        <v>47</v>
      </c>
      <c r="M1538" t="s">
        <v>48</v>
      </c>
      <c r="N1538" t="s">
        <v>49</v>
      </c>
      <c r="O1538" t="s">
        <v>27</v>
      </c>
      <c r="P1538" s="1">
        <v>44774</v>
      </c>
      <c r="Q1538">
        <f t="shared" ref="Q1538:Q1580" si="120">--(C1538="ms")</f>
        <v>0</v>
      </c>
      <c r="R1538">
        <f t="shared" ref="R1538:R1580" si="121">--(C1538="mx")</f>
        <v>0</v>
      </c>
      <c r="S1538">
        <f t="shared" ref="S1538:S1580" si="122">--(C1538="my")</f>
        <v>0</v>
      </c>
      <c r="T1538" s="11">
        <f t="shared" ref="T1538:T1580" si="123">B1538</f>
        <v>2018</v>
      </c>
      <c r="U1538" s="11">
        <f t="shared" ref="U1538:U1580" si="124">E1538</f>
        <v>41695</v>
      </c>
    </row>
    <row r="1539" spans="1:21" x14ac:dyDescent="0.3">
      <c r="A1539" t="s">
        <v>2251</v>
      </c>
      <c r="B1539">
        <v>2020</v>
      </c>
      <c r="C1539" t="s">
        <v>56</v>
      </c>
      <c r="D1539" t="s">
        <v>53</v>
      </c>
      <c r="E1539">
        <v>39146</v>
      </c>
      <c r="F1539" t="s">
        <v>57</v>
      </c>
      <c r="G1539">
        <v>59600</v>
      </c>
      <c r="H1539" t="s">
        <v>20</v>
      </c>
      <c r="I1539" t="s">
        <v>58</v>
      </c>
      <c r="J1539" t="s">
        <v>59</v>
      </c>
      <c r="K1539" t="s">
        <v>23</v>
      </c>
      <c r="L1539" t="s">
        <v>345</v>
      </c>
      <c r="M1539" t="s">
        <v>48</v>
      </c>
      <c r="N1539" t="s">
        <v>69</v>
      </c>
      <c r="O1539" t="s">
        <v>27</v>
      </c>
      <c r="P1539" s="1">
        <v>44774</v>
      </c>
      <c r="Q1539">
        <f t="shared" si="120"/>
        <v>0</v>
      </c>
      <c r="R1539">
        <f t="shared" si="121"/>
        <v>0</v>
      </c>
      <c r="S1539">
        <f t="shared" si="122"/>
        <v>0</v>
      </c>
      <c r="T1539" s="11">
        <f t="shared" si="123"/>
        <v>2020</v>
      </c>
      <c r="U1539" s="11">
        <f t="shared" si="124"/>
        <v>39146</v>
      </c>
    </row>
    <row r="1540" spans="1:21" x14ac:dyDescent="0.3">
      <c r="A1540" t="s">
        <v>2252</v>
      </c>
      <c r="B1540">
        <v>2018</v>
      </c>
      <c r="C1540" t="s">
        <v>56</v>
      </c>
      <c r="D1540" t="s">
        <v>18</v>
      </c>
      <c r="E1540">
        <v>51465</v>
      </c>
      <c r="F1540" t="s">
        <v>57</v>
      </c>
      <c r="G1540">
        <v>48300</v>
      </c>
      <c r="H1540" t="s">
        <v>20</v>
      </c>
      <c r="I1540" t="s">
        <v>78</v>
      </c>
      <c r="J1540" t="s">
        <v>1924</v>
      </c>
      <c r="K1540" t="s">
        <v>23</v>
      </c>
      <c r="L1540" t="s">
        <v>47</v>
      </c>
      <c r="M1540" t="s">
        <v>48</v>
      </c>
      <c r="N1540" t="s">
        <v>49</v>
      </c>
      <c r="O1540" t="s">
        <v>27</v>
      </c>
      <c r="P1540" s="1">
        <v>44774</v>
      </c>
      <c r="Q1540">
        <f t="shared" si="120"/>
        <v>0</v>
      </c>
      <c r="R1540">
        <f t="shared" si="121"/>
        <v>0</v>
      </c>
      <c r="S1540">
        <f t="shared" si="122"/>
        <v>0</v>
      </c>
      <c r="T1540" s="11">
        <f t="shared" si="123"/>
        <v>2018</v>
      </c>
      <c r="U1540" s="11">
        <f t="shared" si="124"/>
        <v>51465</v>
      </c>
    </row>
    <row r="1541" spans="1:21" x14ac:dyDescent="0.3">
      <c r="A1541" t="s">
        <v>2253</v>
      </c>
      <c r="B1541">
        <v>2020</v>
      </c>
      <c r="C1541" t="s">
        <v>56</v>
      </c>
      <c r="D1541" t="s">
        <v>32</v>
      </c>
      <c r="E1541">
        <v>19047</v>
      </c>
      <c r="F1541" t="s">
        <v>65</v>
      </c>
      <c r="G1541">
        <v>55600</v>
      </c>
      <c r="H1541" t="s">
        <v>77</v>
      </c>
      <c r="I1541" t="s">
        <v>78</v>
      </c>
      <c r="J1541" t="s">
        <v>388</v>
      </c>
      <c r="K1541" t="s">
        <v>23</v>
      </c>
      <c r="L1541" t="s">
        <v>34</v>
      </c>
      <c r="N1541" t="s">
        <v>35</v>
      </c>
      <c r="O1541" t="s">
        <v>27</v>
      </c>
      <c r="P1541" s="1">
        <v>44774</v>
      </c>
      <c r="Q1541">
        <f t="shared" si="120"/>
        <v>0</v>
      </c>
      <c r="R1541">
        <f t="shared" si="121"/>
        <v>0</v>
      </c>
      <c r="S1541">
        <f t="shared" si="122"/>
        <v>0</v>
      </c>
      <c r="T1541" s="11">
        <f t="shared" si="123"/>
        <v>2020</v>
      </c>
      <c r="U1541" s="11">
        <f t="shared" si="124"/>
        <v>19047</v>
      </c>
    </row>
    <row r="1542" spans="1:21" x14ac:dyDescent="0.3">
      <c r="A1542" t="s">
        <v>2254</v>
      </c>
      <c r="B1542">
        <v>2020</v>
      </c>
      <c r="C1542" t="s">
        <v>56</v>
      </c>
      <c r="D1542" t="s">
        <v>53</v>
      </c>
      <c r="E1542">
        <v>7031</v>
      </c>
      <c r="F1542" t="s">
        <v>57</v>
      </c>
      <c r="G1542">
        <v>61000</v>
      </c>
      <c r="H1542" t="s">
        <v>20</v>
      </c>
      <c r="I1542" t="s">
        <v>78</v>
      </c>
      <c r="J1542" t="s">
        <v>564</v>
      </c>
      <c r="K1542" t="s">
        <v>23</v>
      </c>
      <c r="L1542" t="s">
        <v>95</v>
      </c>
      <c r="M1542" t="s">
        <v>96</v>
      </c>
      <c r="N1542" t="s">
        <v>89</v>
      </c>
      <c r="O1542" t="s">
        <v>27</v>
      </c>
      <c r="P1542" s="1">
        <v>44774</v>
      </c>
      <c r="Q1542">
        <f t="shared" si="120"/>
        <v>0</v>
      </c>
      <c r="R1542">
        <f t="shared" si="121"/>
        <v>0</v>
      </c>
      <c r="S1542">
        <f t="shared" si="122"/>
        <v>0</v>
      </c>
      <c r="T1542" s="11">
        <f t="shared" si="123"/>
        <v>2020</v>
      </c>
      <c r="U1542" s="11">
        <f t="shared" si="124"/>
        <v>7031</v>
      </c>
    </row>
    <row r="1543" spans="1:21" x14ac:dyDescent="0.3">
      <c r="A1543" t="s">
        <v>2255</v>
      </c>
      <c r="B1543">
        <v>2018</v>
      </c>
      <c r="C1543" t="s">
        <v>56</v>
      </c>
      <c r="D1543" t="s">
        <v>18</v>
      </c>
      <c r="E1543">
        <v>45855</v>
      </c>
      <c r="F1543" t="s">
        <v>57</v>
      </c>
      <c r="G1543">
        <v>53600</v>
      </c>
      <c r="H1543" t="s">
        <v>20</v>
      </c>
      <c r="I1543" t="s">
        <v>78</v>
      </c>
      <c r="J1543" t="s">
        <v>1924</v>
      </c>
      <c r="K1543" t="s">
        <v>23</v>
      </c>
      <c r="L1543" t="s">
        <v>768</v>
      </c>
      <c r="M1543" t="s">
        <v>68</v>
      </c>
      <c r="N1543" t="s">
        <v>69</v>
      </c>
      <c r="O1543" t="s">
        <v>27</v>
      </c>
      <c r="P1543" s="1">
        <v>44774</v>
      </c>
      <c r="Q1543">
        <f t="shared" si="120"/>
        <v>0</v>
      </c>
      <c r="R1543">
        <f t="shared" si="121"/>
        <v>0</v>
      </c>
      <c r="S1543">
        <f t="shared" si="122"/>
        <v>0</v>
      </c>
      <c r="T1543" s="11">
        <f t="shared" si="123"/>
        <v>2018</v>
      </c>
      <c r="U1543" s="11">
        <f t="shared" si="124"/>
        <v>45855</v>
      </c>
    </row>
    <row r="1544" spans="1:21" x14ac:dyDescent="0.3">
      <c r="A1544" t="s">
        <v>2256</v>
      </c>
      <c r="B1544">
        <v>2019</v>
      </c>
      <c r="C1544" t="s">
        <v>56</v>
      </c>
      <c r="D1544" t="s">
        <v>30</v>
      </c>
      <c r="E1544">
        <v>25124</v>
      </c>
      <c r="F1544" t="s">
        <v>234</v>
      </c>
      <c r="G1544">
        <v>54500</v>
      </c>
      <c r="H1544" t="s">
        <v>20</v>
      </c>
      <c r="I1544" t="s">
        <v>78</v>
      </c>
      <c r="J1544" t="s">
        <v>699</v>
      </c>
      <c r="K1544" t="s">
        <v>23</v>
      </c>
      <c r="L1544" t="s">
        <v>87</v>
      </c>
      <c r="M1544" t="s">
        <v>88</v>
      </c>
      <c r="N1544" t="s">
        <v>89</v>
      </c>
      <c r="O1544" t="s">
        <v>27</v>
      </c>
      <c r="P1544" s="1">
        <v>44774</v>
      </c>
      <c r="Q1544">
        <f t="shared" si="120"/>
        <v>0</v>
      </c>
      <c r="R1544">
        <f t="shared" si="121"/>
        <v>0</v>
      </c>
      <c r="S1544">
        <f t="shared" si="122"/>
        <v>0</v>
      </c>
      <c r="T1544" s="11">
        <f t="shared" si="123"/>
        <v>2019</v>
      </c>
      <c r="U1544" s="11">
        <f t="shared" si="124"/>
        <v>25124</v>
      </c>
    </row>
    <row r="1545" spans="1:21" x14ac:dyDescent="0.3">
      <c r="A1545" t="s">
        <v>2257</v>
      </c>
      <c r="B1545">
        <v>2019</v>
      </c>
      <c r="C1545" t="s">
        <v>56</v>
      </c>
      <c r="D1545" t="s">
        <v>30</v>
      </c>
      <c r="E1545">
        <v>17173</v>
      </c>
      <c r="F1545" t="s">
        <v>65</v>
      </c>
      <c r="G1545">
        <v>47700</v>
      </c>
      <c r="H1545" t="s">
        <v>20</v>
      </c>
      <c r="I1545" t="s">
        <v>58</v>
      </c>
      <c r="J1545" t="s">
        <v>774</v>
      </c>
      <c r="K1545" t="s">
        <v>23</v>
      </c>
      <c r="L1545" t="s">
        <v>84</v>
      </c>
      <c r="M1545" t="s">
        <v>48</v>
      </c>
      <c r="N1545" t="s">
        <v>69</v>
      </c>
      <c r="O1545" t="s">
        <v>27</v>
      </c>
      <c r="P1545" s="1">
        <v>44774</v>
      </c>
      <c r="Q1545">
        <f t="shared" si="120"/>
        <v>0</v>
      </c>
      <c r="R1545">
        <f t="shared" si="121"/>
        <v>0</v>
      </c>
      <c r="S1545">
        <f t="shared" si="122"/>
        <v>0</v>
      </c>
      <c r="T1545" s="11">
        <f t="shared" si="123"/>
        <v>2019</v>
      </c>
      <c r="U1545" s="11">
        <f t="shared" si="124"/>
        <v>17173</v>
      </c>
    </row>
    <row r="1546" spans="1:21" x14ac:dyDescent="0.3">
      <c r="A1546" t="s">
        <v>2258</v>
      </c>
      <c r="B1546">
        <v>2019</v>
      </c>
      <c r="C1546" t="s">
        <v>56</v>
      </c>
      <c r="D1546" t="s">
        <v>53</v>
      </c>
      <c r="E1546">
        <v>20014</v>
      </c>
      <c r="F1546" t="s">
        <v>71</v>
      </c>
      <c r="G1546">
        <v>52700</v>
      </c>
      <c r="H1546" t="s">
        <v>20</v>
      </c>
      <c r="I1546" t="s">
        <v>58</v>
      </c>
      <c r="J1546" t="s">
        <v>2259</v>
      </c>
      <c r="K1546" t="s">
        <v>23</v>
      </c>
      <c r="L1546" t="s">
        <v>122</v>
      </c>
      <c r="M1546" t="s">
        <v>113</v>
      </c>
      <c r="N1546" t="s">
        <v>114</v>
      </c>
      <c r="O1546" t="s">
        <v>27</v>
      </c>
      <c r="P1546" s="1">
        <v>44774</v>
      </c>
      <c r="Q1546">
        <f t="shared" si="120"/>
        <v>0</v>
      </c>
      <c r="R1546">
        <f t="shared" si="121"/>
        <v>0</v>
      </c>
      <c r="S1546">
        <f t="shared" si="122"/>
        <v>0</v>
      </c>
      <c r="T1546" s="11">
        <f t="shared" si="123"/>
        <v>2019</v>
      </c>
      <c r="U1546" s="11">
        <f t="shared" si="124"/>
        <v>20014</v>
      </c>
    </row>
    <row r="1547" spans="1:21" x14ac:dyDescent="0.3">
      <c r="A1547" t="s">
        <v>2260</v>
      </c>
      <c r="B1547">
        <v>2018</v>
      </c>
      <c r="C1547" t="s">
        <v>37</v>
      </c>
      <c r="D1547" t="s">
        <v>76</v>
      </c>
      <c r="E1547">
        <v>17768</v>
      </c>
      <c r="F1547" t="s">
        <v>52</v>
      </c>
      <c r="G1547">
        <v>80800</v>
      </c>
      <c r="H1547" t="s">
        <v>45</v>
      </c>
      <c r="I1547" t="s">
        <v>39</v>
      </c>
      <c r="J1547" t="s">
        <v>2261</v>
      </c>
      <c r="K1547" t="s">
        <v>23</v>
      </c>
      <c r="L1547" t="s">
        <v>425</v>
      </c>
      <c r="M1547" t="s">
        <v>426</v>
      </c>
      <c r="N1547" t="s">
        <v>427</v>
      </c>
      <c r="O1547" t="s">
        <v>27</v>
      </c>
      <c r="P1547" s="1">
        <v>44774</v>
      </c>
      <c r="Q1547">
        <f t="shared" si="120"/>
        <v>1</v>
      </c>
      <c r="R1547">
        <f t="shared" si="121"/>
        <v>0</v>
      </c>
      <c r="S1547">
        <f t="shared" si="122"/>
        <v>0</v>
      </c>
      <c r="T1547" s="11">
        <f t="shared" si="123"/>
        <v>2018</v>
      </c>
      <c r="U1547" s="11">
        <f t="shared" si="124"/>
        <v>17768</v>
      </c>
    </row>
    <row r="1548" spans="1:21" x14ac:dyDescent="0.3">
      <c r="A1548" t="s">
        <v>2262</v>
      </c>
      <c r="B1548">
        <v>2020</v>
      </c>
      <c r="C1548" t="s">
        <v>56</v>
      </c>
      <c r="D1548" t="s">
        <v>93</v>
      </c>
      <c r="E1548">
        <v>6215</v>
      </c>
      <c r="F1548" t="s">
        <v>71</v>
      </c>
      <c r="G1548">
        <v>66700</v>
      </c>
      <c r="H1548" t="s">
        <v>20</v>
      </c>
      <c r="I1548" t="s">
        <v>21</v>
      </c>
      <c r="J1548" t="s">
        <v>668</v>
      </c>
      <c r="K1548" t="s">
        <v>23</v>
      </c>
      <c r="L1548" t="s">
        <v>806</v>
      </c>
      <c r="N1548" t="s">
        <v>149</v>
      </c>
      <c r="O1548" t="s">
        <v>27</v>
      </c>
      <c r="P1548" s="1">
        <v>44774</v>
      </c>
      <c r="Q1548">
        <f t="shared" si="120"/>
        <v>0</v>
      </c>
      <c r="R1548">
        <f t="shared" si="121"/>
        <v>0</v>
      </c>
      <c r="S1548">
        <f t="shared" si="122"/>
        <v>0</v>
      </c>
      <c r="T1548" s="11">
        <f t="shared" si="123"/>
        <v>2020</v>
      </c>
      <c r="U1548" s="11">
        <f t="shared" si="124"/>
        <v>6215</v>
      </c>
    </row>
    <row r="1549" spans="1:21" x14ac:dyDescent="0.3">
      <c r="A1549" t="s">
        <v>2263</v>
      </c>
      <c r="B1549">
        <v>2020</v>
      </c>
      <c r="C1549" t="s">
        <v>56</v>
      </c>
      <c r="D1549" t="s">
        <v>76</v>
      </c>
      <c r="E1549">
        <v>21832</v>
      </c>
      <c r="F1549" t="s">
        <v>57</v>
      </c>
      <c r="G1549">
        <v>59500</v>
      </c>
      <c r="H1549" t="s">
        <v>20</v>
      </c>
      <c r="I1549" t="s">
        <v>58</v>
      </c>
      <c r="J1549" t="s">
        <v>979</v>
      </c>
      <c r="K1549" t="s">
        <v>23</v>
      </c>
      <c r="L1549" t="s">
        <v>87</v>
      </c>
      <c r="M1549" t="s">
        <v>88</v>
      </c>
      <c r="N1549" t="s">
        <v>89</v>
      </c>
      <c r="O1549" t="s">
        <v>27</v>
      </c>
      <c r="P1549" s="1">
        <v>44774</v>
      </c>
      <c r="Q1549">
        <f t="shared" si="120"/>
        <v>0</v>
      </c>
      <c r="R1549">
        <f t="shared" si="121"/>
        <v>0</v>
      </c>
      <c r="S1549">
        <f t="shared" si="122"/>
        <v>0</v>
      </c>
      <c r="T1549" s="11">
        <f t="shared" si="123"/>
        <v>2020</v>
      </c>
      <c r="U1549" s="11">
        <f t="shared" si="124"/>
        <v>21832</v>
      </c>
    </row>
    <row r="1550" spans="1:21" x14ac:dyDescent="0.3">
      <c r="A1550" t="s">
        <v>2264</v>
      </c>
      <c r="B1550">
        <v>2019</v>
      </c>
      <c r="C1550" t="s">
        <v>56</v>
      </c>
      <c r="D1550" t="s">
        <v>53</v>
      </c>
      <c r="E1550">
        <v>32347</v>
      </c>
      <c r="F1550" t="s">
        <v>71</v>
      </c>
      <c r="G1550">
        <v>59300</v>
      </c>
      <c r="H1550" t="s">
        <v>77</v>
      </c>
      <c r="I1550" t="s">
        <v>21</v>
      </c>
      <c r="J1550" t="s">
        <v>496</v>
      </c>
      <c r="K1550" t="s">
        <v>23</v>
      </c>
      <c r="L1550" t="s">
        <v>147</v>
      </c>
      <c r="M1550" t="s">
        <v>148</v>
      </c>
      <c r="N1550" t="s">
        <v>149</v>
      </c>
      <c r="O1550" t="s">
        <v>27</v>
      </c>
      <c r="P1550" s="1">
        <v>44774</v>
      </c>
      <c r="Q1550">
        <f t="shared" si="120"/>
        <v>0</v>
      </c>
      <c r="R1550">
        <f t="shared" si="121"/>
        <v>0</v>
      </c>
      <c r="S1550">
        <f t="shared" si="122"/>
        <v>0</v>
      </c>
      <c r="T1550" s="11">
        <f t="shared" si="123"/>
        <v>2019</v>
      </c>
      <c r="U1550" s="11">
        <f t="shared" si="124"/>
        <v>32347</v>
      </c>
    </row>
    <row r="1551" spans="1:21" x14ac:dyDescent="0.3">
      <c r="A1551" t="s">
        <v>2265</v>
      </c>
      <c r="B1551">
        <v>2019</v>
      </c>
      <c r="C1551" t="s">
        <v>56</v>
      </c>
      <c r="D1551" t="s">
        <v>53</v>
      </c>
      <c r="E1551">
        <v>26960</v>
      </c>
      <c r="F1551" t="s">
        <v>71</v>
      </c>
      <c r="G1551">
        <v>52800</v>
      </c>
      <c r="H1551" t="s">
        <v>20</v>
      </c>
      <c r="I1551" t="s">
        <v>58</v>
      </c>
      <c r="J1551" t="s">
        <v>2259</v>
      </c>
      <c r="K1551" t="s">
        <v>23</v>
      </c>
      <c r="L1551" t="s">
        <v>87</v>
      </c>
      <c r="M1551" t="s">
        <v>88</v>
      </c>
      <c r="N1551" t="s">
        <v>89</v>
      </c>
      <c r="O1551" t="s">
        <v>27</v>
      </c>
      <c r="P1551" s="1">
        <v>44774</v>
      </c>
      <c r="Q1551">
        <f t="shared" si="120"/>
        <v>0</v>
      </c>
      <c r="R1551">
        <f t="shared" si="121"/>
        <v>0</v>
      </c>
      <c r="S1551">
        <f t="shared" si="122"/>
        <v>0</v>
      </c>
      <c r="T1551" s="11">
        <f t="shared" si="123"/>
        <v>2019</v>
      </c>
      <c r="U1551" s="11">
        <f t="shared" si="124"/>
        <v>26960</v>
      </c>
    </row>
    <row r="1552" spans="1:21" x14ac:dyDescent="0.3">
      <c r="A1552" t="s">
        <v>2266</v>
      </c>
      <c r="B1552">
        <v>2019</v>
      </c>
      <c r="C1552" t="s">
        <v>56</v>
      </c>
      <c r="D1552" t="s">
        <v>32</v>
      </c>
      <c r="E1552">
        <v>37095</v>
      </c>
      <c r="F1552" t="s">
        <v>57</v>
      </c>
      <c r="G1552">
        <v>51400</v>
      </c>
      <c r="H1552" t="s">
        <v>20</v>
      </c>
      <c r="I1552" t="s">
        <v>58</v>
      </c>
      <c r="J1552" t="s">
        <v>2267</v>
      </c>
      <c r="K1552" t="s">
        <v>23</v>
      </c>
      <c r="L1552" t="s">
        <v>147</v>
      </c>
      <c r="M1552" t="s">
        <v>148</v>
      </c>
      <c r="N1552" t="s">
        <v>149</v>
      </c>
      <c r="O1552" t="s">
        <v>27</v>
      </c>
      <c r="P1552" s="1">
        <v>44774</v>
      </c>
      <c r="Q1552">
        <f t="shared" si="120"/>
        <v>0</v>
      </c>
      <c r="R1552">
        <f t="shared" si="121"/>
        <v>0</v>
      </c>
      <c r="S1552">
        <f t="shared" si="122"/>
        <v>0</v>
      </c>
      <c r="T1552" s="11">
        <f t="shared" si="123"/>
        <v>2019</v>
      </c>
      <c r="U1552" s="11">
        <f t="shared" si="124"/>
        <v>37095</v>
      </c>
    </row>
    <row r="1553" spans="1:21" x14ac:dyDescent="0.3">
      <c r="A1553" t="s">
        <v>2268</v>
      </c>
      <c r="B1553">
        <v>2021</v>
      </c>
      <c r="C1553" t="s">
        <v>17</v>
      </c>
      <c r="D1553" t="s">
        <v>53</v>
      </c>
      <c r="E1553">
        <v>18373</v>
      </c>
      <c r="F1553" t="s">
        <v>207</v>
      </c>
      <c r="G1553">
        <v>80300</v>
      </c>
      <c r="H1553" t="s">
        <v>20</v>
      </c>
      <c r="I1553" t="s">
        <v>21</v>
      </c>
      <c r="J1553" t="s">
        <v>613</v>
      </c>
      <c r="K1553" t="s">
        <v>23</v>
      </c>
      <c r="O1553" t="s">
        <v>27</v>
      </c>
      <c r="P1553" s="1">
        <v>44774</v>
      </c>
      <c r="Q1553">
        <f t="shared" si="120"/>
        <v>0</v>
      </c>
      <c r="R1553">
        <f t="shared" si="121"/>
        <v>0</v>
      </c>
      <c r="S1553">
        <f t="shared" si="122"/>
        <v>1</v>
      </c>
      <c r="T1553" s="11">
        <f t="shared" si="123"/>
        <v>2021</v>
      </c>
      <c r="U1553" s="11">
        <f t="shared" si="124"/>
        <v>18373</v>
      </c>
    </row>
    <row r="1554" spans="1:21" x14ac:dyDescent="0.3">
      <c r="A1554" t="s">
        <v>2269</v>
      </c>
      <c r="B1554">
        <v>2020</v>
      </c>
      <c r="C1554" t="s">
        <v>56</v>
      </c>
      <c r="D1554" t="s">
        <v>32</v>
      </c>
      <c r="E1554">
        <v>11989</v>
      </c>
      <c r="F1554" t="s">
        <v>65</v>
      </c>
      <c r="G1554">
        <v>52400</v>
      </c>
      <c r="H1554" t="s">
        <v>20</v>
      </c>
      <c r="I1554" t="s">
        <v>78</v>
      </c>
      <c r="J1554" t="s">
        <v>317</v>
      </c>
      <c r="K1554" t="s">
        <v>23</v>
      </c>
      <c r="O1554" t="s">
        <v>27</v>
      </c>
      <c r="P1554" s="1">
        <v>44774</v>
      </c>
      <c r="Q1554">
        <f t="shared" si="120"/>
        <v>0</v>
      </c>
      <c r="R1554">
        <f t="shared" si="121"/>
        <v>0</v>
      </c>
      <c r="S1554">
        <f t="shared" si="122"/>
        <v>0</v>
      </c>
      <c r="T1554" s="11">
        <f t="shared" si="123"/>
        <v>2020</v>
      </c>
      <c r="U1554" s="11">
        <f t="shared" si="124"/>
        <v>11989</v>
      </c>
    </row>
    <row r="1555" spans="1:21" x14ac:dyDescent="0.3">
      <c r="A1555" t="s">
        <v>2270</v>
      </c>
      <c r="B1555">
        <v>2020</v>
      </c>
      <c r="C1555" t="s">
        <v>17</v>
      </c>
      <c r="D1555" t="s">
        <v>30</v>
      </c>
      <c r="E1555">
        <v>17833</v>
      </c>
      <c r="F1555" t="s">
        <v>207</v>
      </c>
      <c r="G1555">
        <v>78900</v>
      </c>
      <c r="H1555" t="s">
        <v>20</v>
      </c>
      <c r="I1555" t="s">
        <v>21</v>
      </c>
      <c r="J1555" t="s">
        <v>626</v>
      </c>
      <c r="K1555" t="s">
        <v>23</v>
      </c>
      <c r="O1555" t="s">
        <v>27</v>
      </c>
      <c r="P1555" s="1">
        <v>44774</v>
      </c>
      <c r="Q1555">
        <f t="shared" si="120"/>
        <v>0</v>
      </c>
      <c r="R1555">
        <f t="shared" si="121"/>
        <v>0</v>
      </c>
      <c r="S1555">
        <f t="shared" si="122"/>
        <v>1</v>
      </c>
      <c r="T1555" s="11">
        <f t="shared" si="123"/>
        <v>2020</v>
      </c>
      <c r="U1555" s="11">
        <f t="shared" si="124"/>
        <v>17833</v>
      </c>
    </row>
    <row r="1556" spans="1:21" x14ac:dyDescent="0.3">
      <c r="A1556" t="s">
        <v>2271</v>
      </c>
      <c r="B1556">
        <v>2022</v>
      </c>
      <c r="C1556" t="s">
        <v>37</v>
      </c>
      <c r="D1556" t="s">
        <v>32</v>
      </c>
      <c r="E1556">
        <v>1099</v>
      </c>
      <c r="F1556" t="s">
        <v>606</v>
      </c>
      <c r="G1556">
        <v>114900</v>
      </c>
      <c r="H1556" t="s">
        <v>53</v>
      </c>
      <c r="I1556" t="s">
        <v>78</v>
      </c>
      <c r="J1556" t="s">
        <v>738</v>
      </c>
      <c r="K1556" t="s">
        <v>23</v>
      </c>
      <c r="O1556" t="s">
        <v>27</v>
      </c>
      <c r="P1556" s="1">
        <v>44774</v>
      </c>
      <c r="Q1556">
        <f t="shared" si="120"/>
        <v>1</v>
      </c>
      <c r="R1556">
        <f t="shared" si="121"/>
        <v>0</v>
      </c>
      <c r="S1556">
        <f t="shared" si="122"/>
        <v>0</v>
      </c>
      <c r="T1556" s="11">
        <f t="shared" si="123"/>
        <v>2022</v>
      </c>
      <c r="U1556" s="11">
        <f t="shared" si="124"/>
        <v>1099</v>
      </c>
    </row>
    <row r="1557" spans="1:21" x14ac:dyDescent="0.3">
      <c r="A1557" t="s">
        <v>2272</v>
      </c>
      <c r="B1557">
        <v>2021</v>
      </c>
      <c r="C1557" t="s">
        <v>56</v>
      </c>
      <c r="D1557" t="s">
        <v>30</v>
      </c>
      <c r="E1557">
        <v>8592</v>
      </c>
      <c r="F1557" t="s">
        <v>57</v>
      </c>
      <c r="G1557">
        <v>67900</v>
      </c>
      <c r="H1557" t="s">
        <v>77</v>
      </c>
      <c r="I1557" t="s">
        <v>78</v>
      </c>
      <c r="J1557" t="s">
        <v>1702</v>
      </c>
      <c r="K1557" t="s">
        <v>23</v>
      </c>
      <c r="O1557" t="s">
        <v>27</v>
      </c>
      <c r="P1557" s="1">
        <v>44774</v>
      </c>
      <c r="Q1557">
        <f t="shared" si="120"/>
        <v>0</v>
      </c>
      <c r="R1557">
        <f t="shared" si="121"/>
        <v>0</v>
      </c>
      <c r="S1557">
        <f t="shared" si="122"/>
        <v>0</v>
      </c>
      <c r="T1557" s="11">
        <f t="shared" si="123"/>
        <v>2021</v>
      </c>
      <c r="U1557" s="11">
        <f t="shared" si="124"/>
        <v>8592</v>
      </c>
    </row>
    <row r="1558" spans="1:21" x14ac:dyDescent="0.3">
      <c r="A1558" t="s">
        <v>2273</v>
      </c>
      <c r="B1558">
        <v>2021</v>
      </c>
      <c r="C1558" t="s">
        <v>37</v>
      </c>
      <c r="D1558" t="s">
        <v>30</v>
      </c>
      <c r="E1558">
        <v>12967</v>
      </c>
      <c r="F1558" t="s">
        <v>211</v>
      </c>
      <c r="G1558">
        <v>117300</v>
      </c>
      <c r="H1558" t="s">
        <v>53</v>
      </c>
      <c r="I1558" t="s">
        <v>39</v>
      </c>
      <c r="J1558" t="s">
        <v>560</v>
      </c>
      <c r="K1558" t="s">
        <v>23</v>
      </c>
      <c r="L1558" t="s">
        <v>292</v>
      </c>
      <c r="M1558" t="s">
        <v>172</v>
      </c>
      <c r="N1558" t="s">
        <v>173</v>
      </c>
      <c r="O1558" t="s">
        <v>27</v>
      </c>
      <c r="P1558" s="1">
        <v>44774</v>
      </c>
      <c r="Q1558">
        <f t="shared" si="120"/>
        <v>1</v>
      </c>
      <c r="R1558">
        <f t="shared" si="121"/>
        <v>0</v>
      </c>
      <c r="S1558">
        <f t="shared" si="122"/>
        <v>0</v>
      </c>
      <c r="T1558" s="11">
        <f t="shared" si="123"/>
        <v>2021</v>
      </c>
      <c r="U1558" s="11">
        <f t="shared" si="124"/>
        <v>12967</v>
      </c>
    </row>
    <row r="1559" spans="1:21" x14ac:dyDescent="0.3">
      <c r="A1559" t="s">
        <v>2274</v>
      </c>
      <c r="B1559">
        <v>2020</v>
      </c>
      <c r="C1559" t="s">
        <v>56</v>
      </c>
      <c r="D1559" t="s">
        <v>93</v>
      </c>
      <c r="E1559">
        <v>6607</v>
      </c>
      <c r="F1559" t="s">
        <v>71</v>
      </c>
      <c r="G1559">
        <v>65200</v>
      </c>
      <c r="H1559" t="s">
        <v>20</v>
      </c>
      <c r="I1559" t="s">
        <v>21</v>
      </c>
      <c r="J1559" t="s">
        <v>668</v>
      </c>
      <c r="K1559" t="s">
        <v>23</v>
      </c>
      <c r="L1559" t="s">
        <v>292</v>
      </c>
      <c r="M1559" t="s">
        <v>172</v>
      </c>
      <c r="N1559" t="s">
        <v>173</v>
      </c>
      <c r="O1559" t="s">
        <v>27</v>
      </c>
      <c r="P1559" s="1">
        <v>44774</v>
      </c>
      <c r="Q1559">
        <f t="shared" si="120"/>
        <v>0</v>
      </c>
      <c r="R1559">
        <f t="shared" si="121"/>
        <v>0</v>
      </c>
      <c r="S1559">
        <f t="shared" si="122"/>
        <v>0</v>
      </c>
      <c r="T1559" s="11">
        <f t="shared" si="123"/>
        <v>2020</v>
      </c>
      <c r="U1559" s="11">
        <f t="shared" si="124"/>
        <v>6607</v>
      </c>
    </row>
    <row r="1560" spans="1:21" x14ac:dyDescent="0.3">
      <c r="A1560" t="s">
        <v>2275</v>
      </c>
      <c r="B1560">
        <v>2018</v>
      </c>
      <c r="C1560" t="s">
        <v>56</v>
      </c>
      <c r="D1560" t="s">
        <v>93</v>
      </c>
      <c r="E1560">
        <v>44481</v>
      </c>
      <c r="F1560" t="s">
        <v>57</v>
      </c>
      <c r="G1560">
        <v>56000</v>
      </c>
      <c r="H1560" t="s">
        <v>77</v>
      </c>
      <c r="I1560" t="s">
        <v>78</v>
      </c>
      <c r="J1560" t="s">
        <v>280</v>
      </c>
      <c r="K1560" t="s">
        <v>23</v>
      </c>
      <c r="L1560" t="s">
        <v>137</v>
      </c>
      <c r="M1560" t="s">
        <v>138</v>
      </c>
      <c r="N1560" t="s">
        <v>139</v>
      </c>
      <c r="O1560" t="s">
        <v>27</v>
      </c>
      <c r="P1560" s="1">
        <v>44774</v>
      </c>
      <c r="Q1560">
        <f t="shared" si="120"/>
        <v>0</v>
      </c>
      <c r="R1560">
        <f t="shared" si="121"/>
        <v>0</v>
      </c>
      <c r="S1560">
        <f t="shared" si="122"/>
        <v>0</v>
      </c>
      <c r="T1560" s="11">
        <f t="shared" si="123"/>
        <v>2018</v>
      </c>
      <c r="U1560" s="11">
        <f t="shared" si="124"/>
        <v>44481</v>
      </c>
    </row>
    <row r="1561" spans="1:21" x14ac:dyDescent="0.3">
      <c r="A1561" t="s">
        <v>2276</v>
      </c>
      <c r="B1561">
        <v>2019</v>
      </c>
      <c r="C1561" t="s">
        <v>56</v>
      </c>
      <c r="D1561" t="s">
        <v>32</v>
      </c>
      <c r="E1561">
        <v>20105</v>
      </c>
      <c r="F1561" t="s">
        <v>57</v>
      </c>
      <c r="G1561">
        <v>59800</v>
      </c>
      <c r="H1561" t="s">
        <v>20</v>
      </c>
      <c r="I1561" t="s">
        <v>78</v>
      </c>
      <c r="J1561" t="s">
        <v>275</v>
      </c>
      <c r="K1561" t="s">
        <v>23</v>
      </c>
      <c r="L1561" t="s">
        <v>137</v>
      </c>
      <c r="M1561" t="s">
        <v>138</v>
      </c>
      <c r="N1561" t="s">
        <v>139</v>
      </c>
      <c r="O1561" t="s">
        <v>27</v>
      </c>
      <c r="P1561" s="1">
        <v>44774</v>
      </c>
      <c r="Q1561">
        <f t="shared" si="120"/>
        <v>0</v>
      </c>
      <c r="R1561">
        <f t="shared" si="121"/>
        <v>0</v>
      </c>
      <c r="S1561">
        <f t="shared" si="122"/>
        <v>0</v>
      </c>
      <c r="T1561" s="11">
        <f t="shared" si="123"/>
        <v>2019</v>
      </c>
      <c r="U1561" s="11">
        <f t="shared" si="124"/>
        <v>20105</v>
      </c>
    </row>
    <row r="1562" spans="1:21" x14ac:dyDescent="0.3">
      <c r="A1562" t="s">
        <v>2277</v>
      </c>
      <c r="B1562">
        <v>2019</v>
      </c>
      <c r="C1562" t="s">
        <v>56</v>
      </c>
      <c r="D1562" t="s">
        <v>53</v>
      </c>
      <c r="E1562">
        <v>55142</v>
      </c>
      <c r="F1562" t="s">
        <v>65</v>
      </c>
      <c r="G1562">
        <v>46300</v>
      </c>
      <c r="H1562" t="s">
        <v>20</v>
      </c>
      <c r="I1562" t="s">
        <v>78</v>
      </c>
      <c r="J1562" t="s">
        <v>534</v>
      </c>
      <c r="K1562" t="s">
        <v>23</v>
      </c>
      <c r="L1562" t="s">
        <v>609</v>
      </c>
      <c r="N1562" t="s">
        <v>139</v>
      </c>
      <c r="O1562" t="s">
        <v>27</v>
      </c>
      <c r="P1562" s="1">
        <v>44774</v>
      </c>
      <c r="Q1562">
        <f t="shared" si="120"/>
        <v>0</v>
      </c>
      <c r="R1562">
        <f t="shared" si="121"/>
        <v>0</v>
      </c>
      <c r="S1562">
        <f t="shared" si="122"/>
        <v>0</v>
      </c>
      <c r="T1562" s="11">
        <f t="shared" si="123"/>
        <v>2019</v>
      </c>
      <c r="U1562" s="11">
        <f t="shared" si="124"/>
        <v>55142</v>
      </c>
    </row>
    <row r="1563" spans="1:21" x14ac:dyDescent="0.3">
      <c r="A1563" t="s">
        <v>2278</v>
      </c>
      <c r="B1563">
        <v>2019</v>
      </c>
      <c r="C1563" t="s">
        <v>29</v>
      </c>
      <c r="D1563" t="s">
        <v>32</v>
      </c>
      <c r="E1563">
        <v>28818</v>
      </c>
      <c r="F1563" t="s">
        <v>177</v>
      </c>
      <c r="G1563">
        <v>106100</v>
      </c>
      <c r="H1563" t="s">
        <v>53</v>
      </c>
      <c r="I1563" t="s">
        <v>110</v>
      </c>
      <c r="J1563" t="s">
        <v>1008</v>
      </c>
      <c r="K1563" t="s">
        <v>23</v>
      </c>
      <c r="L1563" t="s">
        <v>197</v>
      </c>
      <c r="M1563" t="s">
        <v>198</v>
      </c>
      <c r="N1563" t="s">
        <v>26</v>
      </c>
      <c r="O1563" t="s">
        <v>27</v>
      </c>
      <c r="P1563" s="1">
        <v>44774</v>
      </c>
      <c r="Q1563">
        <f t="shared" si="120"/>
        <v>0</v>
      </c>
      <c r="R1563">
        <f t="shared" si="121"/>
        <v>1</v>
      </c>
      <c r="S1563">
        <f t="shared" si="122"/>
        <v>0</v>
      </c>
      <c r="T1563" s="11">
        <f t="shared" si="123"/>
        <v>2019</v>
      </c>
      <c r="U1563" s="11">
        <f t="shared" si="124"/>
        <v>28818</v>
      </c>
    </row>
    <row r="1564" spans="1:21" x14ac:dyDescent="0.3">
      <c r="A1564" t="s">
        <v>2279</v>
      </c>
      <c r="B1564">
        <v>2018</v>
      </c>
      <c r="C1564" t="s">
        <v>29</v>
      </c>
      <c r="D1564" t="s">
        <v>32</v>
      </c>
      <c r="E1564">
        <v>51070</v>
      </c>
      <c r="F1564" t="s">
        <v>52</v>
      </c>
      <c r="G1564">
        <v>77800</v>
      </c>
      <c r="H1564" t="s">
        <v>53</v>
      </c>
      <c r="I1564" t="s">
        <v>21</v>
      </c>
      <c r="J1564" t="s">
        <v>2280</v>
      </c>
      <c r="K1564" t="s">
        <v>23</v>
      </c>
      <c r="L1564" t="s">
        <v>41</v>
      </c>
      <c r="M1564" t="s">
        <v>42</v>
      </c>
      <c r="N1564" t="s">
        <v>26</v>
      </c>
      <c r="O1564" t="s">
        <v>27</v>
      </c>
      <c r="P1564" s="1">
        <v>44774</v>
      </c>
      <c r="Q1564">
        <f t="shared" si="120"/>
        <v>0</v>
      </c>
      <c r="R1564">
        <f t="shared" si="121"/>
        <v>1</v>
      </c>
      <c r="S1564">
        <f t="shared" si="122"/>
        <v>0</v>
      </c>
      <c r="T1564" s="11">
        <f t="shared" si="123"/>
        <v>2018</v>
      </c>
      <c r="U1564" s="11">
        <f t="shared" si="124"/>
        <v>51070</v>
      </c>
    </row>
    <row r="1565" spans="1:21" x14ac:dyDescent="0.3">
      <c r="A1565" t="s">
        <v>2281</v>
      </c>
      <c r="B1565">
        <v>2019</v>
      </c>
      <c r="C1565" t="s">
        <v>56</v>
      </c>
      <c r="D1565" t="s">
        <v>53</v>
      </c>
      <c r="E1565">
        <v>17084</v>
      </c>
      <c r="F1565" t="s">
        <v>57</v>
      </c>
      <c r="G1565">
        <v>61700</v>
      </c>
      <c r="H1565" t="s">
        <v>20</v>
      </c>
      <c r="I1565" t="s">
        <v>78</v>
      </c>
      <c r="J1565" t="s">
        <v>564</v>
      </c>
      <c r="K1565" t="s">
        <v>23</v>
      </c>
      <c r="L1565" t="s">
        <v>197</v>
      </c>
      <c r="M1565" t="s">
        <v>198</v>
      </c>
      <c r="N1565" t="s">
        <v>26</v>
      </c>
      <c r="O1565" t="s">
        <v>27</v>
      </c>
      <c r="P1565" s="1">
        <v>44774</v>
      </c>
      <c r="Q1565">
        <f t="shared" si="120"/>
        <v>0</v>
      </c>
      <c r="R1565">
        <f t="shared" si="121"/>
        <v>0</v>
      </c>
      <c r="S1565">
        <f t="shared" si="122"/>
        <v>0</v>
      </c>
      <c r="T1565" s="11">
        <f t="shared" si="123"/>
        <v>2019</v>
      </c>
      <c r="U1565" s="11">
        <f t="shared" si="124"/>
        <v>17084</v>
      </c>
    </row>
    <row r="1566" spans="1:21" x14ac:dyDescent="0.3">
      <c r="A1566" t="s">
        <v>2282</v>
      </c>
      <c r="B1566">
        <v>2020</v>
      </c>
      <c r="C1566" t="s">
        <v>56</v>
      </c>
      <c r="D1566" t="s">
        <v>93</v>
      </c>
      <c r="E1566">
        <v>18111</v>
      </c>
      <c r="F1566" t="s">
        <v>57</v>
      </c>
      <c r="G1566">
        <v>60200</v>
      </c>
      <c r="H1566" t="s">
        <v>20</v>
      </c>
      <c r="I1566" t="s">
        <v>58</v>
      </c>
      <c r="J1566" t="s">
        <v>842</v>
      </c>
      <c r="K1566" t="s">
        <v>23</v>
      </c>
      <c r="L1566" t="s">
        <v>197</v>
      </c>
      <c r="M1566" t="s">
        <v>198</v>
      </c>
      <c r="N1566" t="s">
        <v>26</v>
      </c>
      <c r="O1566" t="s">
        <v>27</v>
      </c>
      <c r="P1566" s="1">
        <v>44774</v>
      </c>
      <c r="Q1566">
        <f t="shared" si="120"/>
        <v>0</v>
      </c>
      <c r="R1566">
        <f t="shared" si="121"/>
        <v>0</v>
      </c>
      <c r="S1566">
        <f t="shared" si="122"/>
        <v>0</v>
      </c>
      <c r="T1566" s="11">
        <f t="shared" si="123"/>
        <v>2020</v>
      </c>
      <c r="U1566" s="11">
        <f t="shared" si="124"/>
        <v>18111</v>
      </c>
    </row>
    <row r="1567" spans="1:21" x14ac:dyDescent="0.3">
      <c r="A1567" t="s">
        <v>2283</v>
      </c>
      <c r="B1567">
        <v>2020</v>
      </c>
      <c r="C1567" t="s">
        <v>56</v>
      </c>
      <c r="D1567" t="s">
        <v>30</v>
      </c>
      <c r="E1567">
        <v>18496</v>
      </c>
      <c r="F1567" t="s">
        <v>65</v>
      </c>
      <c r="G1567">
        <v>52900</v>
      </c>
      <c r="H1567" t="s">
        <v>20</v>
      </c>
      <c r="I1567" t="s">
        <v>78</v>
      </c>
      <c r="J1567" t="s">
        <v>840</v>
      </c>
      <c r="K1567" t="s">
        <v>23</v>
      </c>
      <c r="L1567" t="s">
        <v>456</v>
      </c>
      <c r="M1567" t="s">
        <v>164</v>
      </c>
      <c r="N1567" t="s">
        <v>26</v>
      </c>
      <c r="O1567" t="s">
        <v>27</v>
      </c>
      <c r="P1567" s="1">
        <v>44774</v>
      </c>
      <c r="Q1567">
        <f t="shared" si="120"/>
        <v>0</v>
      </c>
      <c r="R1567">
        <f t="shared" si="121"/>
        <v>0</v>
      </c>
      <c r="S1567">
        <f t="shared" si="122"/>
        <v>0</v>
      </c>
      <c r="T1567" s="11">
        <f t="shared" si="123"/>
        <v>2020</v>
      </c>
      <c r="U1567" s="11">
        <f t="shared" si="124"/>
        <v>18496</v>
      </c>
    </row>
    <row r="1568" spans="1:21" x14ac:dyDescent="0.3">
      <c r="A1568" t="s">
        <v>2284</v>
      </c>
      <c r="B1568">
        <v>2019</v>
      </c>
      <c r="C1568" t="s">
        <v>56</v>
      </c>
      <c r="D1568" t="s">
        <v>30</v>
      </c>
      <c r="E1568">
        <v>22759</v>
      </c>
      <c r="F1568" t="s">
        <v>57</v>
      </c>
      <c r="G1568">
        <v>59300</v>
      </c>
      <c r="H1568" t="s">
        <v>77</v>
      </c>
      <c r="I1568" t="s">
        <v>78</v>
      </c>
      <c r="J1568" t="s">
        <v>1702</v>
      </c>
      <c r="K1568" t="s">
        <v>23</v>
      </c>
      <c r="L1568" t="s">
        <v>205</v>
      </c>
      <c r="M1568" t="s">
        <v>42</v>
      </c>
      <c r="N1568" t="s">
        <v>26</v>
      </c>
      <c r="O1568" t="s">
        <v>27</v>
      </c>
      <c r="P1568" s="1">
        <v>44774</v>
      </c>
      <c r="Q1568">
        <f t="shared" si="120"/>
        <v>0</v>
      </c>
      <c r="R1568">
        <f t="shared" si="121"/>
        <v>0</v>
      </c>
      <c r="S1568">
        <f t="shared" si="122"/>
        <v>0</v>
      </c>
      <c r="T1568" s="11">
        <f t="shared" si="123"/>
        <v>2019</v>
      </c>
      <c r="U1568" s="11">
        <f t="shared" si="124"/>
        <v>22759</v>
      </c>
    </row>
    <row r="1569" spans="1:21" x14ac:dyDescent="0.3">
      <c r="A1569" t="s">
        <v>2285</v>
      </c>
      <c r="B1569">
        <v>2019</v>
      </c>
      <c r="C1569" t="s">
        <v>56</v>
      </c>
      <c r="D1569" t="s">
        <v>32</v>
      </c>
      <c r="E1569">
        <v>37068</v>
      </c>
      <c r="F1569" t="s">
        <v>65</v>
      </c>
      <c r="G1569">
        <v>51200</v>
      </c>
      <c r="H1569" t="s">
        <v>20</v>
      </c>
      <c r="I1569" t="s">
        <v>58</v>
      </c>
      <c r="J1569" t="s">
        <v>192</v>
      </c>
      <c r="K1569" t="s">
        <v>23</v>
      </c>
      <c r="L1569" t="s">
        <v>205</v>
      </c>
      <c r="M1569" t="s">
        <v>42</v>
      </c>
      <c r="N1569" t="s">
        <v>26</v>
      </c>
      <c r="O1569" t="s">
        <v>27</v>
      </c>
      <c r="P1569" s="1">
        <v>44774</v>
      </c>
      <c r="Q1569">
        <f t="shared" si="120"/>
        <v>0</v>
      </c>
      <c r="R1569">
        <f t="shared" si="121"/>
        <v>0</v>
      </c>
      <c r="S1569">
        <f t="shared" si="122"/>
        <v>0</v>
      </c>
      <c r="T1569" s="11">
        <f t="shared" si="123"/>
        <v>2019</v>
      </c>
      <c r="U1569" s="11">
        <f t="shared" si="124"/>
        <v>37068</v>
      </c>
    </row>
    <row r="1570" spans="1:21" x14ac:dyDescent="0.3">
      <c r="A1570" t="s">
        <v>2286</v>
      </c>
      <c r="B1570">
        <v>2019</v>
      </c>
      <c r="C1570" t="s">
        <v>56</v>
      </c>
      <c r="D1570" t="s">
        <v>30</v>
      </c>
      <c r="E1570">
        <v>35496</v>
      </c>
      <c r="F1570" t="s">
        <v>57</v>
      </c>
      <c r="G1570">
        <v>55500</v>
      </c>
      <c r="H1570" t="s">
        <v>77</v>
      </c>
      <c r="I1570" t="s">
        <v>78</v>
      </c>
      <c r="J1570" t="s">
        <v>1702</v>
      </c>
      <c r="K1570" t="s">
        <v>23</v>
      </c>
      <c r="L1570" t="s">
        <v>205</v>
      </c>
      <c r="M1570" t="s">
        <v>42</v>
      </c>
      <c r="N1570" t="s">
        <v>26</v>
      </c>
      <c r="O1570" t="s">
        <v>27</v>
      </c>
      <c r="P1570" s="1">
        <v>44774</v>
      </c>
      <c r="Q1570">
        <f t="shared" si="120"/>
        <v>0</v>
      </c>
      <c r="R1570">
        <f t="shared" si="121"/>
        <v>0</v>
      </c>
      <c r="S1570">
        <f t="shared" si="122"/>
        <v>0</v>
      </c>
      <c r="T1570" s="11">
        <f t="shared" si="123"/>
        <v>2019</v>
      </c>
      <c r="U1570" s="11">
        <f t="shared" si="124"/>
        <v>35496</v>
      </c>
    </row>
    <row r="1571" spans="1:21" x14ac:dyDescent="0.3">
      <c r="A1571" t="s">
        <v>2287</v>
      </c>
      <c r="B1571">
        <v>2018</v>
      </c>
      <c r="C1571" t="s">
        <v>37</v>
      </c>
      <c r="D1571" t="s">
        <v>51</v>
      </c>
      <c r="E1571">
        <v>37129</v>
      </c>
      <c r="F1571" t="s">
        <v>52</v>
      </c>
      <c r="G1571">
        <v>67000</v>
      </c>
      <c r="H1571" t="s">
        <v>53</v>
      </c>
      <c r="I1571" t="s">
        <v>78</v>
      </c>
      <c r="J1571" t="s">
        <v>2288</v>
      </c>
      <c r="K1571" t="s">
        <v>23</v>
      </c>
      <c r="L1571" t="s">
        <v>158</v>
      </c>
      <c r="M1571" t="s">
        <v>42</v>
      </c>
      <c r="N1571" t="s">
        <v>26</v>
      </c>
      <c r="O1571" t="s">
        <v>27</v>
      </c>
      <c r="P1571" s="1">
        <v>44774</v>
      </c>
      <c r="Q1571">
        <f t="shared" si="120"/>
        <v>1</v>
      </c>
      <c r="R1571">
        <f t="shared" si="121"/>
        <v>0</v>
      </c>
      <c r="S1571">
        <f t="shared" si="122"/>
        <v>0</v>
      </c>
      <c r="T1571" s="11">
        <f t="shared" si="123"/>
        <v>2018</v>
      </c>
      <c r="U1571" s="11">
        <f t="shared" si="124"/>
        <v>37129</v>
      </c>
    </row>
    <row r="1572" spans="1:21" x14ac:dyDescent="0.3">
      <c r="A1572" t="s">
        <v>2289</v>
      </c>
      <c r="B1572">
        <v>2022</v>
      </c>
      <c r="C1572" t="s">
        <v>29</v>
      </c>
      <c r="D1572" t="s">
        <v>51</v>
      </c>
      <c r="E1572">
        <v>1254</v>
      </c>
      <c r="F1572" t="s">
        <v>393</v>
      </c>
      <c r="G1572">
        <v>128700</v>
      </c>
      <c r="H1572" t="s">
        <v>53</v>
      </c>
      <c r="J1572" t="s">
        <v>2290</v>
      </c>
      <c r="K1572" t="s">
        <v>23</v>
      </c>
      <c r="L1572" t="s">
        <v>183</v>
      </c>
      <c r="M1572" t="s">
        <v>25</v>
      </c>
      <c r="N1572" t="s">
        <v>26</v>
      </c>
      <c r="O1572" t="s">
        <v>27</v>
      </c>
      <c r="P1572" s="1">
        <v>44774</v>
      </c>
      <c r="Q1572">
        <f t="shared" si="120"/>
        <v>0</v>
      </c>
      <c r="R1572">
        <f t="shared" si="121"/>
        <v>1</v>
      </c>
      <c r="S1572">
        <f t="shared" si="122"/>
        <v>0</v>
      </c>
      <c r="T1572" s="11">
        <f t="shared" si="123"/>
        <v>2022</v>
      </c>
      <c r="U1572" s="11">
        <f t="shared" si="124"/>
        <v>1254</v>
      </c>
    </row>
    <row r="1573" spans="1:21" x14ac:dyDescent="0.3">
      <c r="A1573" t="s">
        <v>2291</v>
      </c>
      <c r="B1573">
        <v>2020</v>
      </c>
      <c r="C1573" t="s">
        <v>29</v>
      </c>
      <c r="D1573" t="s">
        <v>51</v>
      </c>
      <c r="E1573">
        <v>26773</v>
      </c>
      <c r="F1573" t="s">
        <v>31</v>
      </c>
      <c r="G1573">
        <v>109700</v>
      </c>
      <c r="H1573" t="s">
        <v>53</v>
      </c>
      <c r="I1573" t="s">
        <v>21</v>
      </c>
      <c r="J1573" t="s">
        <v>2292</v>
      </c>
      <c r="K1573" t="s">
        <v>23</v>
      </c>
      <c r="L1573" t="s">
        <v>183</v>
      </c>
      <c r="M1573" t="s">
        <v>25</v>
      </c>
      <c r="N1573" t="s">
        <v>26</v>
      </c>
      <c r="O1573" t="s">
        <v>27</v>
      </c>
      <c r="P1573" s="1">
        <v>44774</v>
      </c>
      <c r="Q1573">
        <f t="shared" si="120"/>
        <v>0</v>
      </c>
      <c r="R1573">
        <f t="shared" si="121"/>
        <v>1</v>
      </c>
      <c r="S1573">
        <f t="shared" si="122"/>
        <v>0</v>
      </c>
      <c r="T1573" s="11">
        <f t="shared" si="123"/>
        <v>2020</v>
      </c>
      <c r="U1573" s="11">
        <f t="shared" si="124"/>
        <v>26773</v>
      </c>
    </row>
    <row r="1574" spans="1:21" x14ac:dyDescent="0.3">
      <c r="A1574" t="s">
        <v>2293</v>
      </c>
      <c r="B1574">
        <v>2021</v>
      </c>
      <c r="C1574" t="s">
        <v>29</v>
      </c>
      <c r="D1574" t="s">
        <v>32</v>
      </c>
      <c r="E1574">
        <v>22118</v>
      </c>
      <c r="F1574" t="s">
        <v>31</v>
      </c>
      <c r="G1574">
        <v>110300</v>
      </c>
      <c r="H1574" t="s">
        <v>53</v>
      </c>
      <c r="I1574" t="s">
        <v>21</v>
      </c>
      <c r="J1574" t="s">
        <v>2237</v>
      </c>
      <c r="K1574" t="s">
        <v>23</v>
      </c>
      <c r="L1574" t="s">
        <v>24</v>
      </c>
      <c r="M1574" t="s">
        <v>25</v>
      </c>
      <c r="N1574" t="s">
        <v>26</v>
      </c>
      <c r="O1574" t="s">
        <v>27</v>
      </c>
      <c r="P1574" s="1">
        <v>44774</v>
      </c>
      <c r="Q1574">
        <f t="shared" si="120"/>
        <v>0</v>
      </c>
      <c r="R1574">
        <f t="shared" si="121"/>
        <v>1</v>
      </c>
      <c r="S1574">
        <f t="shared" si="122"/>
        <v>0</v>
      </c>
      <c r="T1574" s="11">
        <f t="shared" si="123"/>
        <v>2021</v>
      </c>
      <c r="U1574" s="11">
        <f t="shared" si="124"/>
        <v>22118</v>
      </c>
    </row>
    <row r="1575" spans="1:21" x14ac:dyDescent="0.3">
      <c r="A1575" t="s">
        <v>2294</v>
      </c>
      <c r="B1575">
        <v>2018</v>
      </c>
      <c r="C1575" t="s">
        <v>56</v>
      </c>
      <c r="D1575" t="s">
        <v>93</v>
      </c>
      <c r="E1575">
        <v>32634</v>
      </c>
      <c r="F1575" t="s">
        <v>234</v>
      </c>
      <c r="G1575">
        <v>58800</v>
      </c>
      <c r="H1575" t="s">
        <v>20</v>
      </c>
      <c r="I1575" t="s">
        <v>58</v>
      </c>
      <c r="J1575" t="s">
        <v>541</v>
      </c>
      <c r="K1575" t="s">
        <v>23</v>
      </c>
      <c r="L1575" t="s">
        <v>193</v>
      </c>
      <c r="M1575" t="s">
        <v>194</v>
      </c>
      <c r="N1575" t="s">
        <v>26</v>
      </c>
      <c r="O1575" t="s">
        <v>27</v>
      </c>
      <c r="P1575" s="1">
        <v>44774</v>
      </c>
      <c r="Q1575">
        <f t="shared" si="120"/>
        <v>0</v>
      </c>
      <c r="R1575">
        <f t="shared" si="121"/>
        <v>0</v>
      </c>
      <c r="S1575">
        <f t="shared" si="122"/>
        <v>0</v>
      </c>
      <c r="T1575" s="11">
        <f t="shared" si="123"/>
        <v>2018</v>
      </c>
      <c r="U1575" s="11">
        <f t="shared" si="124"/>
        <v>32634</v>
      </c>
    </row>
    <row r="1576" spans="1:21" x14ac:dyDescent="0.3">
      <c r="A1576" t="s">
        <v>2295</v>
      </c>
      <c r="B1576">
        <v>2019</v>
      </c>
      <c r="C1576" t="s">
        <v>56</v>
      </c>
      <c r="D1576" t="s">
        <v>30</v>
      </c>
      <c r="E1576">
        <v>11981</v>
      </c>
      <c r="F1576" t="s">
        <v>65</v>
      </c>
      <c r="G1576">
        <v>54500</v>
      </c>
      <c r="H1576" t="s">
        <v>20</v>
      </c>
      <c r="I1576" t="s">
        <v>78</v>
      </c>
      <c r="J1576" t="s">
        <v>840</v>
      </c>
      <c r="K1576" t="s">
        <v>23</v>
      </c>
      <c r="L1576" t="s">
        <v>876</v>
      </c>
      <c r="M1576" t="s">
        <v>220</v>
      </c>
      <c r="N1576" t="s">
        <v>221</v>
      </c>
      <c r="O1576" t="s">
        <v>27</v>
      </c>
      <c r="P1576" s="1">
        <v>44774</v>
      </c>
      <c r="Q1576">
        <f t="shared" si="120"/>
        <v>0</v>
      </c>
      <c r="R1576">
        <f t="shared" si="121"/>
        <v>0</v>
      </c>
      <c r="S1576">
        <f t="shared" si="122"/>
        <v>0</v>
      </c>
      <c r="T1576" s="11">
        <f t="shared" si="123"/>
        <v>2019</v>
      </c>
      <c r="U1576" s="11">
        <f t="shared" si="124"/>
        <v>11981</v>
      </c>
    </row>
    <row r="1577" spans="1:21" x14ac:dyDescent="0.3">
      <c r="A1577" t="s">
        <v>2296</v>
      </c>
      <c r="B1577">
        <v>2018</v>
      </c>
      <c r="C1577" t="s">
        <v>56</v>
      </c>
      <c r="D1577" t="s">
        <v>93</v>
      </c>
      <c r="E1577">
        <v>17231</v>
      </c>
      <c r="F1577" t="s">
        <v>234</v>
      </c>
      <c r="G1577">
        <v>54800</v>
      </c>
      <c r="H1577" t="s">
        <v>20</v>
      </c>
      <c r="I1577" t="s">
        <v>58</v>
      </c>
      <c r="J1577" t="s">
        <v>541</v>
      </c>
      <c r="K1577" t="s">
        <v>23</v>
      </c>
      <c r="L1577" t="s">
        <v>24</v>
      </c>
      <c r="M1577" t="s">
        <v>25</v>
      </c>
      <c r="N1577" t="s">
        <v>26</v>
      </c>
      <c r="O1577" t="s">
        <v>27</v>
      </c>
      <c r="P1577" s="1">
        <v>44774</v>
      </c>
      <c r="Q1577">
        <f t="shared" si="120"/>
        <v>0</v>
      </c>
      <c r="R1577">
        <f t="shared" si="121"/>
        <v>0</v>
      </c>
      <c r="S1577">
        <f t="shared" si="122"/>
        <v>0</v>
      </c>
      <c r="T1577" s="11">
        <f t="shared" si="123"/>
        <v>2018</v>
      </c>
      <c r="U1577" s="11">
        <f t="shared" si="124"/>
        <v>17231</v>
      </c>
    </row>
    <row r="1578" spans="1:21" x14ac:dyDescent="0.3">
      <c r="A1578" t="s">
        <v>2297</v>
      </c>
      <c r="B1578">
        <v>2019</v>
      </c>
      <c r="C1578" t="s">
        <v>56</v>
      </c>
      <c r="D1578" t="s">
        <v>53</v>
      </c>
      <c r="E1578">
        <v>28416</v>
      </c>
      <c r="F1578" t="s">
        <v>65</v>
      </c>
      <c r="G1578">
        <v>49800</v>
      </c>
      <c r="H1578" t="s">
        <v>20</v>
      </c>
      <c r="I1578" t="s">
        <v>58</v>
      </c>
      <c r="J1578" t="s">
        <v>66</v>
      </c>
      <c r="K1578" t="s">
        <v>23</v>
      </c>
      <c r="L1578" t="s">
        <v>183</v>
      </c>
      <c r="M1578" t="s">
        <v>25</v>
      </c>
      <c r="N1578" t="s">
        <v>26</v>
      </c>
      <c r="O1578" t="s">
        <v>27</v>
      </c>
      <c r="P1578" s="1">
        <v>44774</v>
      </c>
      <c r="Q1578">
        <f t="shared" si="120"/>
        <v>0</v>
      </c>
      <c r="R1578">
        <f t="shared" si="121"/>
        <v>0</v>
      </c>
      <c r="S1578">
        <f t="shared" si="122"/>
        <v>0</v>
      </c>
      <c r="T1578" s="11">
        <f t="shared" si="123"/>
        <v>2019</v>
      </c>
      <c r="U1578" s="11">
        <f t="shared" si="124"/>
        <v>28416</v>
      </c>
    </row>
    <row r="1579" spans="1:21" x14ac:dyDescent="0.3">
      <c r="A1579" t="s">
        <v>2298</v>
      </c>
      <c r="B1579">
        <v>2018</v>
      </c>
      <c r="C1579" t="s">
        <v>56</v>
      </c>
      <c r="D1579" t="s">
        <v>32</v>
      </c>
      <c r="E1579">
        <v>74865</v>
      </c>
      <c r="F1579" t="s">
        <v>234</v>
      </c>
      <c r="G1579">
        <v>48400</v>
      </c>
      <c r="H1579" t="s">
        <v>20</v>
      </c>
      <c r="I1579" t="s">
        <v>78</v>
      </c>
      <c r="J1579" t="s">
        <v>729</v>
      </c>
      <c r="K1579" t="s">
        <v>23</v>
      </c>
      <c r="L1579" t="s">
        <v>24</v>
      </c>
      <c r="M1579" t="s">
        <v>25</v>
      </c>
      <c r="N1579" t="s">
        <v>26</v>
      </c>
      <c r="O1579" t="s">
        <v>27</v>
      </c>
      <c r="P1579" s="1">
        <v>44774</v>
      </c>
      <c r="Q1579">
        <f t="shared" si="120"/>
        <v>0</v>
      </c>
      <c r="R1579">
        <f t="shared" si="121"/>
        <v>0</v>
      </c>
      <c r="S1579">
        <f t="shared" si="122"/>
        <v>0</v>
      </c>
      <c r="T1579" s="11">
        <f t="shared" si="123"/>
        <v>2018</v>
      </c>
      <c r="U1579" s="11">
        <f t="shared" si="124"/>
        <v>74865</v>
      </c>
    </row>
    <row r="1580" spans="1:21" x14ac:dyDescent="0.3">
      <c r="A1580" t="s">
        <v>2299</v>
      </c>
      <c r="B1580">
        <v>2019</v>
      </c>
      <c r="C1580" t="s">
        <v>56</v>
      </c>
      <c r="D1580" t="s">
        <v>93</v>
      </c>
      <c r="E1580">
        <v>2849</v>
      </c>
      <c r="F1580" t="s">
        <v>57</v>
      </c>
      <c r="G1580">
        <v>56500</v>
      </c>
      <c r="H1580" t="s">
        <v>77</v>
      </c>
      <c r="I1580" t="s">
        <v>58</v>
      </c>
      <c r="J1580" t="s">
        <v>232</v>
      </c>
      <c r="K1580" t="s">
        <v>23</v>
      </c>
      <c r="L1580" t="s">
        <v>447</v>
      </c>
      <c r="N1580" t="s">
        <v>203</v>
      </c>
      <c r="O1580" t="s">
        <v>27</v>
      </c>
      <c r="P1580" s="1">
        <v>44774</v>
      </c>
      <c r="Q1580">
        <f t="shared" si="120"/>
        <v>0</v>
      </c>
      <c r="R1580">
        <f t="shared" si="121"/>
        <v>0</v>
      </c>
      <c r="S1580">
        <f t="shared" si="122"/>
        <v>0</v>
      </c>
      <c r="T1580" s="11">
        <f t="shared" si="123"/>
        <v>2019</v>
      </c>
      <c r="U1580" s="11">
        <f t="shared" si="124"/>
        <v>2849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7F5D-D124-466B-80CC-644CC51B3316}">
  <dimension ref="A1:E13"/>
  <sheetViews>
    <sheetView topLeftCell="A2" workbookViewId="0">
      <selection activeCell="N15" sqref="N15"/>
    </sheetView>
  </sheetViews>
  <sheetFormatPr defaultRowHeight="14.4" x14ac:dyDescent="0.3"/>
  <cols>
    <col min="2" max="2" width="21.109375" bestFit="1" customWidth="1"/>
    <col min="3" max="3" width="21" bestFit="1" customWidth="1"/>
    <col min="4" max="4" width="22.6640625" bestFit="1" customWidth="1"/>
    <col min="5" max="5" width="24" bestFit="1" customWidth="1"/>
    <col min="6" max="6" width="11.44140625" bestFit="1" customWidth="1"/>
  </cols>
  <sheetData>
    <row r="1" spans="1:5" x14ac:dyDescent="0.3">
      <c r="A1" s="2"/>
      <c r="B1" s="2"/>
      <c r="C1" s="2"/>
      <c r="D1" s="2"/>
      <c r="E1" s="2"/>
    </row>
    <row r="9" spans="1:5" x14ac:dyDescent="0.3">
      <c r="A9" t="s">
        <v>2300</v>
      </c>
      <c r="B9" t="s">
        <v>2301</v>
      </c>
      <c r="C9" t="s">
        <v>2302</v>
      </c>
      <c r="D9" t="s">
        <v>2303</v>
      </c>
      <c r="E9" t="s">
        <v>2304</v>
      </c>
    </row>
    <row r="10" spans="1:5" x14ac:dyDescent="0.3">
      <c r="A10" t="s">
        <v>56</v>
      </c>
      <c r="B10">
        <f>COUNTIF(Table1[model],"m3")</f>
        <v>906</v>
      </c>
      <c r="C10">
        <f>AVERAGEIF(Table1[model],"m3",Table1[sold_price])</f>
        <v>53875.496688741725</v>
      </c>
      <c r="D10" cm="1">
        <f t="array" ref="D10">MEDIAN(_xlfn._xlws.FILTER(Table1[sold_price],Table1[model]="m3"))</f>
        <v>53000</v>
      </c>
      <c r="E10" cm="1">
        <f t="array" ref="E10">_xlfn.STDEV.S(_xlfn._xlws.FILTER(Table1[sold_price],Table1[model]="m3"))</f>
        <v>6279.6537211856084</v>
      </c>
    </row>
    <row r="11" spans="1:5" x14ac:dyDescent="0.3">
      <c r="A11" t="s">
        <v>37</v>
      </c>
      <c r="B11">
        <f>COUNTIF(Table1[model],"ms")</f>
        <v>194</v>
      </c>
      <c r="C11">
        <f>AVERAGEIF(Table1[model],"ms",Table1[sold_price])</f>
        <v>97636.597938144332</v>
      </c>
      <c r="D11" cm="1">
        <f t="array" ref="D11">MEDIAN(_xlfn._xlws.FILTER(Table1[sold_price],Table1[model]="ms"))</f>
        <v>94900</v>
      </c>
      <c r="E11" cm="1">
        <f t="array" ref="E11">_xlfn.STDEV.S(_xlfn._xlws.FILTER(Table1[sold_price],Table1[model]="ms"))</f>
        <v>22707.232208783673</v>
      </c>
    </row>
    <row r="12" spans="1:5" x14ac:dyDescent="0.3">
      <c r="A12" t="s">
        <v>29</v>
      </c>
      <c r="B12">
        <f>COUNTIF(Table1[model],"mx")</f>
        <v>239</v>
      </c>
      <c r="C12">
        <f>AVERAGEIF(Table1[model],"mx",Table1[sold_price])</f>
        <v>94863.179916317997</v>
      </c>
      <c r="D12" cm="1">
        <f t="array" ref="D12">MEDIAN(_xlfn._xlws.FILTER(Table1[sold_price],Table1[model]="mx"))</f>
        <v>92200</v>
      </c>
      <c r="E12" cm="1">
        <f t="array" ref="E12">_xlfn.STDEV.S(_xlfn._xlws.FILTER(Table1[sold_price],Table1[model]="mx"))</f>
        <v>17643.049906796525</v>
      </c>
    </row>
    <row r="13" spans="1:5" x14ac:dyDescent="0.3">
      <c r="A13" t="s">
        <v>17</v>
      </c>
      <c r="B13">
        <f>COUNTIF(Table1[model],"my")</f>
        <v>240</v>
      </c>
      <c r="C13">
        <f>AVERAGEIF(Table1[model],"my",Table1[sold_price])</f>
        <v>73187.916666666672</v>
      </c>
      <c r="D13" cm="1">
        <f t="array" ref="D13">MEDIAN(_xlfn._xlws.FILTER(Table1[sold_price],Table1[model]="my"))</f>
        <v>73000</v>
      </c>
      <c r="E13" cm="1">
        <f t="array" ref="E13">_xlfn.STDEV.S(_xlfn._xlws.FILTER(Table1[sold_price],Table1[model]="my"))</f>
        <v>5515.5296002531932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F804-B65F-479F-8832-5C521D27624A}">
  <dimension ref="C3:E21"/>
  <sheetViews>
    <sheetView workbookViewId="0">
      <selection activeCell="D9" sqref="D9"/>
    </sheetView>
  </sheetViews>
  <sheetFormatPr defaultRowHeight="14.4" x14ac:dyDescent="0.3"/>
  <cols>
    <col min="3" max="4" width="11.6640625" bestFit="1" customWidth="1"/>
    <col min="5" max="5" width="25.6640625" bestFit="1" customWidth="1"/>
  </cols>
  <sheetData>
    <row r="3" spans="3:5" x14ac:dyDescent="0.3">
      <c r="C3" s="2" t="s">
        <v>2305</v>
      </c>
      <c r="D3" s="2" t="s">
        <v>2301</v>
      </c>
      <c r="E3" s="2" t="s">
        <v>2302</v>
      </c>
    </row>
    <row r="4" spans="3:5" x14ac:dyDescent="0.3">
      <c r="C4" s="5">
        <v>2016</v>
      </c>
      <c r="D4">
        <f>COUNTIF(Table1[year],2016)</f>
        <v>9</v>
      </c>
      <c r="E4" s="3">
        <f>AVERAGEIFS(Table1[sold_price],Table1[year],C4)</f>
        <v>70922.222222222219</v>
      </c>
    </row>
    <row r="5" spans="3:5" x14ac:dyDescent="0.3">
      <c r="C5" s="5">
        <v>2017</v>
      </c>
      <c r="D5">
        <f>COUNTIF(Table1[year],2017)</f>
        <v>44</v>
      </c>
      <c r="E5" s="3">
        <f>AVERAGEIFS(Table1[sold_price],Table1[year],C5)</f>
        <v>76513.636363636368</v>
      </c>
    </row>
    <row r="6" spans="3:5" x14ac:dyDescent="0.3">
      <c r="C6" s="5">
        <v>2018</v>
      </c>
      <c r="D6">
        <f>COUNTIF(Table1[year],2018)</f>
        <v>278</v>
      </c>
      <c r="E6" s="3">
        <f>AVERAGEIFS(Table1[sold_price],Table1[year],C6)</f>
        <v>63417.98561151079</v>
      </c>
    </row>
    <row r="7" spans="3:5" x14ac:dyDescent="0.3">
      <c r="C7" s="5">
        <v>2019</v>
      </c>
      <c r="D7">
        <f>COUNTIF(Table1[year],2019)</f>
        <v>553</v>
      </c>
      <c r="E7" s="3">
        <f>AVERAGEIFS(Table1[sold_price],Table1[year],C7)</f>
        <v>58598.010849909588</v>
      </c>
    </row>
    <row r="8" spans="3:5" x14ac:dyDescent="0.3">
      <c r="C8" s="5">
        <v>2020</v>
      </c>
      <c r="D8">
        <f>COUNTIF(Table1[year],2020)</f>
        <v>339</v>
      </c>
      <c r="E8" s="3">
        <f>AVERAGEIFS(Table1[sold_price],Table1[year],C8)</f>
        <v>67399.410029498526</v>
      </c>
    </row>
    <row r="9" spans="3:5" x14ac:dyDescent="0.3">
      <c r="C9" s="5">
        <v>2021</v>
      </c>
      <c r="D9">
        <f>COUNTIF(Table1[year],2021)</f>
        <v>289</v>
      </c>
      <c r="E9" s="3">
        <f>AVERAGEIFS(Table1[sold_price],Table1[year],C9)</f>
        <v>84968.858131487883</v>
      </c>
    </row>
    <row r="10" spans="3:5" x14ac:dyDescent="0.3">
      <c r="C10" s="5">
        <v>2022</v>
      </c>
      <c r="D10">
        <f>COUNTIF(Table1[year],2022)</f>
        <v>67</v>
      </c>
      <c r="E10" s="3">
        <f>AVERAGEIFS(Table1[sold_price],Table1[year],C10)</f>
        <v>97700</v>
      </c>
    </row>
    <row r="13" spans="3:5" x14ac:dyDescent="0.3">
      <c r="D13" s="6" t="s">
        <v>2305</v>
      </c>
      <c r="E13" t="s">
        <v>2306</v>
      </c>
    </row>
    <row r="14" spans="3:5" x14ac:dyDescent="0.3">
      <c r="D14" s="5">
        <v>2016</v>
      </c>
      <c r="E14" s="3">
        <v>70922.222222222219</v>
      </c>
    </row>
    <row r="15" spans="3:5" x14ac:dyDescent="0.3">
      <c r="D15" s="5">
        <v>2017</v>
      </c>
      <c r="E15" s="3">
        <v>76513.636363636368</v>
      </c>
    </row>
    <row r="16" spans="3:5" x14ac:dyDescent="0.3">
      <c r="D16" s="5">
        <v>2018</v>
      </c>
      <c r="E16" s="3">
        <v>63366.787003610109</v>
      </c>
    </row>
    <row r="17" spans="4:5" x14ac:dyDescent="0.3">
      <c r="D17" s="5">
        <v>2019</v>
      </c>
      <c r="E17" s="3">
        <v>58598.010849909588</v>
      </c>
    </row>
    <row r="18" spans="4:5" x14ac:dyDescent="0.3">
      <c r="D18" s="5">
        <v>2020</v>
      </c>
      <c r="E18" s="3">
        <v>67399.410029498526</v>
      </c>
    </row>
    <row r="19" spans="4:5" x14ac:dyDescent="0.3">
      <c r="D19" s="5">
        <v>2021</v>
      </c>
      <c r="E19" s="3">
        <v>84968.858131487883</v>
      </c>
    </row>
    <row r="20" spans="4:5" x14ac:dyDescent="0.3">
      <c r="D20" s="5">
        <v>2022</v>
      </c>
      <c r="E20" s="3">
        <v>97700</v>
      </c>
    </row>
    <row r="21" spans="4:5" x14ac:dyDescent="0.3">
      <c r="D21" s="5" t="s">
        <v>2307</v>
      </c>
      <c r="E21" s="3">
        <v>519468.92460036464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D306-F7ED-4CE8-A8FF-51E3394910AB}">
  <dimension ref="A1:D9"/>
  <sheetViews>
    <sheetView workbookViewId="0">
      <selection activeCell="C18" sqref="C18"/>
    </sheetView>
  </sheetViews>
  <sheetFormatPr defaultRowHeight="14.4" x14ac:dyDescent="0.3"/>
  <cols>
    <col min="1" max="1" width="18.44140625" customWidth="1"/>
    <col min="2" max="2" width="17" customWidth="1"/>
    <col min="3" max="3" width="16.5546875" customWidth="1"/>
    <col min="4" max="4" width="21" bestFit="1" customWidth="1"/>
  </cols>
  <sheetData>
    <row r="1" spans="1:4" x14ac:dyDescent="0.3">
      <c r="A1" s="2" t="s">
        <v>2308</v>
      </c>
      <c r="B1" s="2" t="s">
        <v>2309</v>
      </c>
      <c r="C1" s="2" t="s">
        <v>2310</v>
      </c>
      <c r="D1" s="2" t="s">
        <v>2305</v>
      </c>
    </row>
    <row r="2" spans="1:4" x14ac:dyDescent="0.3">
      <c r="A2" t="s">
        <v>2311</v>
      </c>
      <c r="B2">
        <f>COUNT(Table1[sold_price])</f>
        <v>1579</v>
      </c>
      <c r="C2">
        <f>COUNT(Table1[miles])</f>
        <v>1579</v>
      </c>
      <c r="D2">
        <f>COUNT(Table1[year])</f>
        <v>1579</v>
      </c>
    </row>
    <row r="3" spans="1:4" x14ac:dyDescent="0.3">
      <c r="A3" t="s">
        <v>2312</v>
      </c>
      <c r="B3" s="3">
        <f>AVERAGE(Table1[sold_price])</f>
        <v>68391.450284990497</v>
      </c>
      <c r="C3" s="3">
        <f>AVERAGE(Table1[miles])</f>
        <v>26612.871437618745</v>
      </c>
      <c r="D3" s="4">
        <f>AVERAGE(Table1[year])</f>
        <v>2019.4591513616213</v>
      </c>
    </row>
    <row r="4" spans="1:4" x14ac:dyDescent="0.3">
      <c r="A4" t="s">
        <v>2313</v>
      </c>
      <c r="B4">
        <f>MEDIAN(Table1[sold_price])</f>
        <v>60400</v>
      </c>
      <c r="C4">
        <f>MEDIAN(Table1[miles])</f>
        <v>24228</v>
      </c>
      <c r="D4">
        <f>MEDIAN(Table1[year])</f>
        <v>2019</v>
      </c>
    </row>
    <row r="5" spans="1:4" x14ac:dyDescent="0.3">
      <c r="A5" t="s">
        <v>2314</v>
      </c>
      <c r="B5">
        <f>_xlfn.STDEV.S(Table1[sold_price])</f>
        <v>21748.476259998442</v>
      </c>
      <c r="C5">
        <f>_xlfn.STDEV.S(Table1[miles])</f>
        <v>15808.247543923091</v>
      </c>
      <c r="D5">
        <f>_xlfn.STDEV.S(Table1[year])</f>
        <v>1.2073169571394926</v>
      </c>
    </row>
    <row r="6" spans="1:4" x14ac:dyDescent="0.3">
      <c r="A6" t="s">
        <v>2315</v>
      </c>
      <c r="B6">
        <f>MIN(Table1[sold_price])</f>
        <v>40700</v>
      </c>
      <c r="C6">
        <f>MIN(Table1[miles])</f>
        <v>1</v>
      </c>
      <c r="D6">
        <f>MIN(Table1[year])</f>
        <v>2016</v>
      </c>
    </row>
    <row r="7" spans="1:4" x14ac:dyDescent="0.3">
      <c r="A7" t="s">
        <v>2316</v>
      </c>
      <c r="B7">
        <f>_xlfn.QUARTILE.INC(Table1[sold_price],1)</f>
        <v>51900</v>
      </c>
      <c r="C7">
        <f>_xlfn.QUARTILE.INC(Table1[miles],1)</f>
        <v>15424</v>
      </c>
      <c r="D7">
        <f>_xlfn.QUARTILE.INC(Table1[year],1)</f>
        <v>2019</v>
      </c>
    </row>
    <row r="8" spans="1:4" x14ac:dyDescent="0.3">
      <c r="A8" t="s">
        <v>2317</v>
      </c>
      <c r="B8">
        <f>_xlfn.QUARTILE.INC(Table1[sold_price],3)</f>
        <v>77900</v>
      </c>
      <c r="C8">
        <f>_xlfn.QUARTILE.INC(Table1[miles],3)</f>
        <v>35192</v>
      </c>
      <c r="D8">
        <f>_xlfn.QUARTILE.INC(Table1[year],3)</f>
        <v>2020</v>
      </c>
    </row>
    <row r="9" spans="1:4" x14ac:dyDescent="0.3">
      <c r="A9" t="s">
        <v>2318</v>
      </c>
      <c r="B9">
        <f>MAX(Table1[sold_price])</f>
        <v>159200</v>
      </c>
      <c r="C9">
        <f>MAX(Table1[miles])</f>
        <v>95803</v>
      </c>
      <c r="D9">
        <f>MAX(Table1[year])</f>
        <v>2022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9BAC-E458-4884-B74D-1E5279FB9C12}">
  <dimension ref="A1:J10"/>
  <sheetViews>
    <sheetView workbookViewId="0">
      <selection activeCell="H7" sqref="H7"/>
    </sheetView>
  </sheetViews>
  <sheetFormatPr defaultRowHeight="14.4" x14ac:dyDescent="0.3"/>
  <cols>
    <col min="1" max="2" width="12.44140625" bestFit="1" customWidth="1"/>
    <col min="3" max="3" width="21.44140625" bestFit="1" customWidth="1"/>
    <col min="4" max="4" width="29.33203125" customWidth="1"/>
  </cols>
  <sheetData>
    <row r="1" spans="1:10" x14ac:dyDescent="0.3">
      <c r="A1" s="2" t="s">
        <v>2319</v>
      </c>
      <c r="B1" s="2" t="s">
        <v>2320</v>
      </c>
      <c r="C1" s="2" t="s">
        <v>2321</v>
      </c>
      <c r="D1" s="2" t="s">
        <v>2322</v>
      </c>
    </row>
    <row r="2" spans="1:10" x14ac:dyDescent="0.3">
      <c r="A2" t="s">
        <v>2305</v>
      </c>
      <c r="B2" t="s">
        <v>2309</v>
      </c>
      <c r="C2">
        <f>CORREL(Table1[year],Table1[sold_price])</f>
        <v>0.37978444442017806</v>
      </c>
      <c r="D2" t="s">
        <v>2323</v>
      </c>
    </row>
    <row r="3" spans="1:10" x14ac:dyDescent="0.3">
      <c r="A3" t="s">
        <v>2310</v>
      </c>
      <c r="B3" t="s">
        <v>2309</v>
      </c>
      <c r="C3">
        <f>CORREL(Table1[miles],Table1[sold_price])</f>
        <v>-0.34468049054611594</v>
      </c>
      <c r="D3" t="s">
        <v>2324</v>
      </c>
    </row>
    <row r="4" spans="1:10" x14ac:dyDescent="0.3">
      <c r="A4" t="s">
        <v>2305</v>
      </c>
      <c r="B4" t="s">
        <v>2310</v>
      </c>
      <c r="C4">
        <f>CORREL(Table1[year],Table1[miles])</f>
        <v>-0.56007867405137812</v>
      </c>
      <c r="D4" t="s">
        <v>2324</v>
      </c>
    </row>
    <row r="7" spans="1:10" x14ac:dyDescent="0.3">
      <c r="H7" s="2"/>
      <c r="I7" s="2"/>
      <c r="J7" s="2"/>
    </row>
    <row r="8" spans="1:10" x14ac:dyDescent="0.3">
      <c r="I8" s="2"/>
    </row>
    <row r="9" spans="1:10" x14ac:dyDescent="0.3">
      <c r="I9" s="2"/>
    </row>
    <row r="10" spans="1:10" x14ac:dyDescent="0.3">
      <c r="I1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BE39-5A8A-4AB7-8D93-DED32E6EA6BD}">
  <dimension ref="A1:I18"/>
  <sheetViews>
    <sheetView workbookViewId="0">
      <selection activeCell="I9" sqref="I9"/>
    </sheetView>
  </sheetViews>
  <sheetFormatPr defaultRowHeight="14.4" x14ac:dyDescent="0.3"/>
  <sheetData>
    <row r="1" spans="1:9" x14ac:dyDescent="0.3">
      <c r="A1" t="s">
        <v>2325</v>
      </c>
    </row>
    <row r="2" spans="1:9" ht="15" thickBot="1" x14ac:dyDescent="0.35"/>
    <row r="3" spans="1:9" x14ac:dyDescent="0.3">
      <c r="A3" s="10" t="s">
        <v>2326</v>
      </c>
      <c r="B3" s="10"/>
    </row>
    <row r="4" spans="1:9" x14ac:dyDescent="0.3">
      <c r="A4" s="7" t="s">
        <v>2327</v>
      </c>
      <c r="B4" s="7">
        <v>0.34457636295157368</v>
      </c>
    </row>
    <row r="5" spans="1:9" x14ac:dyDescent="0.3">
      <c r="A5" s="7" t="s">
        <v>2328</v>
      </c>
      <c r="B5" s="7">
        <v>0.11873286990493465</v>
      </c>
    </row>
    <row r="6" spans="1:9" x14ac:dyDescent="0.3">
      <c r="A6" s="7" t="s">
        <v>2329</v>
      </c>
      <c r="B6" s="7">
        <v>0.1181736902538591</v>
      </c>
    </row>
    <row r="7" spans="1:9" x14ac:dyDescent="0.3">
      <c r="A7" s="7" t="s">
        <v>2330</v>
      </c>
      <c r="B7" s="7">
        <v>20428.351713249733</v>
      </c>
    </row>
    <row r="8" spans="1:9" ht="15" thickBot="1" x14ac:dyDescent="0.35">
      <c r="A8" s="8" t="s">
        <v>2331</v>
      </c>
      <c r="B8" s="8">
        <v>1578</v>
      </c>
    </row>
    <row r="10" spans="1:9" ht="15" thickBot="1" x14ac:dyDescent="0.35">
      <c r="A10" t="s">
        <v>2332</v>
      </c>
    </row>
    <row r="11" spans="1:9" x14ac:dyDescent="0.3">
      <c r="A11" s="9"/>
      <c r="B11" s="9" t="s">
        <v>2337</v>
      </c>
      <c r="C11" s="9" t="s">
        <v>2338</v>
      </c>
      <c r="D11" s="9" t="s">
        <v>2339</v>
      </c>
      <c r="E11" s="9" t="s">
        <v>2340</v>
      </c>
      <c r="F11" s="9" t="s">
        <v>2341</v>
      </c>
    </row>
    <row r="12" spans="1:9" x14ac:dyDescent="0.3">
      <c r="A12" s="7" t="s">
        <v>2333</v>
      </c>
      <c r="B12" s="7">
        <v>1</v>
      </c>
      <c r="C12" s="7">
        <v>88610718790.651367</v>
      </c>
      <c r="D12" s="7">
        <v>88610718790.651367</v>
      </c>
      <c r="E12" s="7">
        <v>212.33403196371501</v>
      </c>
      <c r="F12" s="7">
        <v>3.2251873544994942E-45</v>
      </c>
    </row>
    <row r="13" spans="1:9" x14ac:dyDescent="0.3">
      <c r="A13" s="7" t="s">
        <v>2334</v>
      </c>
      <c r="B13" s="7">
        <v>1576</v>
      </c>
      <c r="C13" s="7">
        <v>657692464663.08765</v>
      </c>
      <c r="D13" s="7">
        <v>417317553.72023326</v>
      </c>
      <c r="E13" s="7"/>
      <c r="F13" s="7"/>
    </row>
    <row r="14" spans="1:9" ht="15" thickBot="1" x14ac:dyDescent="0.35">
      <c r="A14" s="8" t="s">
        <v>2335</v>
      </c>
      <c r="B14" s="8">
        <v>1577</v>
      </c>
      <c r="C14" s="8">
        <v>746303183453.73901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2342</v>
      </c>
      <c r="C16" s="9" t="s">
        <v>2330</v>
      </c>
      <c r="D16" s="9" t="s">
        <v>2343</v>
      </c>
      <c r="E16" s="9" t="s">
        <v>2344</v>
      </c>
      <c r="F16" s="9" t="s">
        <v>2345</v>
      </c>
      <c r="G16" s="9" t="s">
        <v>2346</v>
      </c>
      <c r="H16" s="9" t="s">
        <v>2347</v>
      </c>
      <c r="I16" s="9" t="s">
        <v>2348</v>
      </c>
    </row>
    <row r="17" spans="1:9" x14ac:dyDescent="0.3">
      <c r="A17" s="7" t="s">
        <v>2336</v>
      </c>
      <c r="B17" s="7">
        <v>81005.344016517804</v>
      </c>
      <c r="C17" s="7">
        <v>1007.2204164698815</v>
      </c>
      <c r="D17" s="7">
        <v>80.424644588149164</v>
      </c>
      <c r="E17" s="7">
        <v>0</v>
      </c>
      <c r="F17" s="7">
        <v>79029.711013744556</v>
      </c>
      <c r="G17" s="7">
        <v>82980.977019291051</v>
      </c>
      <c r="H17" s="7">
        <v>79029.711013744556</v>
      </c>
      <c r="I17" s="7">
        <v>82980.977019291051</v>
      </c>
    </row>
    <row r="18" spans="1:9" ht="15" thickBot="1" x14ac:dyDescent="0.35">
      <c r="A18" s="8">
        <v>16901</v>
      </c>
      <c r="B18" s="8">
        <v>-0.47408681755580995</v>
      </c>
      <c r="C18" s="8">
        <v>3.2534795121279936E-2</v>
      </c>
      <c r="D18" s="8">
        <v>-14.571685968470273</v>
      </c>
      <c r="E18" s="8">
        <v>3.2251873545020276E-45</v>
      </c>
      <c r="F18" s="8">
        <v>-0.53790285417403583</v>
      </c>
      <c r="G18" s="8">
        <v>-0.41027078093758401</v>
      </c>
      <c r="H18" s="8">
        <v>-0.53790285417403583</v>
      </c>
      <c r="I18" s="8">
        <v>-0.41027078093758401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E672-2C05-4BD9-9DB7-1484841B7AED}">
  <dimension ref="A1:I18"/>
  <sheetViews>
    <sheetView workbookViewId="0">
      <selection sqref="A1:I21"/>
    </sheetView>
  </sheetViews>
  <sheetFormatPr defaultRowHeight="14.4" x14ac:dyDescent="0.3"/>
  <sheetData>
    <row r="1" spans="1:9" x14ac:dyDescent="0.3">
      <c r="A1" t="s">
        <v>2325</v>
      </c>
    </row>
    <row r="2" spans="1:9" ht="15" thickBot="1" x14ac:dyDescent="0.35"/>
    <row r="3" spans="1:9" x14ac:dyDescent="0.3">
      <c r="A3" s="10" t="s">
        <v>2326</v>
      </c>
      <c r="B3" s="10"/>
    </row>
    <row r="4" spans="1:9" x14ac:dyDescent="0.3">
      <c r="A4" s="7" t="s">
        <v>2327</v>
      </c>
      <c r="B4" s="7">
        <v>0.38030671780973191</v>
      </c>
    </row>
    <row r="5" spans="1:9" x14ac:dyDescent="0.3">
      <c r="A5" s="7" t="s">
        <v>2328</v>
      </c>
      <c r="B5" s="7">
        <v>0.14463319961121104</v>
      </c>
    </row>
    <row r="6" spans="1:9" x14ac:dyDescent="0.3">
      <c r="A6" s="7" t="s">
        <v>2329</v>
      </c>
      <c r="B6" s="7">
        <v>0.14409045417949226</v>
      </c>
    </row>
    <row r="7" spans="1:9" x14ac:dyDescent="0.3">
      <c r="A7" s="7" t="s">
        <v>2330</v>
      </c>
      <c r="B7" s="7">
        <v>20125.919693189066</v>
      </c>
    </row>
    <row r="8" spans="1:9" ht="15" thickBot="1" x14ac:dyDescent="0.35">
      <c r="A8" s="8" t="s">
        <v>2331</v>
      </c>
      <c r="B8" s="8">
        <v>1578</v>
      </c>
    </row>
    <row r="10" spans="1:9" ht="15" thickBot="1" x14ac:dyDescent="0.35">
      <c r="A10" t="s">
        <v>2332</v>
      </c>
    </row>
    <row r="11" spans="1:9" x14ac:dyDescent="0.3">
      <c r="A11" s="9"/>
      <c r="B11" s="9" t="s">
        <v>2337</v>
      </c>
      <c r="C11" s="9" t="s">
        <v>2338</v>
      </c>
      <c r="D11" s="9" t="s">
        <v>2339</v>
      </c>
      <c r="E11" s="9" t="s">
        <v>2340</v>
      </c>
      <c r="F11" s="9" t="s">
        <v>2341</v>
      </c>
    </row>
    <row r="12" spans="1:9" x14ac:dyDescent="0.3">
      <c r="A12" s="7" t="s">
        <v>2333</v>
      </c>
      <c r="B12" s="7">
        <v>1</v>
      </c>
      <c r="C12" s="7">
        <v>107940217302.9469</v>
      </c>
      <c r="D12" s="7">
        <v>107940217302.9469</v>
      </c>
      <c r="E12" s="7">
        <v>266.48441637396076</v>
      </c>
      <c r="F12" s="7">
        <v>1.8089625023581923E-55</v>
      </c>
    </row>
    <row r="13" spans="1:9" x14ac:dyDescent="0.3">
      <c r="A13" s="7" t="s">
        <v>2334</v>
      </c>
      <c r="B13" s="7">
        <v>1576</v>
      </c>
      <c r="C13" s="7">
        <v>638362966150.79211</v>
      </c>
      <c r="D13" s="7">
        <v>405052643.49669552</v>
      </c>
      <c r="E13" s="7"/>
      <c r="F13" s="7"/>
    </row>
    <row r="14" spans="1:9" ht="15" thickBot="1" x14ac:dyDescent="0.35">
      <c r="A14" s="8" t="s">
        <v>2335</v>
      </c>
      <c r="B14" s="8">
        <v>1577</v>
      </c>
      <c r="C14" s="8">
        <v>746303183453.73901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2342</v>
      </c>
      <c r="C16" s="9" t="s">
        <v>2330</v>
      </c>
      <c r="D16" s="9" t="s">
        <v>2343</v>
      </c>
      <c r="E16" s="9" t="s">
        <v>2344</v>
      </c>
      <c r="F16" s="9" t="s">
        <v>2345</v>
      </c>
      <c r="G16" s="9" t="s">
        <v>2346</v>
      </c>
      <c r="H16" s="9" t="s">
        <v>2347</v>
      </c>
      <c r="I16" s="9" t="s">
        <v>2348</v>
      </c>
    </row>
    <row r="17" spans="1:9" x14ac:dyDescent="0.3">
      <c r="A17" s="7" t="s">
        <v>2336</v>
      </c>
      <c r="B17" s="7">
        <v>-13772164.136263171</v>
      </c>
      <c r="C17" s="7">
        <v>847847.04277731595</v>
      </c>
      <c r="D17" s="7">
        <v>-16.243689535260174</v>
      </c>
      <c r="E17" s="7">
        <v>5.5916173109818704E-55</v>
      </c>
      <c r="F17" s="7">
        <v>-15435190.988801815</v>
      </c>
      <c r="G17" s="7">
        <v>-12109137.283724528</v>
      </c>
      <c r="H17" s="7">
        <v>-15435190.988801815</v>
      </c>
      <c r="I17" s="7">
        <v>-12109137.283724528</v>
      </c>
    </row>
    <row r="18" spans="1:9" ht="15" thickBot="1" x14ac:dyDescent="0.35">
      <c r="A18" s="8"/>
      <c r="B18" s="8">
        <v>6853.5891920512586</v>
      </c>
      <c r="C18" s="8">
        <v>419.83840208493763</v>
      </c>
      <c r="D18" s="8">
        <v>16.324350412006158</v>
      </c>
      <c r="E18" s="8">
        <v>1.8089625023545276E-55</v>
      </c>
      <c r="F18" s="8">
        <v>6030.0886062533227</v>
      </c>
      <c r="G18" s="8">
        <v>7677.0897778491944</v>
      </c>
      <c r="H18" s="8">
        <v>6030.0886062533227</v>
      </c>
      <c r="I18" s="8">
        <v>7677.0897778491944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3DB2-C31D-431E-A043-2552D41ADAEB}">
  <dimension ref="A1:I22"/>
  <sheetViews>
    <sheetView workbookViewId="0">
      <selection sqref="A1:I25"/>
    </sheetView>
  </sheetViews>
  <sheetFormatPr defaultRowHeight="14.4" x14ac:dyDescent="0.3"/>
  <sheetData>
    <row r="1" spans="1:9" x14ac:dyDescent="0.3">
      <c r="A1" t="s">
        <v>2325</v>
      </c>
    </row>
    <row r="2" spans="1:9" ht="15" thickBot="1" x14ac:dyDescent="0.35"/>
    <row r="3" spans="1:9" x14ac:dyDescent="0.3">
      <c r="A3" s="10" t="s">
        <v>2326</v>
      </c>
      <c r="B3" s="10"/>
    </row>
    <row r="4" spans="1:9" x14ac:dyDescent="0.3">
      <c r="A4" s="7" t="s">
        <v>2327</v>
      </c>
      <c r="B4" s="7">
        <v>0.94536140192055307</v>
      </c>
    </row>
    <row r="5" spans="1:9" x14ac:dyDescent="0.3">
      <c r="A5" s="7" t="s">
        <v>2328</v>
      </c>
      <c r="B5" s="7">
        <v>0.89370818024119347</v>
      </c>
    </row>
    <row r="6" spans="1:9" x14ac:dyDescent="0.3">
      <c r="A6" s="7" t="s">
        <v>2329</v>
      </c>
      <c r="B6" s="7">
        <v>0.89337031685988766</v>
      </c>
    </row>
    <row r="7" spans="1:9" x14ac:dyDescent="0.3">
      <c r="A7" s="7" t="s">
        <v>2330</v>
      </c>
      <c r="B7" s="7">
        <v>7101.7911139233574</v>
      </c>
    </row>
    <row r="8" spans="1:9" ht="15" thickBot="1" x14ac:dyDescent="0.35">
      <c r="A8" s="8" t="s">
        <v>2331</v>
      </c>
      <c r="B8" s="8">
        <v>1579</v>
      </c>
    </row>
    <row r="10" spans="1:9" ht="15" thickBot="1" x14ac:dyDescent="0.35">
      <c r="A10" t="s">
        <v>2332</v>
      </c>
    </row>
    <row r="11" spans="1:9" x14ac:dyDescent="0.3">
      <c r="A11" s="9"/>
      <c r="B11" s="9" t="s">
        <v>2337</v>
      </c>
      <c r="C11" s="9" t="s">
        <v>2338</v>
      </c>
      <c r="D11" s="9" t="s">
        <v>2339</v>
      </c>
      <c r="E11" s="9" t="s">
        <v>2340</v>
      </c>
      <c r="F11" s="9" t="s">
        <v>2341</v>
      </c>
    </row>
    <row r="12" spans="1:9" x14ac:dyDescent="0.3">
      <c r="A12" s="7" t="s">
        <v>2333</v>
      </c>
      <c r="B12" s="7">
        <v>5</v>
      </c>
      <c r="C12" s="7">
        <v>667053092137.26196</v>
      </c>
      <c r="D12" s="7">
        <v>133410618427.45239</v>
      </c>
      <c r="E12" s="7">
        <v>2645.1762152711167</v>
      </c>
      <c r="F12" s="7">
        <v>0</v>
      </c>
    </row>
    <row r="13" spans="1:9" x14ac:dyDescent="0.3">
      <c r="A13" s="7" t="s">
        <v>2334</v>
      </c>
      <c r="B13" s="7">
        <v>1573</v>
      </c>
      <c r="C13" s="7">
        <v>79334942441.584595</v>
      </c>
      <c r="D13" s="7">
        <v>50435437.025800757</v>
      </c>
      <c r="E13" s="7"/>
      <c r="F13" s="7"/>
    </row>
    <row r="14" spans="1:9" ht="15" thickBot="1" x14ac:dyDescent="0.35">
      <c r="A14" s="8" t="s">
        <v>2335</v>
      </c>
      <c r="B14" s="8">
        <v>1578</v>
      </c>
      <c r="C14" s="8">
        <v>746388034578.84656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2342</v>
      </c>
      <c r="C16" s="9" t="s">
        <v>2330</v>
      </c>
      <c r="D16" s="9" t="s">
        <v>2343</v>
      </c>
      <c r="E16" s="9" t="s">
        <v>2344</v>
      </c>
      <c r="F16" s="9" t="s">
        <v>2345</v>
      </c>
      <c r="G16" s="9" t="s">
        <v>2346</v>
      </c>
      <c r="H16" s="9" t="s">
        <v>2347</v>
      </c>
      <c r="I16" s="9" t="s">
        <v>2348</v>
      </c>
    </row>
    <row r="17" spans="1:9" x14ac:dyDescent="0.3">
      <c r="A17" s="7" t="s">
        <v>2336</v>
      </c>
      <c r="B17" s="7">
        <v>-14388627.766907495</v>
      </c>
      <c r="C17" s="7">
        <v>400500.06007477583</v>
      </c>
      <c r="D17" s="7">
        <v>-35.926655701926862</v>
      </c>
      <c r="E17" s="7">
        <v>6.7132584075776882E-207</v>
      </c>
      <c r="F17" s="7">
        <v>-15174197.919339925</v>
      </c>
      <c r="G17" s="7">
        <v>-13603057.614475064</v>
      </c>
      <c r="H17" s="7">
        <v>-15174197.919339925</v>
      </c>
      <c r="I17" s="7">
        <v>-13603057.614475064</v>
      </c>
    </row>
    <row r="18" spans="1:9" x14ac:dyDescent="0.3">
      <c r="A18" s="7" t="s">
        <v>2349</v>
      </c>
      <c r="B18" s="7">
        <v>39888.195673630587</v>
      </c>
      <c r="C18" s="7">
        <v>567.80787142039389</v>
      </c>
      <c r="D18" s="7">
        <v>70.249458806988159</v>
      </c>
      <c r="E18" s="7">
        <v>0</v>
      </c>
      <c r="F18" s="7">
        <v>38774.45572557472</v>
      </c>
      <c r="G18" s="7">
        <v>41001.935621686454</v>
      </c>
      <c r="H18" s="7">
        <v>38774.45572557472</v>
      </c>
      <c r="I18" s="7">
        <v>41001.935621686454</v>
      </c>
    </row>
    <row r="19" spans="1:9" x14ac:dyDescent="0.3">
      <c r="A19" s="7" t="s">
        <v>2350</v>
      </c>
      <c r="B19" s="7">
        <v>45138.884350415348</v>
      </c>
      <c r="C19" s="7">
        <v>522.92909489718352</v>
      </c>
      <c r="D19" s="7">
        <v>86.319320900074217</v>
      </c>
      <c r="E19" s="7">
        <v>0</v>
      </c>
      <c r="F19" s="7">
        <v>44113.172921775273</v>
      </c>
      <c r="G19" s="7">
        <v>46164.595779055424</v>
      </c>
      <c r="H19" s="7">
        <v>44113.172921775273</v>
      </c>
      <c r="I19" s="7">
        <v>46164.595779055424</v>
      </c>
    </row>
    <row r="20" spans="1:9" x14ac:dyDescent="0.3">
      <c r="A20" s="7" t="s">
        <v>2351</v>
      </c>
      <c r="B20" s="7">
        <v>7086.1923828724548</v>
      </c>
      <c r="C20" s="7">
        <v>572.96821394262327</v>
      </c>
      <c r="D20" s="7">
        <v>12.367513957034381</v>
      </c>
      <c r="E20" s="7">
        <v>1.3499948688796E-33</v>
      </c>
      <c r="F20" s="7">
        <v>5962.3305610245225</v>
      </c>
      <c r="G20" s="7">
        <v>8210.0542047203871</v>
      </c>
      <c r="H20" s="7">
        <v>5962.3305610245225</v>
      </c>
      <c r="I20" s="7">
        <v>8210.0542047203871</v>
      </c>
    </row>
    <row r="21" spans="1:9" x14ac:dyDescent="0.3">
      <c r="A21" s="7" t="s">
        <v>2352</v>
      </c>
      <c r="B21" s="7">
        <v>7154.938976243141</v>
      </c>
      <c r="C21" s="7">
        <v>198.23944230018103</v>
      </c>
      <c r="D21" s="7">
        <v>36.092408721614966</v>
      </c>
      <c r="E21" s="7">
        <v>2.5407480908201356E-208</v>
      </c>
      <c r="F21" s="7">
        <v>6766.0976140800567</v>
      </c>
      <c r="G21" s="7">
        <v>7543.7803384062254</v>
      </c>
      <c r="H21" s="7">
        <v>6766.0976140800567</v>
      </c>
      <c r="I21" s="7">
        <v>7543.7803384062254</v>
      </c>
    </row>
    <row r="22" spans="1:9" ht="15" thickBot="1" x14ac:dyDescent="0.35">
      <c r="A22" s="8" t="s">
        <v>2353</v>
      </c>
      <c r="B22" s="8">
        <v>-0.18404260389877408</v>
      </c>
      <c r="C22" s="8">
        <v>1.3740035345878393E-2</v>
      </c>
      <c r="D22" s="8">
        <v>-13.394623759390944</v>
      </c>
      <c r="E22" s="8">
        <v>7.9890549533342722E-39</v>
      </c>
      <c r="F22" s="8">
        <v>-0.21099331561420653</v>
      </c>
      <c r="G22" s="8">
        <v>-0.15709189218334163</v>
      </c>
      <c r="H22" s="8">
        <v>-0.21099331561420653</v>
      </c>
      <c r="I22" s="8">
        <v>-0.15709189218334163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3EE1-D26D-49BD-B1A3-4A93600033C7}">
  <dimension ref="A1:G16"/>
  <sheetViews>
    <sheetView tabSelected="1" workbookViewId="0">
      <selection sqref="A1:G16"/>
    </sheetView>
  </sheetViews>
  <sheetFormatPr defaultRowHeight="14.4" x14ac:dyDescent="0.3"/>
  <sheetData>
    <row r="1" spans="1:7" x14ac:dyDescent="0.3">
      <c r="A1" t="s">
        <v>2354</v>
      </c>
    </row>
    <row r="3" spans="1:7" ht="15" thickBot="1" x14ac:dyDescent="0.35">
      <c r="A3" t="s">
        <v>2355</v>
      </c>
    </row>
    <row r="4" spans="1:7" x14ac:dyDescent="0.3">
      <c r="A4" s="9" t="s">
        <v>2356</v>
      </c>
      <c r="B4" s="9" t="s">
        <v>2311</v>
      </c>
      <c r="C4" s="9" t="s">
        <v>2357</v>
      </c>
      <c r="D4" s="9" t="s">
        <v>2358</v>
      </c>
      <c r="E4" s="9" t="s">
        <v>2359</v>
      </c>
    </row>
    <row r="5" spans="1:7" x14ac:dyDescent="0.3">
      <c r="A5" s="7" t="s">
        <v>56</v>
      </c>
      <c r="B5" s="7">
        <v>906</v>
      </c>
      <c r="C5" s="7">
        <v>48811200</v>
      </c>
      <c r="D5" s="7">
        <v>53875.496688741725</v>
      </c>
      <c r="E5" s="7">
        <v>39434050.858000256</v>
      </c>
    </row>
    <row r="6" spans="1:7" x14ac:dyDescent="0.3">
      <c r="A6" s="7" t="s">
        <v>37</v>
      </c>
      <c r="B6" s="7">
        <v>194</v>
      </c>
      <c r="C6" s="7">
        <v>18941500</v>
      </c>
      <c r="D6" s="7">
        <v>97636.597938144332</v>
      </c>
      <c r="E6" s="7">
        <v>515618394.58362257</v>
      </c>
    </row>
    <row r="7" spans="1:7" x14ac:dyDescent="0.3">
      <c r="A7" s="7" t="s">
        <v>29</v>
      </c>
      <c r="B7" s="7">
        <v>239</v>
      </c>
      <c r="C7" s="7">
        <v>22672300</v>
      </c>
      <c r="D7" s="7">
        <v>94863.179916317997</v>
      </c>
      <c r="E7" s="7">
        <v>311277210.01371288</v>
      </c>
    </row>
    <row r="8" spans="1:7" ht="15" thickBot="1" x14ac:dyDescent="0.35">
      <c r="A8" s="8" t="s">
        <v>17</v>
      </c>
      <c r="B8" s="8">
        <v>240</v>
      </c>
      <c r="C8" s="8">
        <v>17565100</v>
      </c>
      <c r="D8" s="8">
        <v>73187.916666666672</v>
      </c>
      <c r="E8" s="8">
        <v>30421066.77126915</v>
      </c>
    </row>
    <row r="11" spans="1:7" ht="15" thickBot="1" x14ac:dyDescent="0.35">
      <c r="A11" t="s">
        <v>2332</v>
      </c>
    </row>
    <row r="12" spans="1:7" x14ac:dyDescent="0.3">
      <c r="A12" s="9" t="s">
        <v>2360</v>
      </c>
      <c r="B12" s="9" t="s">
        <v>2338</v>
      </c>
      <c r="C12" s="9" t="s">
        <v>2337</v>
      </c>
      <c r="D12" s="9" t="s">
        <v>2339</v>
      </c>
      <c r="E12" s="9" t="s">
        <v>2340</v>
      </c>
      <c r="F12" s="9" t="s">
        <v>2344</v>
      </c>
      <c r="G12" s="9" t="s">
        <v>2361</v>
      </c>
    </row>
    <row r="13" spans="1:7" x14ac:dyDescent="0.3">
      <c r="A13" s="7" t="s">
        <v>2362</v>
      </c>
      <c r="B13" s="7">
        <v>529831257456.12122</v>
      </c>
      <c r="C13" s="7">
        <v>3</v>
      </c>
      <c r="D13" s="7">
        <v>176610419152.04041</v>
      </c>
      <c r="E13" s="7">
        <v>1284.4733554878551</v>
      </c>
      <c r="F13" s="7">
        <v>0</v>
      </c>
      <c r="G13" s="7">
        <v>2.6105521922509158</v>
      </c>
    </row>
    <row r="14" spans="1:7" x14ac:dyDescent="0.3">
      <c r="A14" s="7" t="s">
        <v>2363</v>
      </c>
      <c r="B14" s="7">
        <v>216556777122.72617</v>
      </c>
      <c r="C14" s="7">
        <v>1575</v>
      </c>
      <c r="D14" s="7">
        <v>137496366.42712772</v>
      </c>
      <c r="E14" s="7"/>
      <c r="F14" s="7"/>
      <c r="G14" s="7"/>
    </row>
    <row r="15" spans="1:7" x14ac:dyDescent="0.3">
      <c r="A15" s="7"/>
      <c r="B15" s="7"/>
      <c r="C15" s="7"/>
      <c r="D15" s="7"/>
      <c r="E15" s="7"/>
      <c r="F15" s="7"/>
      <c r="G15" s="7"/>
    </row>
    <row r="16" spans="1:7" ht="15" thickBot="1" x14ac:dyDescent="0.35">
      <c r="A16" s="8" t="s">
        <v>2335</v>
      </c>
      <c r="B16" s="8">
        <v>746388034578.84741</v>
      </c>
      <c r="C16" s="8">
        <v>1578</v>
      </c>
      <c r="D16" s="8"/>
      <c r="E16" s="8"/>
      <c r="F16" s="8"/>
      <c r="G16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A46E-FC31-42C5-B595-9C5BBAF3310E}">
  <dimension ref="A1:D907"/>
  <sheetViews>
    <sheetView topLeftCell="A883" workbookViewId="0">
      <selection activeCell="B3" sqref="B3"/>
    </sheetView>
  </sheetViews>
  <sheetFormatPr defaultRowHeight="14.4" x14ac:dyDescent="0.3"/>
  <sheetData>
    <row r="1" spans="1:4" x14ac:dyDescent="0.3">
      <c r="A1" t="s">
        <v>56</v>
      </c>
      <c r="B1" t="s">
        <v>37</v>
      </c>
      <c r="C1" t="s">
        <v>29</v>
      </c>
      <c r="D1" t="s">
        <v>17</v>
      </c>
    </row>
    <row r="2" spans="1:4" x14ac:dyDescent="0.3">
      <c r="A2" cm="1">
        <f t="array" ref="A2:A907">_xlfn._xlws.FILTER(Table1[sold_price],Table1[model]="m3")</f>
        <v>58800</v>
      </c>
      <c r="B2" cm="1">
        <f t="array" ref="B2:B195">_xlfn._xlws.FILTER(Table1[sold_price],Table1[model]="ms")</f>
        <v>77100</v>
      </c>
      <c r="C2" cm="1">
        <f t="array" ref="C2:C240">_xlfn._xlws.FILTER(Table1[sold_price],Table1[model]="mx")</f>
        <v>111200</v>
      </c>
      <c r="D2" cm="1">
        <f t="array" ref="D2:D241">_xlfn._xlws.FILTER(Table1[sold_price],Table1[model]="my")</f>
        <v>77600</v>
      </c>
    </row>
    <row r="3" spans="1:4" x14ac:dyDescent="0.3">
      <c r="A3">
        <v>44300</v>
      </c>
      <c r="B3">
        <v>86700</v>
      </c>
      <c r="C3">
        <v>91000</v>
      </c>
      <c r="D3">
        <v>74200</v>
      </c>
    </row>
    <row r="4" spans="1:4" x14ac:dyDescent="0.3">
      <c r="A4">
        <v>59400</v>
      </c>
      <c r="B4">
        <v>81200</v>
      </c>
      <c r="C4">
        <v>88400</v>
      </c>
      <c r="D4">
        <v>59000</v>
      </c>
    </row>
    <row r="5" spans="1:4" x14ac:dyDescent="0.3">
      <c r="A5">
        <v>53600</v>
      </c>
      <c r="B5">
        <v>97400</v>
      </c>
      <c r="C5">
        <v>86300</v>
      </c>
      <c r="D5">
        <v>78700</v>
      </c>
    </row>
    <row r="6" spans="1:4" x14ac:dyDescent="0.3">
      <c r="A6">
        <v>48900</v>
      </c>
      <c r="B6">
        <v>56300</v>
      </c>
      <c r="C6">
        <v>94700</v>
      </c>
      <c r="D6">
        <v>77500</v>
      </c>
    </row>
    <row r="7" spans="1:4" x14ac:dyDescent="0.3">
      <c r="A7">
        <v>55500</v>
      </c>
      <c r="B7">
        <v>90400</v>
      </c>
      <c r="C7">
        <v>98000</v>
      </c>
      <c r="D7">
        <v>69400</v>
      </c>
    </row>
    <row r="8" spans="1:4" x14ac:dyDescent="0.3">
      <c r="A8">
        <v>48700</v>
      </c>
      <c r="B8">
        <v>74700</v>
      </c>
      <c r="C8">
        <v>75400</v>
      </c>
      <c r="D8">
        <v>68800</v>
      </c>
    </row>
    <row r="9" spans="1:4" x14ac:dyDescent="0.3">
      <c r="A9">
        <v>46500</v>
      </c>
      <c r="B9">
        <v>118900</v>
      </c>
      <c r="C9">
        <v>92000</v>
      </c>
      <c r="D9">
        <v>80100</v>
      </c>
    </row>
    <row r="10" spans="1:4" x14ac:dyDescent="0.3">
      <c r="A10">
        <v>59300</v>
      </c>
      <c r="B10">
        <v>83100</v>
      </c>
      <c r="C10">
        <v>91000</v>
      </c>
      <c r="D10">
        <v>78900</v>
      </c>
    </row>
    <row r="11" spans="1:4" x14ac:dyDescent="0.3">
      <c r="A11">
        <v>68600</v>
      </c>
      <c r="B11">
        <v>73900</v>
      </c>
      <c r="C11">
        <v>83400</v>
      </c>
      <c r="D11">
        <v>74200</v>
      </c>
    </row>
    <row r="12" spans="1:4" x14ac:dyDescent="0.3">
      <c r="A12">
        <v>52600</v>
      </c>
      <c r="B12">
        <v>138000</v>
      </c>
      <c r="C12">
        <v>87700</v>
      </c>
      <c r="D12">
        <v>74100</v>
      </c>
    </row>
    <row r="13" spans="1:4" x14ac:dyDescent="0.3">
      <c r="A13">
        <v>45600</v>
      </c>
      <c r="B13">
        <v>109700</v>
      </c>
      <c r="C13">
        <v>88800</v>
      </c>
      <c r="D13">
        <v>72200</v>
      </c>
    </row>
    <row r="14" spans="1:4" x14ac:dyDescent="0.3">
      <c r="A14">
        <v>70300</v>
      </c>
      <c r="B14">
        <v>71900</v>
      </c>
      <c r="C14">
        <v>91000</v>
      </c>
      <c r="D14">
        <v>80200</v>
      </c>
    </row>
    <row r="15" spans="1:4" x14ac:dyDescent="0.3">
      <c r="A15">
        <v>60700</v>
      </c>
      <c r="B15">
        <v>74800</v>
      </c>
      <c r="C15">
        <v>111600</v>
      </c>
      <c r="D15">
        <v>69900</v>
      </c>
    </row>
    <row r="16" spans="1:4" x14ac:dyDescent="0.3">
      <c r="A16">
        <v>45600</v>
      </c>
      <c r="B16">
        <v>76900</v>
      </c>
      <c r="C16">
        <v>100600</v>
      </c>
      <c r="D16">
        <v>75800</v>
      </c>
    </row>
    <row r="17" spans="1:4" x14ac:dyDescent="0.3">
      <c r="A17">
        <v>55200</v>
      </c>
      <c r="B17">
        <v>90100</v>
      </c>
      <c r="C17">
        <v>86600</v>
      </c>
      <c r="D17">
        <v>80800</v>
      </c>
    </row>
    <row r="18" spans="1:4" x14ac:dyDescent="0.3">
      <c r="A18">
        <v>60000</v>
      </c>
      <c r="B18">
        <v>82200</v>
      </c>
      <c r="C18">
        <v>90800</v>
      </c>
      <c r="D18">
        <v>81300</v>
      </c>
    </row>
    <row r="19" spans="1:4" x14ac:dyDescent="0.3">
      <c r="A19">
        <v>46100</v>
      </c>
      <c r="B19">
        <v>93900</v>
      </c>
      <c r="C19">
        <v>95700</v>
      </c>
      <c r="D19">
        <v>71900</v>
      </c>
    </row>
    <row r="20" spans="1:4" x14ac:dyDescent="0.3">
      <c r="A20">
        <v>45600</v>
      </c>
      <c r="B20">
        <v>119700</v>
      </c>
      <c r="C20">
        <v>93800</v>
      </c>
      <c r="D20">
        <v>84300</v>
      </c>
    </row>
    <row r="21" spans="1:4" x14ac:dyDescent="0.3">
      <c r="A21">
        <v>45300</v>
      </c>
      <c r="B21">
        <v>104400</v>
      </c>
      <c r="C21">
        <v>77300</v>
      </c>
      <c r="D21">
        <v>73000</v>
      </c>
    </row>
    <row r="22" spans="1:4" x14ac:dyDescent="0.3">
      <c r="A22">
        <v>45100</v>
      </c>
      <c r="B22">
        <v>69800</v>
      </c>
      <c r="C22">
        <v>93800</v>
      </c>
      <c r="D22">
        <v>71700</v>
      </c>
    </row>
    <row r="23" spans="1:4" x14ac:dyDescent="0.3">
      <c r="A23">
        <v>47000</v>
      </c>
      <c r="B23">
        <v>73900</v>
      </c>
      <c r="C23">
        <v>159100</v>
      </c>
      <c r="D23">
        <v>77100</v>
      </c>
    </row>
    <row r="24" spans="1:4" x14ac:dyDescent="0.3">
      <c r="A24">
        <v>46900</v>
      </c>
      <c r="B24">
        <v>119200</v>
      </c>
      <c r="C24">
        <v>72900</v>
      </c>
      <c r="D24">
        <v>71300</v>
      </c>
    </row>
    <row r="25" spans="1:4" x14ac:dyDescent="0.3">
      <c r="A25">
        <v>63700</v>
      </c>
      <c r="B25">
        <v>116500</v>
      </c>
      <c r="C25">
        <v>87700</v>
      </c>
      <c r="D25">
        <v>66900</v>
      </c>
    </row>
    <row r="26" spans="1:4" x14ac:dyDescent="0.3">
      <c r="A26">
        <v>55200</v>
      </c>
      <c r="B26">
        <v>92000</v>
      </c>
      <c r="C26">
        <v>89800</v>
      </c>
      <c r="D26">
        <v>69600</v>
      </c>
    </row>
    <row r="27" spans="1:4" x14ac:dyDescent="0.3">
      <c r="A27">
        <v>68400</v>
      </c>
      <c r="B27">
        <v>113200</v>
      </c>
      <c r="C27">
        <v>90900</v>
      </c>
      <c r="D27">
        <v>68400</v>
      </c>
    </row>
    <row r="28" spans="1:4" x14ac:dyDescent="0.3">
      <c r="A28">
        <v>44200</v>
      </c>
      <c r="B28">
        <v>88300</v>
      </c>
      <c r="C28">
        <v>143100</v>
      </c>
      <c r="D28">
        <v>74700</v>
      </c>
    </row>
    <row r="29" spans="1:4" x14ac:dyDescent="0.3">
      <c r="A29">
        <v>44600</v>
      </c>
      <c r="B29">
        <v>74700</v>
      </c>
      <c r="C29">
        <v>90800</v>
      </c>
      <c r="D29">
        <v>66100</v>
      </c>
    </row>
    <row r="30" spans="1:4" x14ac:dyDescent="0.3">
      <c r="A30">
        <v>57600</v>
      </c>
      <c r="B30">
        <v>66400</v>
      </c>
      <c r="C30">
        <v>94100</v>
      </c>
      <c r="D30">
        <v>78200</v>
      </c>
    </row>
    <row r="31" spans="1:4" x14ac:dyDescent="0.3">
      <c r="A31">
        <v>57800</v>
      </c>
      <c r="B31">
        <v>129000</v>
      </c>
      <c r="C31">
        <v>103000</v>
      </c>
      <c r="D31">
        <v>68500</v>
      </c>
    </row>
    <row r="32" spans="1:4" x14ac:dyDescent="0.3">
      <c r="A32">
        <v>58800</v>
      </c>
      <c r="B32">
        <v>121400</v>
      </c>
      <c r="C32">
        <v>95000</v>
      </c>
      <c r="D32">
        <v>60800</v>
      </c>
    </row>
    <row r="33" spans="1:4" x14ac:dyDescent="0.3">
      <c r="A33">
        <v>53500</v>
      </c>
      <c r="B33">
        <v>85300</v>
      </c>
      <c r="C33">
        <v>76800</v>
      </c>
      <c r="D33">
        <v>70200</v>
      </c>
    </row>
    <row r="34" spans="1:4" x14ac:dyDescent="0.3">
      <c r="A34">
        <v>47900</v>
      </c>
      <c r="B34">
        <v>80600</v>
      </c>
      <c r="C34">
        <v>74700</v>
      </c>
      <c r="D34">
        <v>69500</v>
      </c>
    </row>
    <row r="35" spans="1:4" x14ac:dyDescent="0.3">
      <c r="A35">
        <v>47200</v>
      </c>
      <c r="B35">
        <v>117100</v>
      </c>
      <c r="C35">
        <v>79300</v>
      </c>
      <c r="D35">
        <v>64000</v>
      </c>
    </row>
    <row r="36" spans="1:4" x14ac:dyDescent="0.3">
      <c r="A36">
        <v>57900</v>
      </c>
      <c r="B36">
        <v>79700</v>
      </c>
      <c r="C36">
        <v>106000</v>
      </c>
      <c r="D36">
        <v>71500</v>
      </c>
    </row>
    <row r="37" spans="1:4" x14ac:dyDescent="0.3">
      <c r="A37">
        <v>57600</v>
      </c>
      <c r="B37">
        <v>80600</v>
      </c>
      <c r="C37">
        <v>113600</v>
      </c>
      <c r="D37">
        <v>79500</v>
      </c>
    </row>
    <row r="38" spans="1:4" x14ac:dyDescent="0.3">
      <c r="A38">
        <v>65600</v>
      </c>
      <c r="B38">
        <v>120500</v>
      </c>
      <c r="C38">
        <v>119000</v>
      </c>
      <c r="D38">
        <v>72800</v>
      </c>
    </row>
    <row r="39" spans="1:4" x14ac:dyDescent="0.3">
      <c r="A39">
        <v>69700</v>
      </c>
      <c r="B39">
        <v>119300</v>
      </c>
      <c r="C39">
        <v>102800</v>
      </c>
      <c r="D39">
        <v>81100</v>
      </c>
    </row>
    <row r="40" spans="1:4" x14ac:dyDescent="0.3">
      <c r="A40">
        <v>57400</v>
      </c>
      <c r="B40">
        <v>62300</v>
      </c>
      <c r="C40">
        <v>101400</v>
      </c>
      <c r="D40">
        <v>75800</v>
      </c>
    </row>
    <row r="41" spans="1:4" x14ac:dyDescent="0.3">
      <c r="A41">
        <v>60700</v>
      </c>
      <c r="B41">
        <v>75800</v>
      </c>
      <c r="C41">
        <v>95800</v>
      </c>
      <c r="D41">
        <v>61900</v>
      </c>
    </row>
    <row r="42" spans="1:4" x14ac:dyDescent="0.3">
      <c r="A42">
        <v>48100</v>
      </c>
      <c r="B42">
        <v>58600</v>
      </c>
      <c r="C42">
        <v>115200</v>
      </c>
      <c r="D42">
        <v>73000</v>
      </c>
    </row>
    <row r="43" spans="1:4" x14ac:dyDescent="0.3">
      <c r="A43">
        <v>50700</v>
      </c>
      <c r="B43">
        <v>81800</v>
      </c>
      <c r="C43">
        <v>72700</v>
      </c>
      <c r="D43">
        <v>72000</v>
      </c>
    </row>
    <row r="44" spans="1:4" x14ac:dyDescent="0.3">
      <c r="A44">
        <v>50600</v>
      </c>
      <c r="B44">
        <v>116200</v>
      </c>
      <c r="C44">
        <v>81900</v>
      </c>
      <c r="D44">
        <v>66400</v>
      </c>
    </row>
    <row r="45" spans="1:4" x14ac:dyDescent="0.3">
      <c r="A45">
        <v>48800</v>
      </c>
      <c r="B45">
        <v>104700</v>
      </c>
      <c r="C45">
        <v>70600</v>
      </c>
      <c r="D45">
        <v>72500</v>
      </c>
    </row>
    <row r="46" spans="1:4" x14ac:dyDescent="0.3">
      <c r="A46">
        <v>74300</v>
      </c>
      <c r="B46">
        <v>113300</v>
      </c>
      <c r="C46">
        <v>159200</v>
      </c>
      <c r="D46">
        <v>73800</v>
      </c>
    </row>
    <row r="47" spans="1:4" x14ac:dyDescent="0.3">
      <c r="A47">
        <v>58700</v>
      </c>
      <c r="B47">
        <v>121100</v>
      </c>
      <c r="C47">
        <v>69300</v>
      </c>
      <c r="D47">
        <v>70400</v>
      </c>
    </row>
    <row r="48" spans="1:4" x14ac:dyDescent="0.3">
      <c r="A48">
        <v>60100</v>
      </c>
      <c r="B48">
        <v>67600</v>
      </c>
      <c r="C48">
        <v>105400</v>
      </c>
      <c r="D48">
        <v>71900</v>
      </c>
    </row>
    <row r="49" spans="1:4" x14ac:dyDescent="0.3">
      <c r="A49">
        <v>47900</v>
      </c>
      <c r="B49">
        <v>116300</v>
      </c>
      <c r="C49">
        <v>67500</v>
      </c>
      <c r="D49">
        <v>64000</v>
      </c>
    </row>
    <row r="50" spans="1:4" x14ac:dyDescent="0.3">
      <c r="A50">
        <v>68400</v>
      </c>
      <c r="B50">
        <v>117500</v>
      </c>
      <c r="C50">
        <v>74600</v>
      </c>
      <c r="D50">
        <v>71900</v>
      </c>
    </row>
    <row r="51" spans="1:4" x14ac:dyDescent="0.3">
      <c r="A51">
        <v>55400</v>
      </c>
      <c r="B51">
        <v>130300</v>
      </c>
      <c r="C51">
        <v>77700</v>
      </c>
      <c r="D51">
        <v>61000</v>
      </c>
    </row>
    <row r="52" spans="1:4" x14ac:dyDescent="0.3">
      <c r="A52">
        <v>53500</v>
      </c>
      <c r="B52">
        <v>85000</v>
      </c>
      <c r="C52">
        <v>95600</v>
      </c>
      <c r="D52">
        <v>71000</v>
      </c>
    </row>
    <row r="53" spans="1:4" x14ac:dyDescent="0.3">
      <c r="A53">
        <v>49600</v>
      </c>
      <c r="B53">
        <v>65600</v>
      </c>
      <c r="C53">
        <v>100400</v>
      </c>
      <c r="D53">
        <v>69900</v>
      </c>
    </row>
    <row r="54" spans="1:4" x14ac:dyDescent="0.3">
      <c r="A54">
        <v>47800</v>
      </c>
      <c r="B54">
        <v>121000</v>
      </c>
      <c r="C54">
        <v>126900</v>
      </c>
      <c r="D54">
        <v>81400</v>
      </c>
    </row>
    <row r="55" spans="1:4" x14ac:dyDescent="0.3">
      <c r="A55">
        <v>62000</v>
      </c>
      <c r="B55">
        <v>127600</v>
      </c>
      <c r="C55">
        <v>74700</v>
      </c>
      <c r="D55">
        <v>74200</v>
      </c>
    </row>
    <row r="56" spans="1:4" x14ac:dyDescent="0.3">
      <c r="A56">
        <v>58100</v>
      </c>
      <c r="B56">
        <v>111900</v>
      </c>
      <c r="C56">
        <v>96900</v>
      </c>
      <c r="D56">
        <v>60900</v>
      </c>
    </row>
    <row r="57" spans="1:4" x14ac:dyDescent="0.3">
      <c r="A57">
        <v>57900</v>
      </c>
      <c r="B57">
        <v>80100</v>
      </c>
      <c r="C57">
        <v>119400</v>
      </c>
      <c r="D57">
        <v>79200</v>
      </c>
    </row>
    <row r="58" spans="1:4" x14ac:dyDescent="0.3">
      <c r="A58">
        <v>56100</v>
      </c>
      <c r="B58">
        <v>116400</v>
      </c>
      <c r="C58">
        <v>79300</v>
      </c>
      <c r="D58">
        <v>73700</v>
      </c>
    </row>
    <row r="59" spans="1:4" x14ac:dyDescent="0.3">
      <c r="A59">
        <v>56000</v>
      </c>
      <c r="B59">
        <v>79000</v>
      </c>
      <c r="C59">
        <v>87500</v>
      </c>
      <c r="D59">
        <v>73600</v>
      </c>
    </row>
    <row r="60" spans="1:4" x14ac:dyDescent="0.3">
      <c r="A60">
        <v>52900</v>
      </c>
      <c r="B60">
        <v>74800</v>
      </c>
      <c r="C60">
        <v>108400</v>
      </c>
      <c r="D60">
        <v>71200</v>
      </c>
    </row>
    <row r="61" spans="1:4" x14ac:dyDescent="0.3">
      <c r="A61">
        <v>55100</v>
      </c>
      <c r="B61">
        <v>119000</v>
      </c>
      <c r="C61">
        <v>73800</v>
      </c>
      <c r="D61">
        <v>67600</v>
      </c>
    </row>
    <row r="62" spans="1:4" x14ac:dyDescent="0.3">
      <c r="A62">
        <v>57100</v>
      </c>
      <c r="B62">
        <v>85300</v>
      </c>
      <c r="C62">
        <v>75400</v>
      </c>
      <c r="D62">
        <v>79400</v>
      </c>
    </row>
    <row r="63" spans="1:4" x14ac:dyDescent="0.3">
      <c r="A63">
        <v>48100</v>
      </c>
      <c r="B63">
        <v>102500</v>
      </c>
      <c r="C63">
        <v>86600</v>
      </c>
      <c r="D63">
        <v>71100</v>
      </c>
    </row>
    <row r="64" spans="1:4" x14ac:dyDescent="0.3">
      <c r="A64">
        <v>53100</v>
      </c>
      <c r="B64">
        <v>112300</v>
      </c>
      <c r="C64">
        <v>94700</v>
      </c>
      <c r="D64">
        <v>64200</v>
      </c>
    </row>
    <row r="65" spans="1:4" x14ac:dyDescent="0.3">
      <c r="A65">
        <v>58000</v>
      </c>
      <c r="B65">
        <v>69700</v>
      </c>
      <c r="C65">
        <v>102100</v>
      </c>
      <c r="D65">
        <v>83600</v>
      </c>
    </row>
    <row r="66" spans="1:4" x14ac:dyDescent="0.3">
      <c r="A66">
        <v>58000</v>
      </c>
      <c r="B66">
        <v>79400</v>
      </c>
      <c r="C66">
        <v>112400</v>
      </c>
      <c r="D66">
        <v>82400</v>
      </c>
    </row>
    <row r="67" spans="1:4" x14ac:dyDescent="0.3">
      <c r="A67">
        <v>54700</v>
      </c>
      <c r="B67">
        <v>111200</v>
      </c>
      <c r="C67">
        <v>79900</v>
      </c>
      <c r="D67">
        <v>70100</v>
      </c>
    </row>
    <row r="68" spans="1:4" x14ac:dyDescent="0.3">
      <c r="A68">
        <v>60500</v>
      </c>
      <c r="B68">
        <v>71200</v>
      </c>
      <c r="C68">
        <v>79300</v>
      </c>
      <c r="D68">
        <v>64400</v>
      </c>
    </row>
    <row r="69" spans="1:4" x14ac:dyDescent="0.3">
      <c r="A69">
        <v>52000</v>
      </c>
      <c r="B69">
        <v>129800</v>
      </c>
      <c r="C69">
        <v>116000</v>
      </c>
      <c r="D69">
        <v>64800</v>
      </c>
    </row>
    <row r="70" spans="1:4" x14ac:dyDescent="0.3">
      <c r="A70">
        <v>46400</v>
      </c>
      <c r="B70">
        <v>120600</v>
      </c>
      <c r="C70">
        <v>81500</v>
      </c>
      <c r="D70">
        <v>67500</v>
      </c>
    </row>
    <row r="71" spans="1:4" x14ac:dyDescent="0.3">
      <c r="A71">
        <v>62500</v>
      </c>
      <c r="B71">
        <v>115200</v>
      </c>
      <c r="C71">
        <v>83100</v>
      </c>
      <c r="D71">
        <v>70700</v>
      </c>
    </row>
    <row r="72" spans="1:4" x14ac:dyDescent="0.3">
      <c r="A72">
        <v>67500</v>
      </c>
      <c r="B72">
        <v>118400</v>
      </c>
      <c r="C72">
        <v>89200</v>
      </c>
      <c r="D72">
        <v>72600</v>
      </c>
    </row>
    <row r="73" spans="1:4" x14ac:dyDescent="0.3">
      <c r="A73">
        <v>60800</v>
      </c>
      <c r="B73">
        <v>65900</v>
      </c>
      <c r="C73">
        <v>75700</v>
      </c>
      <c r="D73">
        <v>77300</v>
      </c>
    </row>
    <row r="74" spans="1:4" x14ac:dyDescent="0.3">
      <c r="A74">
        <v>70700</v>
      </c>
      <c r="B74">
        <v>117100</v>
      </c>
      <c r="C74">
        <v>82900</v>
      </c>
      <c r="D74">
        <v>72900</v>
      </c>
    </row>
    <row r="75" spans="1:4" x14ac:dyDescent="0.3">
      <c r="A75">
        <v>62600</v>
      </c>
      <c r="B75">
        <v>74000</v>
      </c>
      <c r="C75">
        <v>74700</v>
      </c>
      <c r="D75">
        <v>69500</v>
      </c>
    </row>
    <row r="76" spans="1:4" x14ac:dyDescent="0.3">
      <c r="A76">
        <v>44300</v>
      </c>
      <c r="B76">
        <v>74200</v>
      </c>
      <c r="C76">
        <v>155700</v>
      </c>
      <c r="D76">
        <v>66600</v>
      </c>
    </row>
    <row r="77" spans="1:4" x14ac:dyDescent="0.3">
      <c r="A77">
        <v>58500</v>
      </c>
      <c r="B77">
        <v>94600</v>
      </c>
      <c r="C77">
        <v>89700</v>
      </c>
      <c r="D77">
        <v>71600</v>
      </c>
    </row>
    <row r="78" spans="1:4" x14ac:dyDescent="0.3">
      <c r="A78">
        <v>59800</v>
      </c>
      <c r="B78">
        <v>111800</v>
      </c>
      <c r="C78">
        <v>102300</v>
      </c>
      <c r="D78">
        <v>73200</v>
      </c>
    </row>
    <row r="79" spans="1:4" x14ac:dyDescent="0.3">
      <c r="A79">
        <v>45100</v>
      </c>
      <c r="B79">
        <v>118800</v>
      </c>
      <c r="C79">
        <v>97500</v>
      </c>
      <c r="D79">
        <v>75500</v>
      </c>
    </row>
    <row r="80" spans="1:4" x14ac:dyDescent="0.3">
      <c r="A80">
        <v>48600</v>
      </c>
      <c r="B80">
        <v>69200</v>
      </c>
      <c r="C80">
        <v>73800</v>
      </c>
      <c r="D80">
        <v>78100</v>
      </c>
    </row>
    <row r="81" spans="1:4" x14ac:dyDescent="0.3">
      <c r="A81">
        <v>48900</v>
      </c>
      <c r="B81">
        <v>126900</v>
      </c>
      <c r="C81">
        <v>88500</v>
      </c>
      <c r="D81">
        <v>66300</v>
      </c>
    </row>
    <row r="82" spans="1:4" x14ac:dyDescent="0.3">
      <c r="A82">
        <v>62000</v>
      </c>
      <c r="B82">
        <v>75000</v>
      </c>
      <c r="C82">
        <v>76500</v>
      </c>
      <c r="D82">
        <v>74100</v>
      </c>
    </row>
    <row r="83" spans="1:4" x14ac:dyDescent="0.3">
      <c r="A83">
        <v>51300</v>
      </c>
      <c r="B83">
        <v>112100</v>
      </c>
      <c r="C83">
        <v>96300</v>
      </c>
      <c r="D83">
        <v>69500</v>
      </c>
    </row>
    <row r="84" spans="1:4" x14ac:dyDescent="0.3">
      <c r="A84">
        <v>51700</v>
      </c>
      <c r="B84">
        <v>68200</v>
      </c>
      <c r="C84">
        <v>77900</v>
      </c>
      <c r="D84">
        <v>74000</v>
      </c>
    </row>
    <row r="85" spans="1:4" x14ac:dyDescent="0.3">
      <c r="A85">
        <v>58300</v>
      </c>
      <c r="B85">
        <v>88800</v>
      </c>
      <c r="C85">
        <v>90900</v>
      </c>
      <c r="D85">
        <v>62800</v>
      </c>
    </row>
    <row r="86" spans="1:4" x14ac:dyDescent="0.3">
      <c r="A86">
        <v>56100</v>
      </c>
      <c r="B86">
        <v>108800</v>
      </c>
      <c r="C86">
        <v>92500</v>
      </c>
      <c r="D86">
        <v>75500</v>
      </c>
    </row>
    <row r="87" spans="1:4" x14ac:dyDescent="0.3">
      <c r="A87">
        <v>57900</v>
      </c>
      <c r="B87">
        <v>116700</v>
      </c>
      <c r="C87">
        <v>111200</v>
      </c>
      <c r="D87">
        <v>62000</v>
      </c>
    </row>
    <row r="88" spans="1:4" x14ac:dyDescent="0.3">
      <c r="A88">
        <v>60300</v>
      </c>
      <c r="B88">
        <v>122900</v>
      </c>
      <c r="C88">
        <v>140000</v>
      </c>
      <c r="D88">
        <v>69600</v>
      </c>
    </row>
    <row r="89" spans="1:4" x14ac:dyDescent="0.3">
      <c r="A89">
        <v>49400</v>
      </c>
      <c r="B89">
        <v>93400</v>
      </c>
      <c r="C89">
        <v>117800</v>
      </c>
      <c r="D89">
        <v>80200</v>
      </c>
    </row>
    <row r="90" spans="1:4" x14ac:dyDescent="0.3">
      <c r="A90">
        <v>48700</v>
      </c>
      <c r="B90">
        <v>116800</v>
      </c>
      <c r="C90">
        <v>97300</v>
      </c>
      <c r="D90">
        <v>75700</v>
      </c>
    </row>
    <row r="91" spans="1:4" x14ac:dyDescent="0.3">
      <c r="A91">
        <v>56100</v>
      </c>
      <c r="B91">
        <v>75700</v>
      </c>
      <c r="C91">
        <v>86400</v>
      </c>
      <c r="D91">
        <v>65200</v>
      </c>
    </row>
    <row r="92" spans="1:4" x14ac:dyDescent="0.3">
      <c r="A92">
        <v>62500</v>
      </c>
      <c r="B92">
        <v>120500</v>
      </c>
      <c r="C92">
        <v>95400</v>
      </c>
      <c r="D92">
        <v>65300</v>
      </c>
    </row>
    <row r="93" spans="1:4" x14ac:dyDescent="0.3">
      <c r="A93">
        <v>64600</v>
      </c>
      <c r="B93">
        <v>59600</v>
      </c>
      <c r="C93">
        <v>83600</v>
      </c>
      <c r="D93">
        <v>74800</v>
      </c>
    </row>
    <row r="94" spans="1:4" x14ac:dyDescent="0.3">
      <c r="A94">
        <v>60300</v>
      </c>
      <c r="B94">
        <v>71500</v>
      </c>
      <c r="C94">
        <v>96300</v>
      </c>
      <c r="D94">
        <v>72200</v>
      </c>
    </row>
    <row r="95" spans="1:4" x14ac:dyDescent="0.3">
      <c r="A95">
        <v>57400</v>
      </c>
      <c r="B95">
        <v>111500</v>
      </c>
      <c r="C95">
        <v>80700</v>
      </c>
      <c r="D95">
        <v>68300</v>
      </c>
    </row>
    <row r="96" spans="1:4" x14ac:dyDescent="0.3">
      <c r="A96">
        <v>46900</v>
      </c>
      <c r="B96">
        <v>118200</v>
      </c>
      <c r="C96">
        <v>105000</v>
      </c>
      <c r="D96">
        <v>73600</v>
      </c>
    </row>
    <row r="97" spans="1:4" x14ac:dyDescent="0.3">
      <c r="A97">
        <v>70600</v>
      </c>
      <c r="B97">
        <v>131000</v>
      </c>
      <c r="C97">
        <v>93400</v>
      </c>
      <c r="D97">
        <v>65800</v>
      </c>
    </row>
    <row r="98" spans="1:4" x14ac:dyDescent="0.3">
      <c r="A98">
        <v>63600</v>
      </c>
      <c r="B98">
        <v>128700</v>
      </c>
      <c r="C98">
        <v>72600</v>
      </c>
      <c r="D98">
        <v>76100</v>
      </c>
    </row>
    <row r="99" spans="1:4" x14ac:dyDescent="0.3">
      <c r="A99">
        <v>57300</v>
      </c>
      <c r="B99">
        <v>113300</v>
      </c>
      <c r="C99">
        <v>81700</v>
      </c>
      <c r="D99">
        <v>76400</v>
      </c>
    </row>
    <row r="100" spans="1:4" x14ac:dyDescent="0.3">
      <c r="A100">
        <v>48300</v>
      </c>
      <c r="B100">
        <v>121700</v>
      </c>
      <c r="C100">
        <v>98300</v>
      </c>
      <c r="D100">
        <v>76400</v>
      </c>
    </row>
    <row r="101" spans="1:4" x14ac:dyDescent="0.3">
      <c r="A101">
        <v>49800</v>
      </c>
      <c r="B101">
        <v>75700</v>
      </c>
      <c r="C101">
        <v>75800</v>
      </c>
      <c r="D101">
        <v>71500</v>
      </c>
    </row>
    <row r="102" spans="1:4" x14ac:dyDescent="0.3">
      <c r="A102">
        <v>46600</v>
      </c>
      <c r="B102">
        <v>66900</v>
      </c>
      <c r="C102">
        <v>82900</v>
      </c>
      <c r="D102">
        <v>71700</v>
      </c>
    </row>
    <row r="103" spans="1:4" x14ac:dyDescent="0.3">
      <c r="A103">
        <v>48000</v>
      </c>
      <c r="B103">
        <v>122100</v>
      </c>
      <c r="C103">
        <v>110800</v>
      </c>
      <c r="D103">
        <v>62800</v>
      </c>
    </row>
    <row r="104" spans="1:4" x14ac:dyDescent="0.3">
      <c r="A104">
        <v>49400</v>
      </c>
      <c r="B104">
        <v>68200</v>
      </c>
      <c r="C104">
        <v>79600</v>
      </c>
      <c r="D104">
        <v>80500</v>
      </c>
    </row>
    <row r="105" spans="1:4" x14ac:dyDescent="0.3">
      <c r="A105">
        <v>53700</v>
      </c>
      <c r="B105">
        <v>69200</v>
      </c>
      <c r="C105">
        <v>96400</v>
      </c>
      <c r="D105">
        <v>67800</v>
      </c>
    </row>
    <row r="106" spans="1:4" x14ac:dyDescent="0.3">
      <c r="A106">
        <v>44400</v>
      </c>
      <c r="B106">
        <v>86900</v>
      </c>
      <c r="C106">
        <v>85600</v>
      </c>
      <c r="D106">
        <v>71100</v>
      </c>
    </row>
    <row r="107" spans="1:4" x14ac:dyDescent="0.3">
      <c r="A107">
        <v>48100</v>
      </c>
      <c r="B107">
        <v>116700</v>
      </c>
      <c r="C107">
        <v>98800</v>
      </c>
      <c r="D107">
        <v>63500</v>
      </c>
    </row>
    <row r="108" spans="1:4" x14ac:dyDescent="0.3">
      <c r="A108">
        <v>58200</v>
      </c>
      <c r="B108">
        <v>115100</v>
      </c>
      <c r="C108">
        <v>89200</v>
      </c>
      <c r="D108">
        <v>62500</v>
      </c>
    </row>
    <row r="109" spans="1:4" x14ac:dyDescent="0.3">
      <c r="A109">
        <v>47000</v>
      </c>
      <c r="B109">
        <v>108300</v>
      </c>
      <c r="C109">
        <v>103800</v>
      </c>
      <c r="D109">
        <v>65900</v>
      </c>
    </row>
    <row r="110" spans="1:4" x14ac:dyDescent="0.3">
      <c r="A110">
        <v>61200</v>
      </c>
      <c r="B110">
        <v>72100</v>
      </c>
      <c r="C110">
        <v>94400</v>
      </c>
      <c r="D110">
        <v>68400</v>
      </c>
    </row>
    <row r="111" spans="1:4" x14ac:dyDescent="0.3">
      <c r="A111">
        <v>65200</v>
      </c>
      <c r="B111">
        <v>81300</v>
      </c>
      <c r="C111">
        <v>112600</v>
      </c>
      <c r="D111">
        <v>67300</v>
      </c>
    </row>
    <row r="112" spans="1:4" x14ac:dyDescent="0.3">
      <c r="A112">
        <v>51900</v>
      </c>
      <c r="B112">
        <v>78800</v>
      </c>
      <c r="C112">
        <v>82300</v>
      </c>
      <c r="D112">
        <v>66000</v>
      </c>
    </row>
    <row r="113" spans="1:4" x14ac:dyDescent="0.3">
      <c r="A113">
        <v>70200</v>
      </c>
      <c r="B113">
        <v>73100</v>
      </c>
      <c r="C113">
        <v>105500</v>
      </c>
      <c r="D113">
        <v>68200</v>
      </c>
    </row>
    <row r="114" spans="1:4" x14ac:dyDescent="0.3">
      <c r="A114">
        <v>55800</v>
      </c>
      <c r="B114">
        <v>122800</v>
      </c>
      <c r="C114">
        <v>94100</v>
      </c>
      <c r="D114">
        <v>73200</v>
      </c>
    </row>
    <row r="115" spans="1:4" x14ac:dyDescent="0.3">
      <c r="A115">
        <v>45200</v>
      </c>
      <c r="B115">
        <v>116600</v>
      </c>
      <c r="C115">
        <v>105000</v>
      </c>
      <c r="D115">
        <v>69400</v>
      </c>
    </row>
    <row r="116" spans="1:4" x14ac:dyDescent="0.3">
      <c r="A116">
        <v>55800</v>
      </c>
      <c r="B116">
        <v>116300</v>
      </c>
      <c r="C116">
        <v>76600</v>
      </c>
      <c r="D116">
        <v>69800</v>
      </c>
    </row>
    <row r="117" spans="1:4" x14ac:dyDescent="0.3">
      <c r="A117">
        <v>54500</v>
      </c>
      <c r="B117">
        <v>79500</v>
      </c>
      <c r="C117">
        <v>74400</v>
      </c>
      <c r="D117">
        <v>66800</v>
      </c>
    </row>
    <row r="118" spans="1:4" x14ac:dyDescent="0.3">
      <c r="A118">
        <v>48800</v>
      </c>
      <c r="B118">
        <v>119500</v>
      </c>
      <c r="C118">
        <v>76800</v>
      </c>
      <c r="D118">
        <v>72100</v>
      </c>
    </row>
    <row r="119" spans="1:4" x14ac:dyDescent="0.3">
      <c r="A119">
        <v>57200</v>
      </c>
      <c r="B119">
        <v>113600</v>
      </c>
      <c r="C119">
        <v>72000</v>
      </c>
      <c r="D119">
        <v>71700</v>
      </c>
    </row>
    <row r="120" spans="1:4" x14ac:dyDescent="0.3">
      <c r="A120">
        <v>46700</v>
      </c>
      <c r="B120">
        <v>72400</v>
      </c>
      <c r="C120">
        <v>87600</v>
      </c>
      <c r="D120">
        <v>72300</v>
      </c>
    </row>
    <row r="121" spans="1:4" x14ac:dyDescent="0.3">
      <c r="A121">
        <v>57400</v>
      </c>
      <c r="B121">
        <v>93100</v>
      </c>
      <c r="C121">
        <v>73000</v>
      </c>
      <c r="D121">
        <v>64900</v>
      </c>
    </row>
    <row r="122" spans="1:4" x14ac:dyDescent="0.3">
      <c r="A122">
        <v>57800</v>
      </c>
      <c r="B122">
        <v>95200</v>
      </c>
      <c r="C122">
        <v>77500</v>
      </c>
      <c r="D122">
        <v>72900</v>
      </c>
    </row>
    <row r="123" spans="1:4" x14ac:dyDescent="0.3">
      <c r="A123">
        <v>51100</v>
      </c>
      <c r="B123">
        <v>76900</v>
      </c>
      <c r="C123">
        <v>110600</v>
      </c>
      <c r="D123">
        <v>70100</v>
      </c>
    </row>
    <row r="124" spans="1:4" x14ac:dyDescent="0.3">
      <c r="A124">
        <v>45700</v>
      </c>
      <c r="B124">
        <v>124400</v>
      </c>
      <c r="C124">
        <v>91000</v>
      </c>
      <c r="D124">
        <v>77400</v>
      </c>
    </row>
    <row r="125" spans="1:4" x14ac:dyDescent="0.3">
      <c r="A125">
        <v>59700</v>
      </c>
      <c r="B125">
        <v>79600</v>
      </c>
      <c r="C125">
        <v>107000</v>
      </c>
      <c r="D125">
        <v>74600</v>
      </c>
    </row>
    <row r="126" spans="1:4" x14ac:dyDescent="0.3">
      <c r="A126">
        <v>50400</v>
      </c>
      <c r="B126">
        <v>82300</v>
      </c>
      <c r="C126">
        <v>79800</v>
      </c>
      <c r="D126">
        <v>75300</v>
      </c>
    </row>
    <row r="127" spans="1:4" x14ac:dyDescent="0.3">
      <c r="A127">
        <v>45400</v>
      </c>
      <c r="B127">
        <v>119900</v>
      </c>
      <c r="C127">
        <v>81400</v>
      </c>
      <c r="D127">
        <v>78200</v>
      </c>
    </row>
    <row r="128" spans="1:4" x14ac:dyDescent="0.3">
      <c r="A128">
        <v>45600</v>
      </c>
      <c r="B128">
        <v>126800</v>
      </c>
      <c r="C128">
        <v>87500</v>
      </c>
      <c r="D128">
        <v>69900</v>
      </c>
    </row>
    <row r="129" spans="1:4" x14ac:dyDescent="0.3">
      <c r="A129">
        <v>49900</v>
      </c>
      <c r="B129">
        <v>68600</v>
      </c>
      <c r="C129">
        <v>77700</v>
      </c>
      <c r="D129">
        <v>74900</v>
      </c>
    </row>
    <row r="130" spans="1:4" x14ac:dyDescent="0.3">
      <c r="A130">
        <v>55300</v>
      </c>
      <c r="B130">
        <v>63100</v>
      </c>
      <c r="C130">
        <v>104200</v>
      </c>
      <c r="D130">
        <v>70600</v>
      </c>
    </row>
    <row r="131" spans="1:4" x14ac:dyDescent="0.3">
      <c r="A131">
        <v>45100</v>
      </c>
      <c r="B131">
        <v>67500</v>
      </c>
      <c r="C131">
        <v>118100</v>
      </c>
      <c r="D131">
        <v>71900</v>
      </c>
    </row>
    <row r="132" spans="1:4" x14ac:dyDescent="0.3">
      <c r="A132">
        <v>69500</v>
      </c>
      <c r="B132">
        <v>73900</v>
      </c>
      <c r="C132">
        <v>100900</v>
      </c>
      <c r="D132">
        <v>71600</v>
      </c>
    </row>
    <row r="133" spans="1:4" x14ac:dyDescent="0.3">
      <c r="A133">
        <v>46600</v>
      </c>
      <c r="B133">
        <v>90700</v>
      </c>
      <c r="C133">
        <v>92000</v>
      </c>
      <c r="D133">
        <v>68800</v>
      </c>
    </row>
    <row r="134" spans="1:4" x14ac:dyDescent="0.3">
      <c r="A134">
        <v>47600</v>
      </c>
      <c r="B134">
        <v>66500</v>
      </c>
      <c r="C134">
        <v>102500</v>
      </c>
      <c r="D134">
        <v>69200</v>
      </c>
    </row>
    <row r="135" spans="1:4" x14ac:dyDescent="0.3">
      <c r="A135">
        <v>45900</v>
      </c>
      <c r="B135">
        <v>91500</v>
      </c>
      <c r="C135">
        <v>81200</v>
      </c>
      <c r="D135">
        <v>74400</v>
      </c>
    </row>
    <row r="136" spans="1:4" x14ac:dyDescent="0.3">
      <c r="A136">
        <v>70300</v>
      </c>
      <c r="B136">
        <v>70800</v>
      </c>
      <c r="C136">
        <v>84600</v>
      </c>
      <c r="D136">
        <v>80500</v>
      </c>
    </row>
    <row r="137" spans="1:4" x14ac:dyDescent="0.3">
      <c r="A137">
        <v>60900</v>
      </c>
      <c r="B137">
        <v>118200</v>
      </c>
      <c r="C137">
        <v>101000</v>
      </c>
      <c r="D137">
        <v>70900</v>
      </c>
    </row>
    <row r="138" spans="1:4" x14ac:dyDescent="0.3">
      <c r="A138">
        <v>59100</v>
      </c>
      <c r="B138">
        <v>132000</v>
      </c>
      <c r="C138">
        <v>74900</v>
      </c>
      <c r="D138">
        <v>66500</v>
      </c>
    </row>
    <row r="139" spans="1:4" x14ac:dyDescent="0.3">
      <c r="A139">
        <v>58300</v>
      </c>
      <c r="B139">
        <v>126300</v>
      </c>
      <c r="C139">
        <v>76600</v>
      </c>
      <c r="D139">
        <v>65100</v>
      </c>
    </row>
    <row r="140" spans="1:4" x14ac:dyDescent="0.3">
      <c r="A140">
        <v>56400</v>
      </c>
      <c r="B140">
        <v>74200</v>
      </c>
      <c r="C140">
        <v>78100</v>
      </c>
      <c r="D140">
        <v>66400</v>
      </c>
    </row>
    <row r="141" spans="1:4" x14ac:dyDescent="0.3">
      <c r="A141">
        <v>48000</v>
      </c>
      <c r="B141">
        <v>83400</v>
      </c>
      <c r="C141">
        <v>66500</v>
      </c>
      <c r="D141">
        <v>79300</v>
      </c>
    </row>
    <row r="142" spans="1:4" x14ac:dyDescent="0.3">
      <c r="A142">
        <v>63800</v>
      </c>
      <c r="B142">
        <v>117900</v>
      </c>
      <c r="C142">
        <v>79600</v>
      </c>
      <c r="D142">
        <v>73600</v>
      </c>
    </row>
    <row r="143" spans="1:4" x14ac:dyDescent="0.3">
      <c r="A143">
        <v>61000</v>
      </c>
      <c r="B143">
        <v>131800</v>
      </c>
      <c r="C143">
        <v>110600</v>
      </c>
      <c r="D143">
        <v>69300</v>
      </c>
    </row>
    <row r="144" spans="1:4" x14ac:dyDescent="0.3">
      <c r="A144">
        <v>48400</v>
      </c>
      <c r="B144">
        <v>65800</v>
      </c>
      <c r="C144">
        <v>151900</v>
      </c>
      <c r="D144">
        <v>82600</v>
      </c>
    </row>
    <row r="145" spans="1:4" x14ac:dyDescent="0.3">
      <c r="A145">
        <v>57400</v>
      </c>
      <c r="B145">
        <v>120900</v>
      </c>
      <c r="C145">
        <v>90000</v>
      </c>
      <c r="D145">
        <v>79200</v>
      </c>
    </row>
    <row r="146" spans="1:4" x14ac:dyDescent="0.3">
      <c r="A146">
        <v>56500</v>
      </c>
      <c r="B146">
        <v>129600</v>
      </c>
      <c r="C146">
        <v>91200</v>
      </c>
      <c r="D146">
        <v>82700</v>
      </c>
    </row>
    <row r="147" spans="1:4" x14ac:dyDescent="0.3">
      <c r="A147">
        <v>60400</v>
      </c>
      <c r="B147">
        <v>124400</v>
      </c>
      <c r="C147">
        <v>104600</v>
      </c>
      <c r="D147">
        <v>71300</v>
      </c>
    </row>
    <row r="148" spans="1:4" x14ac:dyDescent="0.3">
      <c r="A148">
        <v>54000</v>
      </c>
      <c r="B148">
        <v>121000</v>
      </c>
      <c r="C148">
        <v>94100</v>
      </c>
      <c r="D148">
        <v>74800</v>
      </c>
    </row>
    <row r="149" spans="1:4" x14ac:dyDescent="0.3">
      <c r="A149">
        <v>72600</v>
      </c>
      <c r="B149">
        <v>96100</v>
      </c>
      <c r="C149">
        <v>100700</v>
      </c>
      <c r="D149">
        <v>78100</v>
      </c>
    </row>
    <row r="150" spans="1:4" x14ac:dyDescent="0.3">
      <c r="A150">
        <v>49000</v>
      </c>
      <c r="B150">
        <v>76600</v>
      </c>
      <c r="C150">
        <v>121900</v>
      </c>
      <c r="D150">
        <v>74800</v>
      </c>
    </row>
    <row r="151" spans="1:4" x14ac:dyDescent="0.3">
      <c r="A151">
        <v>48700</v>
      </c>
      <c r="B151">
        <v>131800</v>
      </c>
      <c r="C151">
        <v>101500</v>
      </c>
      <c r="D151">
        <v>79000</v>
      </c>
    </row>
    <row r="152" spans="1:4" x14ac:dyDescent="0.3">
      <c r="A152">
        <v>60300</v>
      </c>
      <c r="B152">
        <v>76000</v>
      </c>
      <c r="C152">
        <v>80500</v>
      </c>
      <c r="D152">
        <v>69100</v>
      </c>
    </row>
    <row r="153" spans="1:4" x14ac:dyDescent="0.3">
      <c r="A153">
        <v>51800</v>
      </c>
      <c r="B153">
        <v>124600</v>
      </c>
      <c r="C153">
        <v>72900</v>
      </c>
      <c r="D153">
        <v>83600</v>
      </c>
    </row>
    <row r="154" spans="1:4" x14ac:dyDescent="0.3">
      <c r="A154">
        <v>71800</v>
      </c>
      <c r="B154">
        <v>118300</v>
      </c>
      <c r="C154">
        <v>83500</v>
      </c>
      <c r="D154">
        <v>82500</v>
      </c>
    </row>
    <row r="155" spans="1:4" x14ac:dyDescent="0.3">
      <c r="A155">
        <v>58700</v>
      </c>
      <c r="B155">
        <v>75200</v>
      </c>
      <c r="C155">
        <v>77000</v>
      </c>
      <c r="D155">
        <v>72200</v>
      </c>
    </row>
    <row r="156" spans="1:4" x14ac:dyDescent="0.3">
      <c r="A156">
        <v>55800</v>
      </c>
      <c r="B156">
        <v>126200</v>
      </c>
      <c r="C156">
        <v>107300</v>
      </c>
      <c r="D156">
        <v>68700</v>
      </c>
    </row>
    <row r="157" spans="1:4" x14ac:dyDescent="0.3">
      <c r="A157">
        <v>44400</v>
      </c>
      <c r="B157">
        <v>76700</v>
      </c>
      <c r="C157">
        <v>80100</v>
      </c>
      <c r="D157">
        <v>68800</v>
      </c>
    </row>
    <row r="158" spans="1:4" x14ac:dyDescent="0.3">
      <c r="A158">
        <v>55500</v>
      </c>
      <c r="B158">
        <v>123100</v>
      </c>
      <c r="C158">
        <v>80400</v>
      </c>
      <c r="D158">
        <v>67700</v>
      </c>
    </row>
    <row r="159" spans="1:4" x14ac:dyDescent="0.3">
      <c r="A159">
        <v>56200</v>
      </c>
      <c r="B159">
        <v>125900</v>
      </c>
      <c r="C159">
        <v>90500</v>
      </c>
      <c r="D159">
        <v>69800</v>
      </c>
    </row>
    <row r="160" spans="1:4" x14ac:dyDescent="0.3">
      <c r="A160">
        <v>62000</v>
      </c>
      <c r="B160">
        <v>60700</v>
      </c>
      <c r="C160">
        <v>101500</v>
      </c>
      <c r="D160">
        <v>72600</v>
      </c>
    </row>
    <row r="161" spans="1:4" x14ac:dyDescent="0.3">
      <c r="A161">
        <v>58400</v>
      </c>
      <c r="B161">
        <v>85800</v>
      </c>
      <c r="C161">
        <v>66600</v>
      </c>
      <c r="D161">
        <v>75000</v>
      </c>
    </row>
    <row r="162" spans="1:4" x14ac:dyDescent="0.3">
      <c r="A162">
        <v>47800</v>
      </c>
      <c r="B162">
        <v>126300</v>
      </c>
      <c r="C162">
        <v>84600</v>
      </c>
      <c r="D162">
        <v>77600</v>
      </c>
    </row>
    <row r="163" spans="1:4" x14ac:dyDescent="0.3">
      <c r="A163">
        <v>60500</v>
      </c>
      <c r="B163">
        <v>80000</v>
      </c>
      <c r="C163">
        <v>77600</v>
      </c>
      <c r="D163">
        <v>78700</v>
      </c>
    </row>
    <row r="164" spans="1:4" x14ac:dyDescent="0.3">
      <c r="A164">
        <v>50800</v>
      </c>
      <c r="B164">
        <v>89900</v>
      </c>
      <c r="C164">
        <v>88500</v>
      </c>
      <c r="D164">
        <v>79200</v>
      </c>
    </row>
    <row r="165" spans="1:4" x14ac:dyDescent="0.3">
      <c r="A165">
        <v>44500</v>
      </c>
      <c r="B165">
        <v>76400</v>
      </c>
      <c r="C165">
        <v>106000</v>
      </c>
      <c r="D165">
        <v>74600</v>
      </c>
    </row>
    <row r="166" spans="1:4" x14ac:dyDescent="0.3">
      <c r="A166">
        <v>59100</v>
      </c>
      <c r="B166">
        <v>111000</v>
      </c>
      <c r="C166">
        <v>90900</v>
      </c>
      <c r="D166">
        <v>69900</v>
      </c>
    </row>
    <row r="167" spans="1:4" x14ac:dyDescent="0.3">
      <c r="A167">
        <v>68600</v>
      </c>
      <c r="B167">
        <v>119800</v>
      </c>
      <c r="C167">
        <v>119400</v>
      </c>
      <c r="D167">
        <v>80600</v>
      </c>
    </row>
    <row r="168" spans="1:4" x14ac:dyDescent="0.3">
      <c r="A168">
        <v>65400</v>
      </c>
      <c r="B168">
        <v>92800</v>
      </c>
      <c r="C168">
        <v>77900</v>
      </c>
      <c r="D168">
        <v>67800</v>
      </c>
    </row>
    <row r="169" spans="1:4" x14ac:dyDescent="0.3">
      <c r="A169">
        <v>44000</v>
      </c>
      <c r="B169">
        <v>76900</v>
      </c>
      <c r="C169">
        <v>109100</v>
      </c>
      <c r="D169">
        <v>66100</v>
      </c>
    </row>
    <row r="170" spans="1:4" x14ac:dyDescent="0.3">
      <c r="A170">
        <v>44700</v>
      </c>
      <c r="B170">
        <v>84500</v>
      </c>
      <c r="C170">
        <v>97500</v>
      </c>
      <c r="D170">
        <v>67900</v>
      </c>
    </row>
    <row r="171" spans="1:4" x14ac:dyDescent="0.3">
      <c r="A171">
        <v>44800</v>
      </c>
      <c r="B171">
        <v>105100</v>
      </c>
      <c r="C171">
        <v>86700</v>
      </c>
      <c r="D171">
        <v>69800</v>
      </c>
    </row>
    <row r="172" spans="1:4" x14ac:dyDescent="0.3">
      <c r="A172">
        <v>44800</v>
      </c>
      <c r="B172">
        <v>89900</v>
      </c>
      <c r="C172">
        <v>85200</v>
      </c>
      <c r="D172">
        <v>73000</v>
      </c>
    </row>
    <row r="173" spans="1:4" x14ac:dyDescent="0.3">
      <c r="A173">
        <v>64800</v>
      </c>
      <c r="B173">
        <v>102000</v>
      </c>
      <c r="C173">
        <v>80000</v>
      </c>
      <c r="D173">
        <v>75700</v>
      </c>
    </row>
    <row r="174" spans="1:4" x14ac:dyDescent="0.3">
      <c r="A174">
        <v>45000</v>
      </c>
      <c r="B174">
        <v>60300</v>
      </c>
      <c r="C174">
        <v>92400</v>
      </c>
      <c r="D174">
        <v>70100</v>
      </c>
    </row>
    <row r="175" spans="1:4" x14ac:dyDescent="0.3">
      <c r="A175">
        <v>47200</v>
      </c>
      <c r="B175">
        <v>96000</v>
      </c>
      <c r="C175">
        <v>127300</v>
      </c>
      <c r="D175">
        <v>68100</v>
      </c>
    </row>
    <row r="176" spans="1:4" x14ac:dyDescent="0.3">
      <c r="A176">
        <v>45700</v>
      </c>
      <c r="B176">
        <v>85000</v>
      </c>
      <c r="C176">
        <v>154200</v>
      </c>
      <c r="D176">
        <v>68600</v>
      </c>
    </row>
    <row r="177" spans="1:4" x14ac:dyDescent="0.3">
      <c r="A177">
        <v>47100</v>
      </c>
      <c r="B177">
        <v>128200</v>
      </c>
      <c r="C177">
        <v>89000</v>
      </c>
      <c r="D177">
        <v>61700</v>
      </c>
    </row>
    <row r="178" spans="1:4" x14ac:dyDescent="0.3">
      <c r="A178">
        <v>45800</v>
      </c>
      <c r="B178">
        <v>85000</v>
      </c>
      <c r="C178">
        <v>112800</v>
      </c>
      <c r="D178">
        <v>68700</v>
      </c>
    </row>
    <row r="179" spans="1:4" x14ac:dyDescent="0.3">
      <c r="A179">
        <v>46500</v>
      </c>
      <c r="B179">
        <v>135500</v>
      </c>
      <c r="C179">
        <v>122500</v>
      </c>
      <c r="D179">
        <v>77300</v>
      </c>
    </row>
    <row r="180" spans="1:4" x14ac:dyDescent="0.3">
      <c r="A180">
        <v>46300</v>
      </c>
      <c r="B180">
        <v>136700</v>
      </c>
      <c r="C180">
        <v>95900</v>
      </c>
      <c r="D180">
        <v>68400</v>
      </c>
    </row>
    <row r="181" spans="1:4" x14ac:dyDescent="0.3">
      <c r="A181">
        <v>45400</v>
      </c>
      <c r="B181">
        <v>97000</v>
      </c>
      <c r="C181">
        <v>81000</v>
      </c>
      <c r="D181">
        <v>74800</v>
      </c>
    </row>
    <row r="182" spans="1:4" x14ac:dyDescent="0.3">
      <c r="A182">
        <v>46700</v>
      </c>
      <c r="B182">
        <v>71900</v>
      </c>
      <c r="C182">
        <v>119400</v>
      </c>
      <c r="D182">
        <v>67900</v>
      </c>
    </row>
    <row r="183" spans="1:4" x14ac:dyDescent="0.3">
      <c r="A183">
        <v>45000</v>
      </c>
      <c r="B183">
        <v>124500</v>
      </c>
      <c r="C183">
        <v>90300</v>
      </c>
      <c r="D183">
        <v>72800</v>
      </c>
    </row>
    <row r="184" spans="1:4" x14ac:dyDescent="0.3">
      <c r="A184">
        <v>44800</v>
      </c>
      <c r="B184">
        <v>105500</v>
      </c>
      <c r="C184">
        <v>104100</v>
      </c>
      <c r="D184">
        <v>78000</v>
      </c>
    </row>
    <row r="185" spans="1:4" x14ac:dyDescent="0.3">
      <c r="A185">
        <v>44600</v>
      </c>
      <c r="B185">
        <v>121800</v>
      </c>
      <c r="C185">
        <v>102600</v>
      </c>
      <c r="D185">
        <v>73900</v>
      </c>
    </row>
    <row r="186" spans="1:4" x14ac:dyDescent="0.3">
      <c r="A186">
        <v>45100</v>
      </c>
      <c r="B186">
        <v>133700</v>
      </c>
      <c r="C186">
        <v>88400</v>
      </c>
      <c r="D186">
        <v>79200</v>
      </c>
    </row>
    <row r="187" spans="1:4" x14ac:dyDescent="0.3">
      <c r="A187">
        <v>71600</v>
      </c>
      <c r="B187">
        <v>97800</v>
      </c>
      <c r="C187">
        <v>97400</v>
      </c>
      <c r="D187">
        <v>76000</v>
      </c>
    </row>
    <row r="188" spans="1:4" x14ac:dyDescent="0.3">
      <c r="A188">
        <v>60200</v>
      </c>
      <c r="B188">
        <v>133000</v>
      </c>
      <c r="C188">
        <v>93900</v>
      </c>
      <c r="D188">
        <v>71700</v>
      </c>
    </row>
    <row r="189" spans="1:4" x14ac:dyDescent="0.3">
      <c r="A189">
        <v>55700</v>
      </c>
      <c r="B189">
        <v>63800</v>
      </c>
      <c r="C189">
        <v>79800</v>
      </c>
      <c r="D189">
        <v>68700</v>
      </c>
    </row>
    <row r="190" spans="1:4" x14ac:dyDescent="0.3">
      <c r="A190">
        <v>54700</v>
      </c>
      <c r="B190">
        <v>85100</v>
      </c>
      <c r="C190">
        <v>81300</v>
      </c>
      <c r="D190">
        <v>71000</v>
      </c>
    </row>
    <row r="191" spans="1:4" x14ac:dyDescent="0.3">
      <c r="A191">
        <v>44500</v>
      </c>
      <c r="B191">
        <v>120500</v>
      </c>
      <c r="C191">
        <v>84600</v>
      </c>
      <c r="D191">
        <v>75100</v>
      </c>
    </row>
    <row r="192" spans="1:4" x14ac:dyDescent="0.3">
      <c r="A192">
        <v>49200</v>
      </c>
      <c r="B192">
        <v>80800</v>
      </c>
      <c r="C192">
        <v>109600</v>
      </c>
      <c r="D192">
        <v>80100</v>
      </c>
    </row>
    <row r="193" spans="1:4" x14ac:dyDescent="0.3">
      <c r="A193">
        <v>57500</v>
      </c>
      <c r="B193">
        <v>114900</v>
      </c>
      <c r="C193">
        <v>84400</v>
      </c>
      <c r="D193">
        <v>81200</v>
      </c>
    </row>
    <row r="194" spans="1:4" x14ac:dyDescent="0.3">
      <c r="A194">
        <v>48500</v>
      </c>
      <c r="B194">
        <v>117300</v>
      </c>
      <c r="C194">
        <v>92100</v>
      </c>
      <c r="D194">
        <v>82300</v>
      </c>
    </row>
    <row r="195" spans="1:4" x14ac:dyDescent="0.3">
      <c r="A195">
        <v>48700</v>
      </c>
      <c r="B195">
        <v>67000</v>
      </c>
      <c r="C195">
        <v>93600</v>
      </c>
      <c r="D195">
        <v>81000</v>
      </c>
    </row>
    <row r="196" spans="1:4" x14ac:dyDescent="0.3">
      <c r="A196">
        <v>54600</v>
      </c>
      <c r="C196">
        <v>111000</v>
      </c>
      <c r="D196">
        <v>75300</v>
      </c>
    </row>
    <row r="197" spans="1:4" x14ac:dyDescent="0.3">
      <c r="A197">
        <v>48800</v>
      </c>
      <c r="C197">
        <v>114300</v>
      </c>
      <c r="D197">
        <v>70900</v>
      </c>
    </row>
    <row r="198" spans="1:4" x14ac:dyDescent="0.3">
      <c r="A198">
        <v>47400</v>
      </c>
      <c r="C198">
        <v>119000</v>
      </c>
      <c r="D198">
        <v>70500</v>
      </c>
    </row>
    <row r="199" spans="1:4" x14ac:dyDescent="0.3">
      <c r="A199">
        <v>46100</v>
      </c>
      <c r="C199">
        <v>108300</v>
      </c>
      <c r="D199">
        <v>72500</v>
      </c>
    </row>
    <row r="200" spans="1:4" x14ac:dyDescent="0.3">
      <c r="A200">
        <v>65100</v>
      </c>
      <c r="C200">
        <v>102700</v>
      </c>
      <c r="D200">
        <v>73400</v>
      </c>
    </row>
    <row r="201" spans="1:4" x14ac:dyDescent="0.3">
      <c r="A201">
        <v>48300</v>
      </c>
      <c r="C201">
        <v>94100</v>
      </c>
      <c r="D201">
        <v>73500</v>
      </c>
    </row>
    <row r="202" spans="1:4" x14ac:dyDescent="0.3">
      <c r="A202">
        <v>61400</v>
      </c>
      <c r="C202">
        <v>116500</v>
      </c>
      <c r="D202">
        <v>71900</v>
      </c>
    </row>
    <row r="203" spans="1:4" x14ac:dyDescent="0.3">
      <c r="A203">
        <v>50900</v>
      </c>
      <c r="C203">
        <v>109900</v>
      </c>
      <c r="D203">
        <v>72700</v>
      </c>
    </row>
    <row r="204" spans="1:4" x14ac:dyDescent="0.3">
      <c r="A204">
        <v>57700</v>
      </c>
      <c r="C204">
        <v>111500</v>
      </c>
      <c r="D204">
        <v>73500</v>
      </c>
    </row>
    <row r="205" spans="1:4" x14ac:dyDescent="0.3">
      <c r="A205">
        <v>54200</v>
      </c>
      <c r="C205">
        <v>110700</v>
      </c>
      <c r="D205">
        <v>74000</v>
      </c>
    </row>
    <row r="206" spans="1:4" x14ac:dyDescent="0.3">
      <c r="A206">
        <v>57400</v>
      </c>
      <c r="C206">
        <v>92200</v>
      </c>
      <c r="D206">
        <v>76900</v>
      </c>
    </row>
    <row r="207" spans="1:4" x14ac:dyDescent="0.3">
      <c r="A207">
        <v>50100</v>
      </c>
      <c r="C207">
        <v>94300</v>
      </c>
      <c r="D207">
        <v>81500</v>
      </c>
    </row>
    <row r="208" spans="1:4" x14ac:dyDescent="0.3">
      <c r="A208">
        <v>48400</v>
      </c>
      <c r="C208">
        <v>81000</v>
      </c>
      <c r="D208">
        <v>75900</v>
      </c>
    </row>
    <row r="209" spans="1:4" x14ac:dyDescent="0.3">
      <c r="A209">
        <v>48500</v>
      </c>
      <c r="C209">
        <v>75000</v>
      </c>
      <c r="D209">
        <v>78400</v>
      </c>
    </row>
    <row r="210" spans="1:4" x14ac:dyDescent="0.3">
      <c r="A210">
        <v>43500</v>
      </c>
      <c r="C210">
        <v>99000</v>
      </c>
      <c r="D210">
        <v>73200</v>
      </c>
    </row>
    <row r="211" spans="1:4" x14ac:dyDescent="0.3">
      <c r="A211">
        <v>47600</v>
      </c>
      <c r="C211">
        <v>108100</v>
      </c>
      <c r="D211">
        <v>72100</v>
      </c>
    </row>
    <row r="212" spans="1:4" x14ac:dyDescent="0.3">
      <c r="A212">
        <v>66500</v>
      </c>
      <c r="C212">
        <v>98700</v>
      </c>
      <c r="D212">
        <v>72800</v>
      </c>
    </row>
    <row r="213" spans="1:4" x14ac:dyDescent="0.3">
      <c r="A213">
        <v>50100</v>
      </c>
      <c r="C213">
        <v>157900</v>
      </c>
      <c r="D213">
        <v>73900</v>
      </c>
    </row>
    <row r="214" spans="1:4" x14ac:dyDescent="0.3">
      <c r="A214">
        <v>49200</v>
      </c>
      <c r="C214">
        <v>102300</v>
      </c>
      <c r="D214">
        <v>82600</v>
      </c>
    </row>
    <row r="215" spans="1:4" x14ac:dyDescent="0.3">
      <c r="A215">
        <v>56200</v>
      </c>
      <c r="C215">
        <v>99500</v>
      </c>
      <c r="D215">
        <v>78100</v>
      </c>
    </row>
    <row r="216" spans="1:4" x14ac:dyDescent="0.3">
      <c r="A216">
        <v>52700</v>
      </c>
      <c r="C216">
        <v>97100</v>
      </c>
      <c r="D216">
        <v>86700</v>
      </c>
    </row>
    <row r="217" spans="1:4" x14ac:dyDescent="0.3">
      <c r="A217">
        <v>44400</v>
      </c>
      <c r="C217">
        <v>86200</v>
      </c>
      <c r="D217">
        <v>75800</v>
      </c>
    </row>
    <row r="218" spans="1:4" x14ac:dyDescent="0.3">
      <c r="A218">
        <v>44800</v>
      </c>
      <c r="C218">
        <v>84800</v>
      </c>
      <c r="D218">
        <v>82700</v>
      </c>
    </row>
    <row r="219" spans="1:4" x14ac:dyDescent="0.3">
      <c r="A219">
        <v>52000</v>
      </c>
      <c r="C219">
        <v>108900</v>
      </c>
      <c r="D219">
        <v>79500</v>
      </c>
    </row>
    <row r="220" spans="1:4" x14ac:dyDescent="0.3">
      <c r="A220">
        <v>48300</v>
      </c>
      <c r="C220">
        <v>112900</v>
      </c>
      <c r="D220">
        <v>77500</v>
      </c>
    </row>
    <row r="221" spans="1:4" x14ac:dyDescent="0.3">
      <c r="A221">
        <v>45900</v>
      </c>
      <c r="C221">
        <v>85700</v>
      </c>
      <c r="D221">
        <v>77800</v>
      </c>
    </row>
    <row r="222" spans="1:4" x14ac:dyDescent="0.3">
      <c r="A222">
        <v>54200</v>
      </c>
      <c r="C222">
        <v>68100</v>
      </c>
      <c r="D222">
        <v>76600</v>
      </c>
    </row>
    <row r="223" spans="1:4" x14ac:dyDescent="0.3">
      <c r="A223">
        <v>74000</v>
      </c>
      <c r="C223">
        <v>94100</v>
      </c>
      <c r="D223">
        <v>75800</v>
      </c>
    </row>
    <row r="224" spans="1:4" x14ac:dyDescent="0.3">
      <c r="A224">
        <v>43400</v>
      </c>
      <c r="C224">
        <v>76800</v>
      </c>
      <c r="D224">
        <v>78900</v>
      </c>
    </row>
    <row r="225" spans="1:4" x14ac:dyDescent="0.3">
      <c r="A225">
        <v>50500</v>
      </c>
      <c r="C225">
        <v>92700</v>
      </c>
      <c r="D225">
        <v>76100</v>
      </c>
    </row>
    <row r="226" spans="1:4" x14ac:dyDescent="0.3">
      <c r="A226">
        <v>53900</v>
      </c>
      <c r="C226">
        <v>70900</v>
      </c>
      <c r="D226">
        <v>83000</v>
      </c>
    </row>
    <row r="227" spans="1:4" x14ac:dyDescent="0.3">
      <c r="A227">
        <v>53600</v>
      </c>
      <c r="C227">
        <v>89700</v>
      </c>
      <c r="D227">
        <v>80400</v>
      </c>
    </row>
    <row r="228" spans="1:4" x14ac:dyDescent="0.3">
      <c r="A228">
        <v>43100</v>
      </c>
      <c r="C228">
        <v>80200</v>
      </c>
      <c r="D228">
        <v>75100</v>
      </c>
    </row>
    <row r="229" spans="1:4" x14ac:dyDescent="0.3">
      <c r="A229">
        <v>45000</v>
      </c>
      <c r="C229">
        <v>77300</v>
      </c>
      <c r="D229">
        <v>81200</v>
      </c>
    </row>
    <row r="230" spans="1:4" x14ac:dyDescent="0.3">
      <c r="A230">
        <v>45900</v>
      </c>
      <c r="C230">
        <v>110300</v>
      </c>
      <c r="D230">
        <v>63300</v>
      </c>
    </row>
    <row r="231" spans="1:4" x14ac:dyDescent="0.3">
      <c r="A231">
        <v>47700</v>
      </c>
      <c r="C231">
        <v>133300</v>
      </c>
      <c r="D231">
        <v>79200</v>
      </c>
    </row>
    <row r="232" spans="1:4" x14ac:dyDescent="0.3">
      <c r="A232">
        <v>52300</v>
      </c>
      <c r="C232">
        <v>81000</v>
      </c>
      <c r="D232">
        <v>82200</v>
      </c>
    </row>
    <row r="233" spans="1:4" x14ac:dyDescent="0.3">
      <c r="A233">
        <v>63300</v>
      </c>
      <c r="C233">
        <v>93300</v>
      </c>
      <c r="D233">
        <v>75600</v>
      </c>
    </row>
    <row r="234" spans="1:4" x14ac:dyDescent="0.3">
      <c r="A234">
        <v>54800</v>
      </c>
      <c r="C234">
        <v>114800</v>
      </c>
      <c r="D234">
        <v>78000</v>
      </c>
    </row>
    <row r="235" spans="1:4" x14ac:dyDescent="0.3">
      <c r="A235">
        <v>53000</v>
      </c>
      <c r="C235">
        <v>102200</v>
      </c>
      <c r="D235">
        <v>80200</v>
      </c>
    </row>
    <row r="236" spans="1:4" x14ac:dyDescent="0.3">
      <c r="A236">
        <v>52700</v>
      </c>
      <c r="C236">
        <v>106100</v>
      </c>
      <c r="D236">
        <v>78100</v>
      </c>
    </row>
    <row r="237" spans="1:4" x14ac:dyDescent="0.3">
      <c r="A237">
        <v>73400</v>
      </c>
      <c r="C237">
        <v>77800</v>
      </c>
      <c r="D237">
        <v>78000</v>
      </c>
    </row>
    <row r="238" spans="1:4" x14ac:dyDescent="0.3">
      <c r="A238">
        <v>47900</v>
      </c>
      <c r="C238">
        <v>128700</v>
      </c>
      <c r="D238">
        <v>82700</v>
      </c>
    </row>
    <row r="239" spans="1:4" x14ac:dyDescent="0.3">
      <c r="A239">
        <v>60100</v>
      </c>
      <c r="C239">
        <v>109700</v>
      </c>
      <c r="D239">
        <v>78700</v>
      </c>
    </row>
    <row r="240" spans="1:4" x14ac:dyDescent="0.3">
      <c r="A240">
        <v>58800</v>
      </c>
      <c r="C240">
        <v>110300</v>
      </c>
      <c r="D240">
        <v>80300</v>
      </c>
    </row>
    <row r="241" spans="1:4" x14ac:dyDescent="0.3">
      <c r="A241">
        <v>45600</v>
      </c>
      <c r="D241">
        <v>78900</v>
      </c>
    </row>
    <row r="242" spans="1:4" x14ac:dyDescent="0.3">
      <c r="A242">
        <v>52900</v>
      </c>
    </row>
    <row r="243" spans="1:4" x14ac:dyDescent="0.3">
      <c r="A243">
        <v>57700</v>
      </c>
    </row>
    <row r="244" spans="1:4" x14ac:dyDescent="0.3">
      <c r="A244">
        <v>66300</v>
      </c>
    </row>
    <row r="245" spans="1:4" x14ac:dyDescent="0.3">
      <c r="A245">
        <v>58000</v>
      </c>
    </row>
    <row r="246" spans="1:4" x14ac:dyDescent="0.3">
      <c r="A246">
        <v>48600</v>
      </c>
    </row>
    <row r="247" spans="1:4" x14ac:dyDescent="0.3">
      <c r="A247">
        <v>49400</v>
      </c>
    </row>
    <row r="248" spans="1:4" x14ac:dyDescent="0.3">
      <c r="A248">
        <v>57600</v>
      </c>
    </row>
    <row r="249" spans="1:4" x14ac:dyDescent="0.3">
      <c r="A249">
        <v>54800</v>
      </c>
    </row>
    <row r="250" spans="1:4" x14ac:dyDescent="0.3">
      <c r="A250">
        <v>56400</v>
      </c>
    </row>
    <row r="251" spans="1:4" x14ac:dyDescent="0.3">
      <c r="A251">
        <v>58500</v>
      </c>
    </row>
    <row r="252" spans="1:4" x14ac:dyDescent="0.3">
      <c r="A252">
        <v>58600</v>
      </c>
    </row>
    <row r="253" spans="1:4" x14ac:dyDescent="0.3">
      <c r="A253">
        <v>50200</v>
      </c>
    </row>
    <row r="254" spans="1:4" x14ac:dyDescent="0.3">
      <c r="A254">
        <v>58200</v>
      </c>
    </row>
    <row r="255" spans="1:4" x14ac:dyDescent="0.3">
      <c r="A255">
        <v>57100</v>
      </c>
    </row>
    <row r="256" spans="1:4" x14ac:dyDescent="0.3">
      <c r="A256">
        <v>47000</v>
      </c>
    </row>
    <row r="257" spans="1:1" x14ac:dyDescent="0.3">
      <c r="A257">
        <v>56400</v>
      </c>
    </row>
    <row r="258" spans="1:1" x14ac:dyDescent="0.3">
      <c r="A258">
        <v>55800</v>
      </c>
    </row>
    <row r="259" spans="1:1" x14ac:dyDescent="0.3">
      <c r="A259">
        <v>56000</v>
      </c>
    </row>
    <row r="260" spans="1:1" x14ac:dyDescent="0.3">
      <c r="A260">
        <v>65300</v>
      </c>
    </row>
    <row r="261" spans="1:1" x14ac:dyDescent="0.3">
      <c r="A261">
        <v>53400</v>
      </c>
    </row>
    <row r="262" spans="1:1" x14ac:dyDescent="0.3">
      <c r="A262">
        <v>46800</v>
      </c>
    </row>
    <row r="263" spans="1:1" x14ac:dyDescent="0.3">
      <c r="A263">
        <v>51400</v>
      </c>
    </row>
    <row r="264" spans="1:1" x14ac:dyDescent="0.3">
      <c r="A264">
        <v>49500</v>
      </c>
    </row>
    <row r="265" spans="1:1" x14ac:dyDescent="0.3">
      <c r="A265">
        <v>46700</v>
      </c>
    </row>
    <row r="266" spans="1:1" x14ac:dyDescent="0.3">
      <c r="A266">
        <v>58100</v>
      </c>
    </row>
    <row r="267" spans="1:1" x14ac:dyDescent="0.3">
      <c r="A267">
        <v>52500</v>
      </c>
    </row>
    <row r="268" spans="1:1" x14ac:dyDescent="0.3">
      <c r="A268">
        <v>56100</v>
      </c>
    </row>
    <row r="269" spans="1:1" x14ac:dyDescent="0.3">
      <c r="A269">
        <v>69800</v>
      </c>
    </row>
    <row r="270" spans="1:1" x14ac:dyDescent="0.3">
      <c r="A270">
        <v>51000</v>
      </c>
    </row>
    <row r="271" spans="1:1" x14ac:dyDescent="0.3">
      <c r="A271">
        <v>54800</v>
      </c>
    </row>
    <row r="272" spans="1:1" x14ac:dyDescent="0.3">
      <c r="A272">
        <v>53800</v>
      </c>
    </row>
    <row r="273" spans="1:1" x14ac:dyDescent="0.3">
      <c r="A273">
        <v>52700</v>
      </c>
    </row>
    <row r="274" spans="1:1" x14ac:dyDescent="0.3">
      <c r="A274">
        <v>48400</v>
      </c>
    </row>
    <row r="275" spans="1:1" x14ac:dyDescent="0.3">
      <c r="A275">
        <v>50700</v>
      </c>
    </row>
    <row r="276" spans="1:1" x14ac:dyDescent="0.3">
      <c r="A276">
        <v>47500</v>
      </c>
    </row>
    <row r="277" spans="1:1" x14ac:dyDescent="0.3">
      <c r="A277">
        <v>52500</v>
      </c>
    </row>
    <row r="278" spans="1:1" x14ac:dyDescent="0.3">
      <c r="A278">
        <v>53300</v>
      </c>
    </row>
    <row r="279" spans="1:1" x14ac:dyDescent="0.3">
      <c r="A279">
        <v>60300</v>
      </c>
    </row>
    <row r="280" spans="1:1" x14ac:dyDescent="0.3">
      <c r="A280">
        <v>56000</v>
      </c>
    </row>
    <row r="281" spans="1:1" x14ac:dyDescent="0.3">
      <c r="A281">
        <v>55200</v>
      </c>
    </row>
    <row r="282" spans="1:1" x14ac:dyDescent="0.3">
      <c r="A282">
        <v>54500</v>
      </c>
    </row>
    <row r="283" spans="1:1" x14ac:dyDescent="0.3">
      <c r="A283">
        <v>53600</v>
      </c>
    </row>
    <row r="284" spans="1:1" x14ac:dyDescent="0.3">
      <c r="A284">
        <v>52600</v>
      </c>
    </row>
    <row r="285" spans="1:1" x14ac:dyDescent="0.3">
      <c r="A285">
        <v>48200</v>
      </c>
    </row>
    <row r="286" spans="1:1" x14ac:dyDescent="0.3">
      <c r="A286">
        <v>47400</v>
      </c>
    </row>
    <row r="287" spans="1:1" x14ac:dyDescent="0.3">
      <c r="A287">
        <v>61400</v>
      </c>
    </row>
    <row r="288" spans="1:1" x14ac:dyDescent="0.3">
      <c r="A288">
        <v>51300</v>
      </c>
    </row>
    <row r="289" spans="1:1" x14ac:dyDescent="0.3">
      <c r="A289">
        <v>46200</v>
      </c>
    </row>
    <row r="290" spans="1:1" x14ac:dyDescent="0.3">
      <c r="A290">
        <v>46700</v>
      </c>
    </row>
    <row r="291" spans="1:1" x14ac:dyDescent="0.3">
      <c r="A291">
        <v>51000</v>
      </c>
    </row>
    <row r="292" spans="1:1" x14ac:dyDescent="0.3">
      <c r="A292">
        <v>65800</v>
      </c>
    </row>
    <row r="293" spans="1:1" x14ac:dyDescent="0.3">
      <c r="A293">
        <v>49300</v>
      </c>
    </row>
    <row r="294" spans="1:1" x14ac:dyDescent="0.3">
      <c r="A294">
        <v>46200</v>
      </c>
    </row>
    <row r="295" spans="1:1" x14ac:dyDescent="0.3">
      <c r="A295">
        <v>48000</v>
      </c>
    </row>
    <row r="296" spans="1:1" x14ac:dyDescent="0.3">
      <c r="A296">
        <v>44200</v>
      </c>
    </row>
    <row r="297" spans="1:1" x14ac:dyDescent="0.3">
      <c r="A297">
        <v>53300</v>
      </c>
    </row>
    <row r="298" spans="1:1" x14ac:dyDescent="0.3">
      <c r="A298">
        <v>56900</v>
      </c>
    </row>
    <row r="299" spans="1:1" x14ac:dyDescent="0.3">
      <c r="A299">
        <v>69600</v>
      </c>
    </row>
    <row r="300" spans="1:1" x14ac:dyDescent="0.3">
      <c r="A300">
        <v>46800</v>
      </c>
    </row>
    <row r="301" spans="1:1" x14ac:dyDescent="0.3">
      <c r="A301">
        <v>52500</v>
      </c>
    </row>
    <row r="302" spans="1:1" x14ac:dyDescent="0.3">
      <c r="A302">
        <v>51800</v>
      </c>
    </row>
    <row r="303" spans="1:1" x14ac:dyDescent="0.3">
      <c r="A303">
        <v>46500</v>
      </c>
    </row>
    <row r="304" spans="1:1" x14ac:dyDescent="0.3">
      <c r="A304">
        <v>50300</v>
      </c>
    </row>
    <row r="305" spans="1:1" x14ac:dyDescent="0.3">
      <c r="A305">
        <v>44200</v>
      </c>
    </row>
    <row r="306" spans="1:1" x14ac:dyDescent="0.3">
      <c r="A306">
        <v>45400</v>
      </c>
    </row>
    <row r="307" spans="1:1" x14ac:dyDescent="0.3">
      <c r="A307">
        <v>46700</v>
      </c>
    </row>
    <row r="308" spans="1:1" x14ac:dyDescent="0.3">
      <c r="A308">
        <v>48600</v>
      </c>
    </row>
    <row r="309" spans="1:1" x14ac:dyDescent="0.3">
      <c r="A309">
        <v>54300</v>
      </c>
    </row>
    <row r="310" spans="1:1" x14ac:dyDescent="0.3">
      <c r="A310">
        <v>54100</v>
      </c>
    </row>
    <row r="311" spans="1:1" x14ac:dyDescent="0.3">
      <c r="A311">
        <v>52300</v>
      </c>
    </row>
    <row r="312" spans="1:1" x14ac:dyDescent="0.3">
      <c r="A312">
        <v>50800</v>
      </c>
    </row>
    <row r="313" spans="1:1" x14ac:dyDescent="0.3">
      <c r="A313">
        <v>46400</v>
      </c>
    </row>
    <row r="314" spans="1:1" x14ac:dyDescent="0.3">
      <c r="A314">
        <v>61600</v>
      </c>
    </row>
    <row r="315" spans="1:1" x14ac:dyDescent="0.3">
      <c r="A315">
        <v>44500</v>
      </c>
    </row>
    <row r="316" spans="1:1" x14ac:dyDescent="0.3">
      <c r="A316">
        <v>56200</v>
      </c>
    </row>
    <row r="317" spans="1:1" x14ac:dyDescent="0.3">
      <c r="A317">
        <v>55000</v>
      </c>
    </row>
    <row r="318" spans="1:1" x14ac:dyDescent="0.3">
      <c r="A318">
        <v>53700</v>
      </c>
    </row>
    <row r="319" spans="1:1" x14ac:dyDescent="0.3">
      <c r="A319">
        <v>57200</v>
      </c>
    </row>
    <row r="320" spans="1:1" x14ac:dyDescent="0.3">
      <c r="A320">
        <v>70900</v>
      </c>
    </row>
    <row r="321" spans="1:1" x14ac:dyDescent="0.3">
      <c r="A321">
        <v>58200</v>
      </c>
    </row>
    <row r="322" spans="1:1" x14ac:dyDescent="0.3">
      <c r="A322">
        <v>51500</v>
      </c>
    </row>
    <row r="323" spans="1:1" x14ac:dyDescent="0.3">
      <c r="A323">
        <v>55200</v>
      </c>
    </row>
    <row r="324" spans="1:1" x14ac:dyDescent="0.3">
      <c r="A324">
        <v>51700</v>
      </c>
    </row>
    <row r="325" spans="1:1" x14ac:dyDescent="0.3">
      <c r="A325">
        <v>57000</v>
      </c>
    </row>
    <row r="326" spans="1:1" x14ac:dyDescent="0.3">
      <c r="A326">
        <v>40700</v>
      </c>
    </row>
    <row r="327" spans="1:1" x14ac:dyDescent="0.3">
      <c r="A327">
        <v>52900</v>
      </c>
    </row>
    <row r="328" spans="1:1" x14ac:dyDescent="0.3">
      <c r="A328">
        <v>56600</v>
      </c>
    </row>
    <row r="329" spans="1:1" x14ac:dyDescent="0.3">
      <c r="A329">
        <v>59300</v>
      </c>
    </row>
    <row r="330" spans="1:1" x14ac:dyDescent="0.3">
      <c r="A330">
        <v>42300</v>
      </c>
    </row>
    <row r="331" spans="1:1" x14ac:dyDescent="0.3">
      <c r="A331">
        <v>50700</v>
      </c>
    </row>
    <row r="332" spans="1:1" x14ac:dyDescent="0.3">
      <c r="A332">
        <v>57100</v>
      </c>
    </row>
    <row r="333" spans="1:1" x14ac:dyDescent="0.3">
      <c r="A333">
        <v>58700</v>
      </c>
    </row>
    <row r="334" spans="1:1" x14ac:dyDescent="0.3">
      <c r="A334">
        <v>60800</v>
      </c>
    </row>
    <row r="335" spans="1:1" x14ac:dyDescent="0.3">
      <c r="A335">
        <v>58300</v>
      </c>
    </row>
    <row r="336" spans="1:1" x14ac:dyDescent="0.3">
      <c r="A336">
        <v>59700</v>
      </c>
    </row>
    <row r="337" spans="1:1" x14ac:dyDescent="0.3">
      <c r="A337">
        <v>55900</v>
      </c>
    </row>
    <row r="338" spans="1:1" x14ac:dyDescent="0.3">
      <c r="A338">
        <v>55300</v>
      </c>
    </row>
    <row r="339" spans="1:1" x14ac:dyDescent="0.3">
      <c r="A339">
        <v>44900</v>
      </c>
    </row>
    <row r="340" spans="1:1" x14ac:dyDescent="0.3">
      <c r="A340">
        <v>50300</v>
      </c>
    </row>
    <row r="341" spans="1:1" x14ac:dyDescent="0.3">
      <c r="A341">
        <v>47500</v>
      </c>
    </row>
    <row r="342" spans="1:1" x14ac:dyDescent="0.3">
      <c r="A342">
        <v>55000</v>
      </c>
    </row>
    <row r="343" spans="1:1" x14ac:dyDescent="0.3">
      <c r="A343">
        <v>51600</v>
      </c>
    </row>
    <row r="344" spans="1:1" x14ac:dyDescent="0.3">
      <c r="A344">
        <v>55600</v>
      </c>
    </row>
    <row r="345" spans="1:1" x14ac:dyDescent="0.3">
      <c r="A345">
        <v>53000</v>
      </c>
    </row>
    <row r="346" spans="1:1" x14ac:dyDescent="0.3">
      <c r="A346">
        <v>54600</v>
      </c>
    </row>
    <row r="347" spans="1:1" x14ac:dyDescent="0.3">
      <c r="A347">
        <v>49300</v>
      </c>
    </row>
    <row r="348" spans="1:1" x14ac:dyDescent="0.3">
      <c r="A348">
        <v>59400</v>
      </c>
    </row>
    <row r="349" spans="1:1" x14ac:dyDescent="0.3">
      <c r="A349">
        <v>51400</v>
      </c>
    </row>
    <row r="350" spans="1:1" x14ac:dyDescent="0.3">
      <c r="A350">
        <v>60800</v>
      </c>
    </row>
    <row r="351" spans="1:1" x14ac:dyDescent="0.3">
      <c r="A351">
        <v>52900</v>
      </c>
    </row>
    <row r="352" spans="1:1" x14ac:dyDescent="0.3">
      <c r="A352">
        <v>49300</v>
      </c>
    </row>
    <row r="353" spans="1:1" x14ac:dyDescent="0.3">
      <c r="A353">
        <v>65200</v>
      </c>
    </row>
    <row r="354" spans="1:1" x14ac:dyDescent="0.3">
      <c r="A354">
        <v>49500</v>
      </c>
    </row>
    <row r="355" spans="1:1" x14ac:dyDescent="0.3">
      <c r="A355">
        <v>46700</v>
      </c>
    </row>
    <row r="356" spans="1:1" x14ac:dyDescent="0.3">
      <c r="A356">
        <v>47000</v>
      </c>
    </row>
    <row r="357" spans="1:1" x14ac:dyDescent="0.3">
      <c r="A357">
        <v>50800</v>
      </c>
    </row>
    <row r="358" spans="1:1" x14ac:dyDescent="0.3">
      <c r="A358">
        <v>47800</v>
      </c>
    </row>
    <row r="359" spans="1:1" x14ac:dyDescent="0.3">
      <c r="A359">
        <v>73100</v>
      </c>
    </row>
    <row r="360" spans="1:1" x14ac:dyDescent="0.3">
      <c r="A360">
        <v>69000</v>
      </c>
    </row>
    <row r="361" spans="1:1" x14ac:dyDescent="0.3">
      <c r="A361">
        <v>57100</v>
      </c>
    </row>
    <row r="362" spans="1:1" x14ac:dyDescent="0.3">
      <c r="A362">
        <v>52200</v>
      </c>
    </row>
    <row r="363" spans="1:1" x14ac:dyDescent="0.3">
      <c r="A363">
        <v>57600</v>
      </c>
    </row>
    <row r="364" spans="1:1" x14ac:dyDescent="0.3">
      <c r="A364">
        <v>50100</v>
      </c>
    </row>
    <row r="365" spans="1:1" x14ac:dyDescent="0.3">
      <c r="A365">
        <v>48400</v>
      </c>
    </row>
    <row r="366" spans="1:1" x14ac:dyDescent="0.3">
      <c r="A366">
        <v>45200</v>
      </c>
    </row>
    <row r="367" spans="1:1" x14ac:dyDescent="0.3">
      <c r="A367">
        <v>55300</v>
      </c>
    </row>
    <row r="368" spans="1:1" x14ac:dyDescent="0.3">
      <c r="A368">
        <v>49200</v>
      </c>
    </row>
    <row r="369" spans="1:1" x14ac:dyDescent="0.3">
      <c r="A369">
        <v>64800</v>
      </c>
    </row>
    <row r="370" spans="1:1" x14ac:dyDescent="0.3">
      <c r="A370">
        <v>54700</v>
      </c>
    </row>
    <row r="371" spans="1:1" x14ac:dyDescent="0.3">
      <c r="A371">
        <v>61700</v>
      </c>
    </row>
    <row r="372" spans="1:1" x14ac:dyDescent="0.3">
      <c r="A372">
        <v>48200</v>
      </c>
    </row>
    <row r="373" spans="1:1" x14ac:dyDescent="0.3">
      <c r="A373">
        <v>48000</v>
      </c>
    </row>
    <row r="374" spans="1:1" x14ac:dyDescent="0.3">
      <c r="A374">
        <v>45600</v>
      </c>
    </row>
    <row r="375" spans="1:1" x14ac:dyDescent="0.3">
      <c r="A375">
        <v>47500</v>
      </c>
    </row>
    <row r="376" spans="1:1" x14ac:dyDescent="0.3">
      <c r="A376">
        <v>45300</v>
      </c>
    </row>
    <row r="377" spans="1:1" x14ac:dyDescent="0.3">
      <c r="A377">
        <v>46300</v>
      </c>
    </row>
    <row r="378" spans="1:1" x14ac:dyDescent="0.3">
      <c r="A378">
        <v>55400</v>
      </c>
    </row>
    <row r="379" spans="1:1" x14ac:dyDescent="0.3">
      <c r="A379">
        <v>47200</v>
      </c>
    </row>
    <row r="380" spans="1:1" x14ac:dyDescent="0.3">
      <c r="A380">
        <v>63200</v>
      </c>
    </row>
    <row r="381" spans="1:1" x14ac:dyDescent="0.3">
      <c r="A381">
        <v>58400</v>
      </c>
    </row>
    <row r="382" spans="1:1" x14ac:dyDescent="0.3">
      <c r="A382">
        <v>54600</v>
      </c>
    </row>
    <row r="383" spans="1:1" x14ac:dyDescent="0.3">
      <c r="A383">
        <v>45900</v>
      </c>
    </row>
    <row r="384" spans="1:1" x14ac:dyDescent="0.3">
      <c r="A384">
        <v>66100</v>
      </c>
    </row>
    <row r="385" spans="1:1" x14ac:dyDescent="0.3">
      <c r="A385">
        <v>57100</v>
      </c>
    </row>
    <row r="386" spans="1:1" x14ac:dyDescent="0.3">
      <c r="A386">
        <v>54700</v>
      </c>
    </row>
    <row r="387" spans="1:1" x14ac:dyDescent="0.3">
      <c r="A387">
        <v>53500</v>
      </c>
    </row>
    <row r="388" spans="1:1" x14ac:dyDescent="0.3">
      <c r="A388">
        <v>51300</v>
      </c>
    </row>
    <row r="389" spans="1:1" x14ac:dyDescent="0.3">
      <c r="A389">
        <v>63900</v>
      </c>
    </row>
    <row r="390" spans="1:1" x14ac:dyDescent="0.3">
      <c r="A390">
        <v>54000</v>
      </c>
    </row>
    <row r="391" spans="1:1" x14ac:dyDescent="0.3">
      <c r="A391">
        <v>69200</v>
      </c>
    </row>
    <row r="392" spans="1:1" x14ac:dyDescent="0.3">
      <c r="A392">
        <v>55900</v>
      </c>
    </row>
    <row r="393" spans="1:1" x14ac:dyDescent="0.3">
      <c r="A393">
        <v>50300</v>
      </c>
    </row>
    <row r="394" spans="1:1" x14ac:dyDescent="0.3">
      <c r="A394">
        <v>51000</v>
      </c>
    </row>
    <row r="395" spans="1:1" x14ac:dyDescent="0.3">
      <c r="A395">
        <v>47800</v>
      </c>
    </row>
    <row r="396" spans="1:1" x14ac:dyDescent="0.3">
      <c r="A396">
        <v>42300</v>
      </c>
    </row>
    <row r="397" spans="1:1" x14ac:dyDescent="0.3">
      <c r="A397">
        <v>59000</v>
      </c>
    </row>
    <row r="398" spans="1:1" x14ac:dyDescent="0.3">
      <c r="A398">
        <v>46400</v>
      </c>
    </row>
    <row r="399" spans="1:1" x14ac:dyDescent="0.3">
      <c r="A399">
        <v>52900</v>
      </c>
    </row>
    <row r="400" spans="1:1" x14ac:dyDescent="0.3">
      <c r="A400">
        <v>44200</v>
      </c>
    </row>
    <row r="401" spans="1:1" x14ac:dyDescent="0.3">
      <c r="A401">
        <v>50400</v>
      </c>
    </row>
    <row r="402" spans="1:1" x14ac:dyDescent="0.3">
      <c r="A402">
        <v>46400</v>
      </c>
    </row>
    <row r="403" spans="1:1" x14ac:dyDescent="0.3">
      <c r="A403">
        <v>53000</v>
      </c>
    </row>
    <row r="404" spans="1:1" x14ac:dyDescent="0.3">
      <c r="A404">
        <v>53000</v>
      </c>
    </row>
    <row r="405" spans="1:1" x14ac:dyDescent="0.3">
      <c r="A405">
        <v>57900</v>
      </c>
    </row>
    <row r="406" spans="1:1" x14ac:dyDescent="0.3">
      <c r="A406">
        <v>52300</v>
      </c>
    </row>
    <row r="407" spans="1:1" x14ac:dyDescent="0.3">
      <c r="A407">
        <v>47700</v>
      </c>
    </row>
    <row r="408" spans="1:1" x14ac:dyDescent="0.3">
      <c r="A408">
        <v>54200</v>
      </c>
    </row>
    <row r="409" spans="1:1" x14ac:dyDescent="0.3">
      <c r="A409">
        <v>50100</v>
      </c>
    </row>
    <row r="410" spans="1:1" x14ac:dyDescent="0.3">
      <c r="A410">
        <v>56500</v>
      </c>
    </row>
    <row r="411" spans="1:1" x14ac:dyDescent="0.3">
      <c r="A411">
        <v>56800</v>
      </c>
    </row>
    <row r="412" spans="1:1" x14ac:dyDescent="0.3">
      <c r="A412">
        <v>51900</v>
      </c>
    </row>
    <row r="413" spans="1:1" x14ac:dyDescent="0.3">
      <c r="A413">
        <v>57500</v>
      </c>
    </row>
    <row r="414" spans="1:1" x14ac:dyDescent="0.3">
      <c r="A414">
        <v>55300</v>
      </c>
    </row>
    <row r="415" spans="1:1" x14ac:dyDescent="0.3">
      <c r="A415">
        <v>52000</v>
      </c>
    </row>
    <row r="416" spans="1:1" x14ac:dyDescent="0.3">
      <c r="A416">
        <v>46400</v>
      </c>
    </row>
    <row r="417" spans="1:1" x14ac:dyDescent="0.3">
      <c r="A417">
        <v>55300</v>
      </c>
    </row>
    <row r="418" spans="1:1" x14ac:dyDescent="0.3">
      <c r="A418">
        <v>53300</v>
      </c>
    </row>
    <row r="419" spans="1:1" x14ac:dyDescent="0.3">
      <c r="A419">
        <v>57700</v>
      </c>
    </row>
    <row r="420" spans="1:1" x14ac:dyDescent="0.3">
      <c r="A420">
        <v>52800</v>
      </c>
    </row>
    <row r="421" spans="1:1" x14ac:dyDescent="0.3">
      <c r="A421">
        <v>48600</v>
      </c>
    </row>
    <row r="422" spans="1:1" x14ac:dyDescent="0.3">
      <c r="A422">
        <v>50600</v>
      </c>
    </row>
    <row r="423" spans="1:1" x14ac:dyDescent="0.3">
      <c r="A423">
        <v>52400</v>
      </c>
    </row>
    <row r="424" spans="1:1" x14ac:dyDescent="0.3">
      <c r="A424">
        <v>48900</v>
      </c>
    </row>
    <row r="425" spans="1:1" x14ac:dyDescent="0.3">
      <c r="A425">
        <v>55500</v>
      </c>
    </row>
    <row r="426" spans="1:1" x14ac:dyDescent="0.3">
      <c r="A426">
        <v>56200</v>
      </c>
    </row>
    <row r="427" spans="1:1" x14ac:dyDescent="0.3">
      <c r="A427">
        <v>55800</v>
      </c>
    </row>
    <row r="428" spans="1:1" x14ac:dyDescent="0.3">
      <c r="A428">
        <v>51900</v>
      </c>
    </row>
    <row r="429" spans="1:1" x14ac:dyDescent="0.3">
      <c r="A429">
        <v>47500</v>
      </c>
    </row>
    <row r="430" spans="1:1" x14ac:dyDescent="0.3">
      <c r="A430">
        <v>51100</v>
      </c>
    </row>
    <row r="431" spans="1:1" x14ac:dyDescent="0.3">
      <c r="A431">
        <v>49500</v>
      </c>
    </row>
    <row r="432" spans="1:1" x14ac:dyDescent="0.3">
      <c r="A432">
        <v>60300</v>
      </c>
    </row>
    <row r="433" spans="1:1" x14ac:dyDescent="0.3">
      <c r="A433">
        <v>55700</v>
      </c>
    </row>
    <row r="434" spans="1:1" x14ac:dyDescent="0.3">
      <c r="A434">
        <v>50300</v>
      </c>
    </row>
    <row r="435" spans="1:1" x14ac:dyDescent="0.3">
      <c r="A435">
        <v>48900</v>
      </c>
    </row>
    <row r="436" spans="1:1" x14ac:dyDescent="0.3">
      <c r="A436">
        <v>52600</v>
      </c>
    </row>
    <row r="437" spans="1:1" x14ac:dyDescent="0.3">
      <c r="A437">
        <v>51300</v>
      </c>
    </row>
    <row r="438" spans="1:1" x14ac:dyDescent="0.3">
      <c r="A438">
        <v>58500</v>
      </c>
    </row>
    <row r="439" spans="1:1" x14ac:dyDescent="0.3">
      <c r="A439">
        <v>54500</v>
      </c>
    </row>
    <row r="440" spans="1:1" x14ac:dyDescent="0.3">
      <c r="A440">
        <v>61400</v>
      </c>
    </row>
    <row r="441" spans="1:1" x14ac:dyDescent="0.3">
      <c r="A441">
        <v>54300</v>
      </c>
    </row>
    <row r="442" spans="1:1" x14ac:dyDescent="0.3">
      <c r="A442">
        <v>50000</v>
      </c>
    </row>
    <row r="443" spans="1:1" x14ac:dyDescent="0.3">
      <c r="A443">
        <v>49500</v>
      </c>
    </row>
    <row r="444" spans="1:1" x14ac:dyDescent="0.3">
      <c r="A444">
        <v>46800</v>
      </c>
    </row>
    <row r="445" spans="1:1" x14ac:dyDescent="0.3">
      <c r="A445">
        <v>48600</v>
      </c>
    </row>
    <row r="446" spans="1:1" x14ac:dyDescent="0.3">
      <c r="A446">
        <v>57300</v>
      </c>
    </row>
    <row r="447" spans="1:1" x14ac:dyDescent="0.3">
      <c r="A447">
        <v>49100</v>
      </c>
    </row>
    <row r="448" spans="1:1" x14ac:dyDescent="0.3">
      <c r="A448">
        <v>48800</v>
      </c>
    </row>
    <row r="449" spans="1:1" x14ac:dyDescent="0.3">
      <c r="A449">
        <v>51000</v>
      </c>
    </row>
    <row r="450" spans="1:1" x14ac:dyDescent="0.3">
      <c r="A450">
        <v>51100</v>
      </c>
    </row>
    <row r="451" spans="1:1" x14ac:dyDescent="0.3">
      <c r="A451">
        <v>56200</v>
      </c>
    </row>
    <row r="452" spans="1:1" x14ac:dyDescent="0.3">
      <c r="A452">
        <v>49700</v>
      </c>
    </row>
    <row r="453" spans="1:1" x14ac:dyDescent="0.3">
      <c r="A453">
        <v>44100</v>
      </c>
    </row>
    <row r="454" spans="1:1" x14ac:dyDescent="0.3">
      <c r="A454">
        <v>51500</v>
      </c>
    </row>
    <row r="455" spans="1:1" x14ac:dyDescent="0.3">
      <c r="A455">
        <v>49000</v>
      </c>
    </row>
    <row r="456" spans="1:1" x14ac:dyDescent="0.3">
      <c r="A456">
        <v>53600</v>
      </c>
    </row>
    <row r="457" spans="1:1" x14ac:dyDescent="0.3">
      <c r="A457">
        <v>49500</v>
      </c>
    </row>
    <row r="458" spans="1:1" x14ac:dyDescent="0.3">
      <c r="A458">
        <v>54800</v>
      </c>
    </row>
    <row r="459" spans="1:1" x14ac:dyDescent="0.3">
      <c r="A459">
        <v>58900</v>
      </c>
    </row>
    <row r="460" spans="1:1" x14ac:dyDescent="0.3">
      <c r="A460">
        <v>53600</v>
      </c>
    </row>
    <row r="461" spans="1:1" x14ac:dyDescent="0.3">
      <c r="A461">
        <v>63200</v>
      </c>
    </row>
    <row r="462" spans="1:1" x14ac:dyDescent="0.3">
      <c r="A462">
        <v>48000</v>
      </c>
    </row>
    <row r="463" spans="1:1" x14ac:dyDescent="0.3">
      <c r="A463">
        <v>47300</v>
      </c>
    </row>
    <row r="464" spans="1:1" x14ac:dyDescent="0.3">
      <c r="A464">
        <v>53900</v>
      </c>
    </row>
    <row r="465" spans="1:1" x14ac:dyDescent="0.3">
      <c r="A465">
        <v>51900</v>
      </c>
    </row>
    <row r="466" spans="1:1" x14ac:dyDescent="0.3">
      <c r="A466">
        <v>50200</v>
      </c>
    </row>
    <row r="467" spans="1:1" x14ac:dyDescent="0.3">
      <c r="A467">
        <v>51900</v>
      </c>
    </row>
    <row r="468" spans="1:1" x14ac:dyDescent="0.3">
      <c r="A468">
        <v>49000</v>
      </c>
    </row>
    <row r="469" spans="1:1" x14ac:dyDescent="0.3">
      <c r="A469">
        <v>50800</v>
      </c>
    </row>
    <row r="470" spans="1:1" x14ac:dyDescent="0.3">
      <c r="A470">
        <v>45400</v>
      </c>
    </row>
    <row r="471" spans="1:1" x14ac:dyDescent="0.3">
      <c r="A471">
        <v>47800</v>
      </c>
    </row>
    <row r="472" spans="1:1" x14ac:dyDescent="0.3">
      <c r="A472">
        <v>46100</v>
      </c>
    </row>
    <row r="473" spans="1:1" x14ac:dyDescent="0.3">
      <c r="A473">
        <v>49400</v>
      </c>
    </row>
    <row r="474" spans="1:1" x14ac:dyDescent="0.3">
      <c r="A474">
        <v>49400</v>
      </c>
    </row>
    <row r="475" spans="1:1" x14ac:dyDescent="0.3">
      <c r="A475">
        <v>52200</v>
      </c>
    </row>
    <row r="476" spans="1:1" x14ac:dyDescent="0.3">
      <c r="A476">
        <v>50500</v>
      </c>
    </row>
    <row r="477" spans="1:1" x14ac:dyDescent="0.3">
      <c r="A477">
        <v>54500</v>
      </c>
    </row>
    <row r="478" spans="1:1" x14ac:dyDescent="0.3">
      <c r="A478">
        <v>54800</v>
      </c>
    </row>
    <row r="479" spans="1:1" x14ac:dyDescent="0.3">
      <c r="A479">
        <v>60700</v>
      </c>
    </row>
    <row r="480" spans="1:1" x14ac:dyDescent="0.3">
      <c r="A480">
        <v>54900</v>
      </c>
    </row>
    <row r="481" spans="1:1" x14ac:dyDescent="0.3">
      <c r="A481">
        <v>47400</v>
      </c>
    </row>
    <row r="482" spans="1:1" x14ac:dyDescent="0.3">
      <c r="A482">
        <v>46300</v>
      </c>
    </row>
    <row r="483" spans="1:1" x14ac:dyDescent="0.3">
      <c r="A483">
        <v>73500</v>
      </c>
    </row>
    <row r="484" spans="1:1" x14ac:dyDescent="0.3">
      <c r="A484">
        <v>57800</v>
      </c>
    </row>
    <row r="485" spans="1:1" x14ac:dyDescent="0.3">
      <c r="A485">
        <v>61300</v>
      </c>
    </row>
    <row r="486" spans="1:1" x14ac:dyDescent="0.3">
      <c r="A486">
        <v>49800</v>
      </c>
    </row>
    <row r="487" spans="1:1" x14ac:dyDescent="0.3">
      <c r="A487">
        <v>57400</v>
      </c>
    </row>
    <row r="488" spans="1:1" x14ac:dyDescent="0.3">
      <c r="A488">
        <v>49000</v>
      </c>
    </row>
    <row r="489" spans="1:1" x14ac:dyDescent="0.3">
      <c r="A489">
        <v>54100</v>
      </c>
    </row>
    <row r="490" spans="1:1" x14ac:dyDescent="0.3">
      <c r="A490">
        <v>48900</v>
      </c>
    </row>
    <row r="491" spans="1:1" x14ac:dyDescent="0.3">
      <c r="A491">
        <v>66200</v>
      </c>
    </row>
    <row r="492" spans="1:1" x14ac:dyDescent="0.3">
      <c r="A492">
        <v>44700</v>
      </c>
    </row>
    <row r="493" spans="1:1" x14ac:dyDescent="0.3">
      <c r="A493">
        <v>62600</v>
      </c>
    </row>
    <row r="494" spans="1:1" x14ac:dyDescent="0.3">
      <c r="A494">
        <v>58200</v>
      </c>
    </row>
    <row r="495" spans="1:1" x14ac:dyDescent="0.3">
      <c r="A495">
        <v>55200</v>
      </c>
    </row>
    <row r="496" spans="1:1" x14ac:dyDescent="0.3">
      <c r="A496">
        <v>57100</v>
      </c>
    </row>
    <row r="497" spans="1:1" x14ac:dyDescent="0.3">
      <c r="A497">
        <v>57000</v>
      </c>
    </row>
    <row r="498" spans="1:1" x14ac:dyDescent="0.3">
      <c r="A498">
        <v>64600</v>
      </c>
    </row>
    <row r="499" spans="1:1" x14ac:dyDescent="0.3">
      <c r="A499">
        <v>56400</v>
      </c>
    </row>
    <row r="500" spans="1:1" x14ac:dyDescent="0.3">
      <c r="A500">
        <v>54900</v>
      </c>
    </row>
    <row r="501" spans="1:1" x14ac:dyDescent="0.3">
      <c r="A501">
        <v>55600</v>
      </c>
    </row>
    <row r="502" spans="1:1" x14ac:dyDescent="0.3">
      <c r="A502">
        <v>55300</v>
      </c>
    </row>
    <row r="503" spans="1:1" x14ac:dyDescent="0.3">
      <c r="A503">
        <v>55800</v>
      </c>
    </row>
    <row r="504" spans="1:1" x14ac:dyDescent="0.3">
      <c r="A504">
        <v>54800</v>
      </c>
    </row>
    <row r="505" spans="1:1" x14ac:dyDescent="0.3">
      <c r="A505">
        <v>48200</v>
      </c>
    </row>
    <row r="506" spans="1:1" x14ac:dyDescent="0.3">
      <c r="A506">
        <v>54000</v>
      </c>
    </row>
    <row r="507" spans="1:1" x14ac:dyDescent="0.3">
      <c r="A507">
        <v>64100</v>
      </c>
    </row>
    <row r="508" spans="1:1" x14ac:dyDescent="0.3">
      <c r="A508">
        <v>50000</v>
      </c>
    </row>
    <row r="509" spans="1:1" x14ac:dyDescent="0.3">
      <c r="A509">
        <v>56200</v>
      </c>
    </row>
    <row r="510" spans="1:1" x14ac:dyDescent="0.3">
      <c r="A510">
        <v>46900</v>
      </c>
    </row>
    <row r="511" spans="1:1" x14ac:dyDescent="0.3">
      <c r="A511">
        <v>55600</v>
      </c>
    </row>
    <row r="512" spans="1:1" x14ac:dyDescent="0.3">
      <c r="A512">
        <v>55000</v>
      </c>
    </row>
    <row r="513" spans="1:1" x14ac:dyDescent="0.3">
      <c r="A513">
        <v>58200</v>
      </c>
    </row>
    <row r="514" spans="1:1" x14ac:dyDescent="0.3">
      <c r="A514">
        <v>54300</v>
      </c>
    </row>
    <row r="515" spans="1:1" x14ac:dyDescent="0.3">
      <c r="A515">
        <v>47500</v>
      </c>
    </row>
    <row r="516" spans="1:1" x14ac:dyDescent="0.3">
      <c r="A516">
        <v>55600</v>
      </c>
    </row>
    <row r="517" spans="1:1" x14ac:dyDescent="0.3">
      <c r="A517">
        <v>50100</v>
      </c>
    </row>
    <row r="518" spans="1:1" x14ac:dyDescent="0.3">
      <c r="A518">
        <v>51200</v>
      </c>
    </row>
    <row r="519" spans="1:1" x14ac:dyDescent="0.3">
      <c r="A519">
        <v>50500</v>
      </c>
    </row>
    <row r="520" spans="1:1" x14ac:dyDescent="0.3">
      <c r="A520">
        <v>47900</v>
      </c>
    </row>
    <row r="521" spans="1:1" x14ac:dyDescent="0.3">
      <c r="A521">
        <v>50800</v>
      </c>
    </row>
    <row r="522" spans="1:1" x14ac:dyDescent="0.3">
      <c r="A522">
        <v>60000</v>
      </c>
    </row>
    <row r="523" spans="1:1" x14ac:dyDescent="0.3">
      <c r="A523">
        <v>50900</v>
      </c>
    </row>
    <row r="524" spans="1:1" x14ac:dyDescent="0.3">
      <c r="A524">
        <v>46500</v>
      </c>
    </row>
    <row r="525" spans="1:1" x14ac:dyDescent="0.3">
      <c r="A525">
        <v>52100</v>
      </c>
    </row>
    <row r="526" spans="1:1" x14ac:dyDescent="0.3">
      <c r="A526">
        <v>69600</v>
      </c>
    </row>
    <row r="527" spans="1:1" x14ac:dyDescent="0.3">
      <c r="A527">
        <v>53000</v>
      </c>
    </row>
    <row r="528" spans="1:1" x14ac:dyDescent="0.3">
      <c r="A528">
        <v>50200</v>
      </c>
    </row>
    <row r="529" spans="1:1" x14ac:dyDescent="0.3">
      <c r="A529">
        <v>49600</v>
      </c>
    </row>
    <row r="530" spans="1:1" x14ac:dyDescent="0.3">
      <c r="A530">
        <v>68200</v>
      </c>
    </row>
    <row r="531" spans="1:1" x14ac:dyDescent="0.3">
      <c r="A531">
        <v>51500</v>
      </c>
    </row>
    <row r="532" spans="1:1" x14ac:dyDescent="0.3">
      <c r="A532">
        <v>56100</v>
      </c>
    </row>
    <row r="533" spans="1:1" x14ac:dyDescent="0.3">
      <c r="A533">
        <v>51700</v>
      </c>
    </row>
    <row r="534" spans="1:1" x14ac:dyDescent="0.3">
      <c r="A534">
        <v>62600</v>
      </c>
    </row>
    <row r="535" spans="1:1" x14ac:dyDescent="0.3">
      <c r="A535">
        <v>62100</v>
      </c>
    </row>
    <row r="536" spans="1:1" x14ac:dyDescent="0.3">
      <c r="A536">
        <v>69800</v>
      </c>
    </row>
    <row r="537" spans="1:1" x14ac:dyDescent="0.3">
      <c r="A537">
        <v>59600</v>
      </c>
    </row>
    <row r="538" spans="1:1" x14ac:dyDescent="0.3">
      <c r="A538">
        <v>57900</v>
      </c>
    </row>
    <row r="539" spans="1:1" x14ac:dyDescent="0.3">
      <c r="A539">
        <v>55100</v>
      </c>
    </row>
    <row r="540" spans="1:1" x14ac:dyDescent="0.3">
      <c r="A540">
        <v>53800</v>
      </c>
    </row>
    <row r="541" spans="1:1" x14ac:dyDescent="0.3">
      <c r="A541">
        <v>59900</v>
      </c>
    </row>
    <row r="542" spans="1:1" x14ac:dyDescent="0.3">
      <c r="A542">
        <v>57100</v>
      </c>
    </row>
    <row r="543" spans="1:1" x14ac:dyDescent="0.3">
      <c r="A543">
        <v>54600</v>
      </c>
    </row>
    <row r="544" spans="1:1" x14ac:dyDescent="0.3">
      <c r="A544">
        <v>60200</v>
      </c>
    </row>
    <row r="545" spans="1:1" x14ac:dyDescent="0.3">
      <c r="A545">
        <v>53100</v>
      </c>
    </row>
    <row r="546" spans="1:1" x14ac:dyDescent="0.3">
      <c r="A546">
        <v>51100</v>
      </c>
    </row>
    <row r="547" spans="1:1" x14ac:dyDescent="0.3">
      <c r="A547">
        <v>50700</v>
      </c>
    </row>
    <row r="548" spans="1:1" x14ac:dyDescent="0.3">
      <c r="A548">
        <v>47600</v>
      </c>
    </row>
    <row r="549" spans="1:1" x14ac:dyDescent="0.3">
      <c r="A549">
        <v>53900</v>
      </c>
    </row>
    <row r="550" spans="1:1" x14ac:dyDescent="0.3">
      <c r="A550">
        <v>53200</v>
      </c>
    </row>
    <row r="551" spans="1:1" x14ac:dyDescent="0.3">
      <c r="A551">
        <v>49400</v>
      </c>
    </row>
    <row r="552" spans="1:1" x14ac:dyDescent="0.3">
      <c r="A552">
        <v>57400</v>
      </c>
    </row>
    <row r="553" spans="1:1" x14ac:dyDescent="0.3">
      <c r="A553">
        <v>54000</v>
      </c>
    </row>
    <row r="554" spans="1:1" x14ac:dyDescent="0.3">
      <c r="A554">
        <v>54600</v>
      </c>
    </row>
    <row r="555" spans="1:1" x14ac:dyDescent="0.3">
      <c r="A555">
        <v>49300</v>
      </c>
    </row>
    <row r="556" spans="1:1" x14ac:dyDescent="0.3">
      <c r="A556">
        <v>58600</v>
      </c>
    </row>
    <row r="557" spans="1:1" x14ac:dyDescent="0.3">
      <c r="A557">
        <v>49500</v>
      </c>
    </row>
    <row r="558" spans="1:1" x14ac:dyDescent="0.3">
      <c r="A558">
        <v>44800</v>
      </c>
    </row>
    <row r="559" spans="1:1" x14ac:dyDescent="0.3">
      <c r="A559">
        <v>47000</v>
      </c>
    </row>
    <row r="560" spans="1:1" x14ac:dyDescent="0.3">
      <c r="A560">
        <v>45400</v>
      </c>
    </row>
    <row r="561" spans="1:1" x14ac:dyDescent="0.3">
      <c r="A561">
        <v>51500</v>
      </c>
    </row>
    <row r="562" spans="1:1" x14ac:dyDescent="0.3">
      <c r="A562">
        <v>49000</v>
      </c>
    </row>
    <row r="563" spans="1:1" x14ac:dyDescent="0.3">
      <c r="A563">
        <v>50600</v>
      </c>
    </row>
    <row r="564" spans="1:1" x14ac:dyDescent="0.3">
      <c r="A564">
        <v>50500</v>
      </c>
    </row>
    <row r="565" spans="1:1" x14ac:dyDescent="0.3">
      <c r="A565">
        <v>62400</v>
      </c>
    </row>
    <row r="566" spans="1:1" x14ac:dyDescent="0.3">
      <c r="A566">
        <v>52300</v>
      </c>
    </row>
    <row r="567" spans="1:1" x14ac:dyDescent="0.3">
      <c r="A567">
        <v>67600</v>
      </c>
    </row>
    <row r="568" spans="1:1" x14ac:dyDescent="0.3">
      <c r="A568">
        <v>53800</v>
      </c>
    </row>
    <row r="569" spans="1:1" x14ac:dyDescent="0.3">
      <c r="A569">
        <v>53500</v>
      </c>
    </row>
    <row r="570" spans="1:1" x14ac:dyDescent="0.3">
      <c r="A570">
        <v>46300</v>
      </c>
    </row>
    <row r="571" spans="1:1" x14ac:dyDescent="0.3">
      <c r="A571">
        <v>45900</v>
      </c>
    </row>
    <row r="572" spans="1:1" x14ac:dyDescent="0.3">
      <c r="A572">
        <v>52900</v>
      </c>
    </row>
    <row r="573" spans="1:1" x14ac:dyDescent="0.3">
      <c r="A573">
        <v>49100</v>
      </c>
    </row>
    <row r="574" spans="1:1" x14ac:dyDescent="0.3">
      <c r="A574">
        <v>51300</v>
      </c>
    </row>
    <row r="575" spans="1:1" x14ac:dyDescent="0.3">
      <c r="A575">
        <v>48900</v>
      </c>
    </row>
    <row r="576" spans="1:1" x14ac:dyDescent="0.3">
      <c r="A576">
        <v>52000</v>
      </c>
    </row>
    <row r="577" spans="1:1" x14ac:dyDescent="0.3">
      <c r="A577">
        <v>48400</v>
      </c>
    </row>
    <row r="578" spans="1:1" x14ac:dyDescent="0.3">
      <c r="A578">
        <v>49500</v>
      </c>
    </row>
    <row r="579" spans="1:1" x14ac:dyDescent="0.3">
      <c r="A579">
        <v>46900</v>
      </c>
    </row>
    <row r="580" spans="1:1" x14ac:dyDescent="0.3">
      <c r="A580">
        <v>49500</v>
      </c>
    </row>
    <row r="581" spans="1:1" x14ac:dyDescent="0.3">
      <c r="A581">
        <v>51900</v>
      </c>
    </row>
    <row r="582" spans="1:1" x14ac:dyDescent="0.3">
      <c r="A582">
        <v>48600</v>
      </c>
    </row>
    <row r="583" spans="1:1" x14ac:dyDescent="0.3">
      <c r="A583">
        <v>57900</v>
      </c>
    </row>
    <row r="584" spans="1:1" x14ac:dyDescent="0.3">
      <c r="A584">
        <v>46900</v>
      </c>
    </row>
    <row r="585" spans="1:1" x14ac:dyDescent="0.3">
      <c r="A585">
        <v>46000</v>
      </c>
    </row>
    <row r="586" spans="1:1" x14ac:dyDescent="0.3">
      <c r="A586">
        <v>47700</v>
      </c>
    </row>
    <row r="587" spans="1:1" x14ac:dyDescent="0.3">
      <c r="A587">
        <v>45600</v>
      </c>
    </row>
    <row r="588" spans="1:1" x14ac:dyDescent="0.3">
      <c r="A588">
        <v>49800</v>
      </c>
    </row>
    <row r="589" spans="1:1" x14ac:dyDescent="0.3">
      <c r="A589">
        <v>48600</v>
      </c>
    </row>
    <row r="590" spans="1:1" x14ac:dyDescent="0.3">
      <c r="A590">
        <v>50100</v>
      </c>
    </row>
    <row r="591" spans="1:1" x14ac:dyDescent="0.3">
      <c r="A591">
        <v>51200</v>
      </c>
    </row>
    <row r="592" spans="1:1" x14ac:dyDescent="0.3">
      <c r="A592">
        <v>48500</v>
      </c>
    </row>
    <row r="593" spans="1:1" x14ac:dyDescent="0.3">
      <c r="A593">
        <v>51000</v>
      </c>
    </row>
    <row r="594" spans="1:1" x14ac:dyDescent="0.3">
      <c r="A594">
        <v>49500</v>
      </c>
    </row>
    <row r="595" spans="1:1" x14ac:dyDescent="0.3">
      <c r="A595">
        <v>71400</v>
      </c>
    </row>
    <row r="596" spans="1:1" x14ac:dyDescent="0.3">
      <c r="A596">
        <v>48100</v>
      </c>
    </row>
    <row r="597" spans="1:1" x14ac:dyDescent="0.3">
      <c r="A597">
        <v>46800</v>
      </c>
    </row>
    <row r="598" spans="1:1" x14ac:dyDescent="0.3">
      <c r="A598">
        <v>46600</v>
      </c>
    </row>
    <row r="599" spans="1:1" x14ac:dyDescent="0.3">
      <c r="A599">
        <v>48200</v>
      </c>
    </row>
    <row r="600" spans="1:1" x14ac:dyDescent="0.3">
      <c r="A600">
        <v>48700</v>
      </c>
    </row>
    <row r="601" spans="1:1" x14ac:dyDescent="0.3">
      <c r="A601">
        <v>53700</v>
      </c>
    </row>
    <row r="602" spans="1:1" x14ac:dyDescent="0.3">
      <c r="A602">
        <v>63200</v>
      </c>
    </row>
    <row r="603" spans="1:1" x14ac:dyDescent="0.3">
      <c r="A603">
        <v>72000</v>
      </c>
    </row>
    <row r="604" spans="1:1" x14ac:dyDescent="0.3">
      <c r="A604">
        <v>50100</v>
      </c>
    </row>
    <row r="605" spans="1:1" x14ac:dyDescent="0.3">
      <c r="A605">
        <v>47100</v>
      </c>
    </row>
    <row r="606" spans="1:1" x14ac:dyDescent="0.3">
      <c r="A606">
        <v>49000</v>
      </c>
    </row>
    <row r="607" spans="1:1" x14ac:dyDescent="0.3">
      <c r="A607">
        <v>48900</v>
      </c>
    </row>
    <row r="608" spans="1:1" x14ac:dyDescent="0.3">
      <c r="A608">
        <v>47800</v>
      </c>
    </row>
    <row r="609" spans="1:1" x14ac:dyDescent="0.3">
      <c r="A609">
        <v>49200</v>
      </c>
    </row>
    <row r="610" spans="1:1" x14ac:dyDescent="0.3">
      <c r="A610">
        <v>54300</v>
      </c>
    </row>
    <row r="611" spans="1:1" x14ac:dyDescent="0.3">
      <c r="A611">
        <v>49800</v>
      </c>
    </row>
    <row r="612" spans="1:1" x14ac:dyDescent="0.3">
      <c r="A612">
        <v>51500</v>
      </c>
    </row>
    <row r="613" spans="1:1" x14ac:dyDescent="0.3">
      <c r="A613">
        <v>50800</v>
      </c>
    </row>
    <row r="614" spans="1:1" x14ac:dyDescent="0.3">
      <c r="A614">
        <v>50300</v>
      </c>
    </row>
    <row r="615" spans="1:1" x14ac:dyDescent="0.3">
      <c r="A615">
        <v>51300</v>
      </c>
    </row>
    <row r="616" spans="1:1" x14ac:dyDescent="0.3">
      <c r="A616">
        <v>52500</v>
      </c>
    </row>
    <row r="617" spans="1:1" x14ac:dyDescent="0.3">
      <c r="A617">
        <v>58700</v>
      </c>
    </row>
    <row r="618" spans="1:1" x14ac:dyDescent="0.3">
      <c r="A618">
        <v>60200</v>
      </c>
    </row>
    <row r="619" spans="1:1" x14ac:dyDescent="0.3">
      <c r="A619">
        <v>57400</v>
      </c>
    </row>
    <row r="620" spans="1:1" x14ac:dyDescent="0.3">
      <c r="A620">
        <v>75500</v>
      </c>
    </row>
    <row r="621" spans="1:1" x14ac:dyDescent="0.3">
      <c r="A621">
        <v>53500</v>
      </c>
    </row>
    <row r="622" spans="1:1" x14ac:dyDescent="0.3">
      <c r="A622">
        <v>59400</v>
      </c>
    </row>
    <row r="623" spans="1:1" x14ac:dyDescent="0.3">
      <c r="A623">
        <v>47100</v>
      </c>
    </row>
    <row r="624" spans="1:1" x14ac:dyDescent="0.3">
      <c r="A624">
        <v>57700</v>
      </c>
    </row>
    <row r="625" spans="1:1" x14ac:dyDescent="0.3">
      <c r="A625">
        <v>74400</v>
      </c>
    </row>
    <row r="626" spans="1:1" x14ac:dyDescent="0.3">
      <c r="A626">
        <v>59000</v>
      </c>
    </row>
    <row r="627" spans="1:1" x14ac:dyDescent="0.3">
      <c r="A627">
        <v>49200</v>
      </c>
    </row>
    <row r="628" spans="1:1" x14ac:dyDescent="0.3">
      <c r="A628">
        <v>58900</v>
      </c>
    </row>
    <row r="629" spans="1:1" x14ac:dyDescent="0.3">
      <c r="A629">
        <v>58300</v>
      </c>
    </row>
    <row r="630" spans="1:1" x14ac:dyDescent="0.3">
      <c r="A630">
        <v>54700</v>
      </c>
    </row>
    <row r="631" spans="1:1" x14ac:dyDescent="0.3">
      <c r="A631">
        <v>54600</v>
      </c>
    </row>
    <row r="632" spans="1:1" x14ac:dyDescent="0.3">
      <c r="A632">
        <v>60700</v>
      </c>
    </row>
    <row r="633" spans="1:1" x14ac:dyDescent="0.3">
      <c r="A633">
        <v>57600</v>
      </c>
    </row>
    <row r="634" spans="1:1" x14ac:dyDescent="0.3">
      <c r="A634">
        <v>58600</v>
      </c>
    </row>
    <row r="635" spans="1:1" x14ac:dyDescent="0.3">
      <c r="A635">
        <v>60200</v>
      </c>
    </row>
    <row r="636" spans="1:1" x14ac:dyDescent="0.3">
      <c r="A636">
        <v>50000</v>
      </c>
    </row>
    <row r="637" spans="1:1" x14ac:dyDescent="0.3">
      <c r="A637">
        <v>56900</v>
      </c>
    </row>
    <row r="638" spans="1:1" x14ac:dyDescent="0.3">
      <c r="A638">
        <v>54400</v>
      </c>
    </row>
    <row r="639" spans="1:1" x14ac:dyDescent="0.3">
      <c r="A639">
        <v>55600</v>
      </c>
    </row>
    <row r="640" spans="1:1" x14ac:dyDescent="0.3">
      <c r="A640">
        <v>62600</v>
      </c>
    </row>
    <row r="641" spans="1:1" x14ac:dyDescent="0.3">
      <c r="A641">
        <v>67600</v>
      </c>
    </row>
    <row r="642" spans="1:1" x14ac:dyDescent="0.3">
      <c r="A642">
        <v>48100</v>
      </c>
    </row>
    <row r="643" spans="1:1" x14ac:dyDescent="0.3">
      <c r="A643">
        <v>51900</v>
      </c>
    </row>
    <row r="644" spans="1:1" x14ac:dyDescent="0.3">
      <c r="A644">
        <v>53700</v>
      </c>
    </row>
    <row r="645" spans="1:1" x14ac:dyDescent="0.3">
      <c r="A645">
        <v>50100</v>
      </c>
    </row>
    <row r="646" spans="1:1" x14ac:dyDescent="0.3">
      <c r="A646">
        <v>51600</v>
      </c>
    </row>
    <row r="647" spans="1:1" x14ac:dyDescent="0.3">
      <c r="A647">
        <v>49800</v>
      </c>
    </row>
    <row r="648" spans="1:1" x14ac:dyDescent="0.3">
      <c r="A648">
        <v>50000</v>
      </c>
    </row>
    <row r="649" spans="1:1" x14ac:dyDescent="0.3">
      <c r="A649">
        <v>50600</v>
      </c>
    </row>
    <row r="650" spans="1:1" x14ac:dyDescent="0.3">
      <c r="A650">
        <v>52900</v>
      </c>
    </row>
    <row r="651" spans="1:1" x14ac:dyDescent="0.3">
      <c r="A651">
        <v>52800</v>
      </c>
    </row>
    <row r="652" spans="1:1" x14ac:dyDescent="0.3">
      <c r="A652">
        <v>53100</v>
      </c>
    </row>
    <row r="653" spans="1:1" x14ac:dyDescent="0.3">
      <c r="A653">
        <v>53800</v>
      </c>
    </row>
    <row r="654" spans="1:1" x14ac:dyDescent="0.3">
      <c r="A654">
        <v>53700</v>
      </c>
    </row>
    <row r="655" spans="1:1" x14ac:dyDescent="0.3">
      <c r="A655">
        <v>54700</v>
      </c>
    </row>
    <row r="656" spans="1:1" x14ac:dyDescent="0.3">
      <c r="A656">
        <v>55600</v>
      </c>
    </row>
    <row r="657" spans="1:1" x14ac:dyDescent="0.3">
      <c r="A657">
        <v>48200</v>
      </c>
    </row>
    <row r="658" spans="1:1" x14ac:dyDescent="0.3">
      <c r="A658">
        <v>58200</v>
      </c>
    </row>
    <row r="659" spans="1:1" x14ac:dyDescent="0.3">
      <c r="A659">
        <v>51000</v>
      </c>
    </row>
    <row r="660" spans="1:1" x14ac:dyDescent="0.3">
      <c r="A660">
        <v>47700</v>
      </c>
    </row>
    <row r="661" spans="1:1" x14ac:dyDescent="0.3">
      <c r="A661">
        <v>51800</v>
      </c>
    </row>
    <row r="662" spans="1:1" x14ac:dyDescent="0.3">
      <c r="A662">
        <v>54000</v>
      </c>
    </row>
    <row r="663" spans="1:1" x14ac:dyDescent="0.3">
      <c r="A663">
        <v>52500</v>
      </c>
    </row>
    <row r="664" spans="1:1" x14ac:dyDescent="0.3">
      <c r="A664">
        <v>54000</v>
      </c>
    </row>
    <row r="665" spans="1:1" x14ac:dyDescent="0.3">
      <c r="A665">
        <v>53100</v>
      </c>
    </row>
    <row r="666" spans="1:1" x14ac:dyDescent="0.3">
      <c r="A666">
        <v>53600</v>
      </c>
    </row>
    <row r="667" spans="1:1" x14ac:dyDescent="0.3">
      <c r="A667">
        <v>51100</v>
      </c>
    </row>
    <row r="668" spans="1:1" x14ac:dyDescent="0.3">
      <c r="A668">
        <v>54000</v>
      </c>
    </row>
    <row r="669" spans="1:1" x14ac:dyDescent="0.3">
      <c r="A669">
        <v>52400</v>
      </c>
    </row>
    <row r="670" spans="1:1" x14ac:dyDescent="0.3">
      <c r="A670">
        <v>54500</v>
      </c>
    </row>
    <row r="671" spans="1:1" x14ac:dyDescent="0.3">
      <c r="A671">
        <v>55200</v>
      </c>
    </row>
    <row r="672" spans="1:1" x14ac:dyDescent="0.3">
      <c r="A672">
        <v>55200</v>
      </c>
    </row>
    <row r="673" spans="1:1" x14ac:dyDescent="0.3">
      <c r="A673">
        <v>48700</v>
      </c>
    </row>
    <row r="674" spans="1:1" x14ac:dyDescent="0.3">
      <c r="A674">
        <v>56000</v>
      </c>
    </row>
    <row r="675" spans="1:1" x14ac:dyDescent="0.3">
      <c r="A675">
        <v>49000</v>
      </c>
    </row>
    <row r="676" spans="1:1" x14ac:dyDescent="0.3">
      <c r="A676">
        <v>56400</v>
      </c>
    </row>
    <row r="677" spans="1:1" x14ac:dyDescent="0.3">
      <c r="A677">
        <v>51100</v>
      </c>
    </row>
    <row r="678" spans="1:1" x14ac:dyDescent="0.3">
      <c r="A678">
        <v>48500</v>
      </c>
    </row>
    <row r="679" spans="1:1" x14ac:dyDescent="0.3">
      <c r="A679">
        <v>52200</v>
      </c>
    </row>
    <row r="680" spans="1:1" x14ac:dyDescent="0.3">
      <c r="A680">
        <v>53000</v>
      </c>
    </row>
    <row r="681" spans="1:1" x14ac:dyDescent="0.3">
      <c r="A681">
        <v>53000</v>
      </c>
    </row>
    <row r="682" spans="1:1" x14ac:dyDescent="0.3">
      <c r="A682">
        <v>55000</v>
      </c>
    </row>
    <row r="683" spans="1:1" x14ac:dyDescent="0.3">
      <c r="A683">
        <v>54200</v>
      </c>
    </row>
    <row r="684" spans="1:1" x14ac:dyDescent="0.3">
      <c r="A684">
        <v>57200</v>
      </c>
    </row>
    <row r="685" spans="1:1" x14ac:dyDescent="0.3">
      <c r="A685">
        <v>55900</v>
      </c>
    </row>
    <row r="686" spans="1:1" x14ac:dyDescent="0.3">
      <c r="A686">
        <v>67300</v>
      </c>
    </row>
    <row r="687" spans="1:1" x14ac:dyDescent="0.3">
      <c r="A687">
        <v>61200</v>
      </c>
    </row>
    <row r="688" spans="1:1" x14ac:dyDescent="0.3">
      <c r="A688">
        <v>51400</v>
      </c>
    </row>
    <row r="689" spans="1:1" x14ac:dyDescent="0.3">
      <c r="A689">
        <v>66600</v>
      </c>
    </row>
    <row r="690" spans="1:1" x14ac:dyDescent="0.3">
      <c r="A690">
        <v>52600</v>
      </c>
    </row>
    <row r="691" spans="1:1" x14ac:dyDescent="0.3">
      <c r="A691">
        <v>53000</v>
      </c>
    </row>
    <row r="692" spans="1:1" x14ac:dyDescent="0.3">
      <c r="A692">
        <v>50600</v>
      </c>
    </row>
    <row r="693" spans="1:1" x14ac:dyDescent="0.3">
      <c r="A693">
        <v>53400</v>
      </c>
    </row>
    <row r="694" spans="1:1" x14ac:dyDescent="0.3">
      <c r="A694">
        <v>48600</v>
      </c>
    </row>
    <row r="695" spans="1:1" x14ac:dyDescent="0.3">
      <c r="A695">
        <v>59000</v>
      </c>
    </row>
    <row r="696" spans="1:1" x14ac:dyDescent="0.3">
      <c r="A696">
        <v>53400</v>
      </c>
    </row>
    <row r="697" spans="1:1" x14ac:dyDescent="0.3">
      <c r="A697">
        <v>50900</v>
      </c>
    </row>
    <row r="698" spans="1:1" x14ac:dyDescent="0.3">
      <c r="A698">
        <v>55000</v>
      </c>
    </row>
    <row r="699" spans="1:1" x14ac:dyDescent="0.3">
      <c r="A699">
        <v>49000</v>
      </c>
    </row>
    <row r="700" spans="1:1" x14ac:dyDescent="0.3">
      <c r="A700">
        <v>56000</v>
      </c>
    </row>
    <row r="701" spans="1:1" x14ac:dyDescent="0.3">
      <c r="A701">
        <v>49600</v>
      </c>
    </row>
    <row r="702" spans="1:1" x14ac:dyDescent="0.3">
      <c r="A702">
        <v>48200</v>
      </c>
    </row>
    <row r="703" spans="1:1" x14ac:dyDescent="0.3">
      <c r="A703">
        <v>51300</v>
      </c>
    </row>
    <row r="704" spans="1:1" x14ac:dyDescent="0.3">
      <c r="A704">
        <v>47700</v>
      </c>
    </row>
    <row r="705" spans="1:1" x14ac:dyDescent="0.3">
      <c r="A705">
        <v>47700</v>
      </c>
    </row>
    <row r="706" spans="1:1" x14ac:dyDescent="0.3">
      <c r="A706">
        <v>49600</v>
      </c>
    </row>
    <row r="707" spans="1:1" x14ac:dyDescent="0.3">
      <c r="A707">
        <v>49700</v>
      </c>
    </row>
    <row r="708" spans="1:1" x14ac:dyDescent="0.3">
      <c r="A708">
        <v>49900</v>
      </c>
    </row>
    <row r="709" spans="1:1" x14ac:dyDescent="0.3">
      <c r="A709">
        <v>50100</v>
      </c>
    </row>
    <row r="710" spans="1:1" x14ac:dyDescent="0.3">
      <c r="A710">
        <v>51100</v>
      </c>
    </row>
    <row r="711" spans="1:1" x14ac:dyDescent="0.3">
      <c r="A711">
        <v>52400</v>
      </c>
    </row>
    <row r="712" spans="1:1" x14ac:dyDescent="0.3">
      <c r="A712">
        <v>53300</v>
      </c>
    </row>
    <row r="713" spans="1:1" x14ac:dyDescent="0.3">
      <c r="A713">
        <v>54000</v>
      </c>
    </row>
    <row r="714" spans="1:1" x14ac:dyDescent="0.3">
      <c r="A714">
        <v>56700</v>
      </c>
    </row>
    <row r="715" spans="1:1" x14ac:dyDescent="0.3">
      <c r="A715">
        <v>58200</v>
      </c>
    </row>
    <row r="716" spans="1:1" x14ac:dyDescent="0.3">
      <c r="A716">
        <v>48100</v>
      </c>
    </row>
    <row r="717" spans="1:1" x14ac:dyDescent="0.3">
      <c r="A717">
        <v>47100</v>
      </c>
    </row>
    <row r="718" spans="1:1" x14ac:dyDescent="0.3">
      <c r="A718">
        <v>48400</v>
      </c>
    </row>
    <row r="719" spans="1:1" x14ac:dyDescent="0.3">
      <c r="A719">
        <v>51800</v>
      </c>
    </row>
    <row r="720" spans="1:1" x14ac:dyDescent="0.3">
      <c r="A720">
        <v>52100</v>
      </c>
    </row>
    <row r="721" spans="1:1" x14ac:dyDescent="0.3">
      <c r="A721">
        <v>55100</v>
      </c>
    </row>
    <row r="722" spans="1:1" x14ac:dyDescent="0.3">
      <c r="A722">
        <v>47900</v>
      </c>
    </row>
    <row r="723" spans="1:1" x14ac:dyDescent="0.3">
      <c r="A723">
        <v>48800</v>
      </c>
    </row>
    <row r="724" spans="1:1" x14ac:dyDescent="0.3">
      <c r="A724">
        <v>50300</v>
      </c>
    </row>
    <row r="725" spans="1:1" x14ac:dyDescent="0.3">
      <c r="A725">
        <v>56700</v>
      </c>
    </row>
    <row r="726" spans="1:1" x14ac:dyDescent="0.3">
      <c r="A726">
        <v>53200</v>
      </c>
    </row>
    <row r="727" spans="1:1" x14ac:dyDescent="0.3">
      <c r="A727">
        <v>58000</v>
      </c>
    </row>
    <row r="728" spans="1:1" x14ac:dyDescent="0.3">
      <c r="A728">
        <v>54300</v>
      </c>
    </row>
    <row r="729" spans="1:1" x14ac:dyDescent="0.3">
      <c r="A729">
        <v>54400</v>
      </c>
    </row>
    <row r="730" spans="1:1" x14ac:dyDescent="0.3">
      <c r="A730">
        <v>50100</v>
      </c>
    </row>
    <row r="731" spans="1:1" x14ac:dyDescent="0.3">
      <c r="A731">
        <v>64700</v>
      </c>
    </row>
    <row r="732" spans="1:1" x14ac:dyDescent="0.3">
      <c r="A732">
        <v>51900</v>
      </c>
    </row>
    <row r="733" spans="1:1" x14ac:dyDescent="0.3">
      <c r="A733">
        <v>60400</v>
      </c>
    </row>
    <row r="734" spans="1:1" x14ac:dyDescent="0.3">
      <c r="A734">
        <v>50700</v>
      </c>
    </row>
    <row r="735" spans="1:1" x14ac:dyDescent="0.3">
      <c r="A735">
        <v>58900</v>
      </c>
    </row>
    <row r="736" spans="1:1" x14ac:dyDescent="0.3">
      <c r="A736">
        <v>51400</v>
      </c>
    </row>
    <row r="737" spans="1:1" x14ac:dyDescent="0.3">
      <c r="A737">
        <v>53800</v>
      </c>
    </row>
    <row r="738" spans="1:1" x14ac:dyDescent="0.3">
      <c r="A738">
        <v>46600</v>
      </c>
    </row>
    <row r="739" spans="1:1" x14ac:dyDescent="0.3">
      <c r="A739">
        <v>48500</v>
      </c>
    </row>
    <row r="740" spans="1:1" x14ac:dyDescent="0.3">
      <c r="A740">
        <v>57600</v>
      </c>
    </row>
    <row r="741" spans="1:1" x14ac:dyDescent="0.3">
      <c r="A741">
        <v>49400</v>
      </c>
    </row>
    <row r="742" spans="1:1" x14ac:dyDescent="0.3">
      <c r="A742">
        <v>69000</v>
      </c>
    </row>
    <row r="743" spans="1:1" x14ac:dyDescent="0.3">
      <c r="A743">
        <v>60900</v>
      </c>
    </row>
    <row r="744" spans="1:1" x14ac:dyDescent="0.3">
      <c r="A744">
        <v>53700</v>
      </c>
    </row>
    <row r="745" spans="1:1" x14ac:dyDescent="0.3">
      <c r="A745">
        <v>55000</v>
      </c>
    </row>
    <row r="746" spans="1:1" x14ac:dyDescent="0.3">
      <c r="A746">
        <v>47100</v>
      </c>
    </row>
    <row r="747" spans="1:1" x14ac:dyDescent="0.3">
      <c r="A747">
        <v>58100</v>
      </c>
    </row>
    <row r="748" spans="1:1" x14ac:dyDescent="0.3">
      <c r="A748">
        <v>54300</v>
      </c>
    </row>
    <row r="749" spans="1:1" x14ac:dyDescent="0.3">
      <c r="A749">
        <v>50000</v>
      </c>
    </row>
    <row r="750" spans="1:1" x14ac:dyDescent="0.3">
      <c r="A750">
        <v>51300</v>
      </c>
    </row>
    <row r="751" spans="1:1" x14ac:dyDescent="0.3">
      <c r="A751">
        <v>53300</v>
      </c>
    </row>
    <row r="752" spans="1:1" x14ac:dyDescent="0.3">
      <c r="A752">
        <v>52100</v>
      </c>
    </row>
    <row r="753" spans="1:1" x14ac:dyDescent="0.3">
      <c r="A753">
        <v>54300</v>
      </c>
    </row>
    <row r="754" spans="1:1" x14ac:dyDescent="0.3">
      <c r="A754">
        <v>52200</v>
      </c>
    </row>
    <row r="755" spans="1:1" x14ac:dyDescent="0.3">
      <c r="A755">
        <v>54800</v>
      </c>
    </row>
    <row r="756" spans="1:1" x14ac:dyDescent="0.3">
      <c r="A756">
        <v>55500</v>
      </c>
    </row>
    <row r="757" spans="1:1" x14ac:dyDescent="0.3">
      <c r="A757">
        <v>60400</v>
      </c>
    </row>
    <row r="758" spans="1:1" x14ac:dyDescent="0.3">
      <c r="A758">
        <v>58800</v>
      </c>
    </row>
    <row r="759" spans="1:1" x14ac:dyDescent="0.3">
      <c r="A759">
        <v>60700</v>
      </c>
    </row>
    <row r="760" spans="1:1" x14ac:dyDescent="0.3">
      <c r="A760">
        <v>49100</v>
      </c>
    </row>
    <row r="761" spans="1:1" x14ac:dyDescent="0.3">
      <c r="A761">
        <v>63900</v>
      </c>
    </row>
    <row r="762" spans="1:1" x14ac:dyDescent="0.3">
      <c r="A762">
        <v>54600</v>
      </c>
    </row>
    <row r="763" spans="1:1" x14ac:dyDescent="0.3">
      <c r="A763">
        <v>53300</v>
      </c>
    </row>
    <row r="764" spans="1:1" x14ac:dyDescent="0.3">
      <c r="A764">
        <v>48400</v>
      </c>
    </row>
    <row r="765" spans="1:1" x14ac:dyDescent="0.3">
      <c r="A765">
        <v>51400</v>
      </c>
    </row>
    <row r="766" spans="1:1" x14ac:dyDescent="0.3">
      <c r="A766">
        <v>55500</v>
      </c>
    </row>
    <row r="767" spans="1:1" x14ac:dyDescent="0.3">
      <c r="A767">
        <v>55200</v>
      </c>
    </row>
    <row r="768" spans="1:1" x14ac:dyDescent="0.3">
      <c r="A768">
        <v>53900</v>
      </c>
    </row>
    <row r="769" spans="1:1" x14ac:dyDescent="0.3">
      <c r="A769">
        <v>53100</v>
      </c>
    </row>
    <row r="770" spans="1:1" x14ac:dyDescent="0.3">
      <c r="A770">
        <v>52300</v>
      </c>
    </row>
    <row r="771" spans="1:1" x14ac:dyDescent="0.3">
      <c r="A771">
        <v>52200</v>
      </c>
    </row>
    <row r="772" spans="1:1" x14ac:dyDescent="0.3">
      <c r="A772">
        <v>50800</v>
      </c>
    </row>
    <row r="773" spans="1:1" x14ac:dyDescent="0.3">
      <c r="A773">
        <v>49700</v>
      </c>
    </row>
    <row r="774" spans="1:1" x14ac:dyDescent="0.3">
      <c r="A774">
        <v>62100</v>
      </c>
    </row>
    <row r="775" spans="1:1" x14ac:dyDescent="0.3">
      <c r="A775">
        <v>52300</v>
      </c>
    </row>
    <row r="776" spans="1:1" x14ac:dyDescent="0.3">
      <c r="A776">
        <v>67200</v>
      </c>
    </row>
    <row r="777" spans="1:1" x14ac:dyDescent="0.3">
      <c r="A777">
        <v>50800</v>
      </c>
    </row>
    <row r="778" spans="1:1" x14ac:dyDescent="0.3">
      <c r="A778">
        <v>69700</v>
      </c>
    </row>
    <row r="779" spans="1:1" x14ac:dyDescent="0.3">
      <c r="A779">
        <v>56000</v>
      </c>
    </row>
    <row r="780" spans="1:1" x14ac:dyDescent="0.3">
      <c r="A780">
        <v>47300</v>
      </c>
    </row>
    <row r="781" spans="1:1" x14ac:dyDescent="0.3">
      <c r="A781">
        <v>52400</v>
      </c>
    </row>
    <row r="782" spans="1:1" x14ac:dyDescent="0.3">
      <c r="A782">
        <v>55300</v>
      </c>
    </row>
    <row r="783" spans="1:1" x14ac:dyDescent="0.3">
      <c r="A783">
        <v>56400</v>
      </c>
    </row>
    <row r="784" spans="1:1" x14ac:dyDescent="0.3">
      <c r="A784">
        <v>66400</v>
      </c>
    </row>
    <row r="785" spans="1:1" x14ac:dyDescent="0.3">
      <c r="A785">
        <v>51000</v>
      </c>
    </row>
    <row r="786" spans="1:1" x14ac:dyDescent="0.3">
      <c r="A786">
        <v>56100</v>
      </c>
    </row>
    <row r="787" spans="1:1" x14ac:dyDescent="0.3">
      <c r="A787">
        <v>53500</v>
      </c>
    </row>
    <row r="788" spans="1:1" x14ac:dyDescent="0.3">
      <c r="A788">
        <v>54100</v>
      </c>
    </row>
    <row r="789" spans="1:1" x14ac:dyDescent="0.3">
      <c r="A789">
        <v>54600</v>
      </c>
    </row>
    <row r="790" spans="1:1" x14ac:dyDescent="0.3">
      <c r="A790">
        <v>56800</v>
      </c>
    </row>
    <row r="791" spans="1:1" x14ac:dyDescent="0.3">
      <c r="A791">
        <v>59600</v>
      </c>
    </row>
    <row r="792" spans="1:1" x14ac:dyDescent="0.3">
      <c r="A792">
        <v>58600</v>
      </c>
    </row>
    <row r="793" spans="1:1" x14ac:dyDescent="0.3">
      <c r="A793">
        <v>50500</v>
      </c>
    </row>
    <row r="794" spans="1:1" x14ac:dyDescent="0.3">
      <c r="A794">
        <v>55600</v>
      </c>
    </row>
    <row r="795" spans="1:1" x14ac:dyDescent="0.3">
      <c r="A795">
        <v>68100</v>
      </c>
    </row>
    <row r="796" spans="1:1" x14ac:dyDescent="0.3">
      <c r="A796">
        <v>59100</v>
      </c>
    </row>
    <row r="797" spans="1:1" x14ac:dyDescent="0.3">
      <c r="A797">
        <v>49800</v>
      </c>
    </row>
    <row r="798" spans="1:1" x14ac:dyDescent="0.3">
      <c r="A798">
        <v>49800</v>
      </c>
    </row>
    <row r="799" spans="1:1" x14ac:dyDescent="0.3">
      <c r="A799">
        <v>50700</v>
      </c>
    </row>
    <row r="800" spans="1:1" x14ac:dyDescent="0.3">
      <c r="A800">
        <v>54800</v>
      </c>
    </row>
    <row r="801" spans="1:1" x14ac:dyDescent="0.3">
      <c r="A801">
        <v>49500</v>
      </c>
    </row>
    <row r="802" spans="1:1" x14ac:dyDescent="0.3">
      <c r="A802">
        <v>66300</v>
      </c>
    </row>
    <row r="803" spans="1:1" x14ac:dyDescent="0.3">
      <c r="A803">
        <v>46600</v>
      </c>
    </row>
    <row r="804" spans="1:1" x14ac:dyDescent="0.3">
      <c r="A804">
        <v>59600</v>
      </c>
    </row>
    <row r="805" spans="1:1" x14ac:dyDescent="0.3">
      <c r="A805">
        <v>49600</v>
      </c>
    </row>
    <row r="806" spans="1:1" x14ac:dyDescent="0.3">
      <c r="A806">
        <v>50800</v>
      </c>
    </row>
    <row r="807" spans="1:1" x14ac:dyDescent="0.3">
      <c r="A807">
        <v>52500</v>
      </c>
    </row>
    <row r="808" spans="1:1" x14ac:dyDescent="0.3">
      <c r="A808">
        <v>50100</v>
      </c>
    </row>
    <row r="809" spans="1:1" x14ac:dyDescent="0.3">
      <c r="A809">
        <v>51500</v>
      </c>
    </row>
    <row r="810" spans="1:1" x14ac:dyDescent="0.3">
      <c r="A810">
        <v>48300</v>
      </c>
    </row>
    <row r="811" spans="1:1" x14ac:dyDescent="0.3">
      <c r="A811">
        <v>55100</v>
      </c>
    </row>
    <row r="812" spans="1:1" x14ac:dyDescent="0.3">
      <c r="A812">
        <v>48600</v>
      </c>
    </row>
    <row r="813" spans="1:1" x14ac:dyDescent="0.3">
      <c r="A813">
        <v>60400</v>
      </c>
    </row>
    <row r="814" spans="1:1" x14ac:dyDescent="0.3">
      <c r="A814">
        <v>49200</v>
      </c>
    </row>
    <row r="815" spans="1:1" x14ac:dyDescent="0.3">
      <c r="A815">
        <v>62800</v>
      </c>
    </row>
    <row r="816" spans="1:1" x14ac:dyDescent="0.3">
      <c r="A816">
        <v>57600</v>
      </c>
    </row>
    <row r="817" spans="1:1" x14ac:dyDescent="0.3">
      <c r="A817">
        <v>58100</v>
      </c>
    </row>
    <row r="818" spans="1:1" x14ac:dyDescent="0.3">
      <c r="A818">
        <v>57100</v>
      </c>
    </row>
    <row r="819" spans="1:1" x14ac:dyDescent="0.3">
      <c r="A819">
        <v>55900</v>
      </c>
    </row>
    <row r="820" spans="1:1" x14ac:dyDescent="0.3">
      <c r="A820">
        <v>52600</v>
      </c>
    </row>
    <row r="821" spans="1:1" x14ac:dyDescent="0.3">
      <c r="A821">
        <v>55000</v>
      </c>
    </row>
    <row r="822" spans="1:1" x14ac:dyDescent="0.3">
      <c r="A822">
        <v>49100</v>
      </c>
    </row>
    <row r="823" spans="1:1" x14ac:dyDescent="0.3">
      <c r="A823">
        <v>51900</v>
      </c>
    </row>
    <row r="824" spans="1:1" x14ac:dyDescent="0.3">
      <c r="A824">
        <v>56500</v>
      </c>
    </row>
    <row r="825" spans="1:1" x14ac:dyDescent="0.3">
      <c r="A825">
        <v>49700</v>
      </c>
    </row>
    <row r="826" spans="1:1" x14ac:dyDescent="0.3">
      <c r="A826">
        <v>57800</v>
      </c>
    </row>
    <row r="827" spans="1:1" x14ac:dyDescent="0.3">
      <c r="A827">
        <v>49400</v>
      </c>
    </row>
    <row r="828" spans="1:1" x14ac:dyDescent="0.3">
      <c r="A828">
        <v>62100</v>
      </c>
    </row>
    <row r="829" spans="1:1" x14ac:dyDescent="0.3">
      <c r="A829">
        <v>49000</v>
      </c>
    </row>
    <row r="830" spans="1:1" x14ac:dyDescent="0.3">
      <c r="A830">
        <v>66500</v>
      </c>
    </row>
    <row r="831" spans="1:1" x14ac:dyDescent="0.3">
      <c r="A831">
        <v>50300</v>
      </c>
    </row>
    <row r="832" spans="1:1" x14ac:dyDescent="0.3">
      <c r="A832">
        <v>48300</v>
      </c>
    </row>
    <row r="833" spans="1:1" x14ac:dyDescent="0.3">
      <c r="A833">
        <v>46800</v>
      </c>
    </row>
    <row r="834" spans="1:1" x14ac:dyDescent="0.3">
      <c r="A834">
        <v>50600</v>
      </c>
    </row>
    <row r="835" spans="1:1" x14ac:dyDescent="0.3">
      <c r="A835">
        <v>52700</v>
      </c>
    </row>
    <row r="836" spans="1:1" x14ac:dyDescent="0.3">
      <c r="A836">
        <v>53300</v>
      </c>
    </row>
    <row r="837" spans="1:1" x14ac:dyDescent="0.3">
      <c r="A837">
        <v>55100</v>
      </c>
    </row>
    <row r="838" spans="1:1" x14ac:dyDescent="0.3">
      <c r="A838">
        <v>56100</v>
      </c>
    </row>
    <row r="839" spans="1:1" x14ac:dyDescent="0.3">
      <c r="A839">
        <v>43500</v>
      </c>
    </row>
    <row r="840" spans="1:1" x14ac:dyDescent="0.3">
      <c r="A840">
        <v>48000</v>
      </c>
    </row>
    <row r="841" spans="1:1" x14ac:dyDescent="0.3">
      <c r="A841">
        <v>46600</v>
      </c>
    </row>
    <row r="842" spans="1:1" x14ac:dyDescent="0.3">
      <c r="A842">
        <v>64000</v>
      </c>
    </row>
    <row r="843" spans="1:1" x14ac:dyDescent="0.3">
      <c r="A843">
        <v>58200</v>
      </c>
    </row>
    <row r="844" spans="1:1" x14ac:dyDescent="0.3">
      <c r="A844">
        <v>51700</v>
      </c>
    </row>
    <row r="845" spans="1:1" x14ac:dyDescent="0.3">
      <c r="A845">
        <v>54200</v>
      </c>
    </row>
    <row r="846" spans="1:1" x14ac:dyDescent="0.3">
      <c r="A846">
        <v>53700</v>
      </c>
    </row>
    <row r="847" spans="1:1" x14ac:dyDescent="0.3">
      <c r="A847">
        <v>47900</v>
      </c>
    </row>
    <row r="848" spans="1:1" x14ac:dyDescent="0.3">
      <c r="A848">
        <v>63200</v>
      </c>
    </row>
    <row r="849" spans="1:1" x14ac:dyDescent="0.3">
      <c r="A849">
        <v>57100</v>
      </c>
    </row>
    <row r="850" spans="1:1" x14ac:dyDescent="0.3">
      <c r="A850">
        <v>54400</v>
      </c>
    </row>
    <row r="851" spans="1:1" x14ac:dyDescent="0.3">
      <c r="A851">
        <v>64600</v>
      </c>
    </row>
    <row r="852" spans="1:1" x14ac:dyDescent="0.3">
      <c r="A852">
        <v>47500</v>
      </c>
    </row>
    <row r="853" spans="1:1" x14ac:dyDescent="0.3">
      <c r="A853">
        <v>48200</v>
      </c>
    </row>
    <row r="854" spans="1:1" x14ac:dyDescent="0.3">
      <c r="A854">
        <v>46700</v>
      </c>
    </row>
    <row r="855" spans="1:1" x14ac:dyDescent="0.3">
      <c r="A855">
        <v>56800</v>
      </c>
    </row>
    <row r="856" spans="1:1" x14ac:dyDescent="0.3">
      <c r="A856">
        <v>49400</v>
      </c>
    </row>
    <row r="857" spans="1:1" x14ac:dyDescent="0.3">
      <c r="A857">
        <v>60100</v>
      </c>
    </row>
    <row r="858" spans="1:1" x14ac:dyDescent="0.3">
      <c r="A858">
        <v>51800</v>
      </c>
    </row>
    <row r="859" spans="1:1" x14ac:dyDescent="0.3">
      <c r="A859">
        <v>58600</v>
      </c>
    </row>
    <row r="860" spans="1:1" x14ac:dyDescent="0.3">
      <c r="A860">
        <v>54100</v>
      </c>
    </row>
    <row r="861" spans="1:1" x14ac:dyDescent="0.3">
      <c r="A861">
        <v>68900</v>
      </c>
    </row>
    <row r="862" spans="1:1" x14ac:dyDescent="0.3">
      <c r="A862">
        <v>68100</v>
      </c>
    </row>
    <row r="863" spans="1:1" x14ac:dyDescent="0.3">
      <c r="A863">
        <v>48700</v>
      </c>
    </row>
    <row r="864" spans="1:1" x14ac:dyDescent="0.3">
      <c r="A864">
        <v>54400</v>
      </c>
    </row>
    <row r="865" spans="1:1" x14ac:dyDescent="0.3">
      <c r="A865">
        <v>51000</v>
      </c>
    </row>
    <row r="866" spans="1:1" x14ac:dyDescent="0.3">
      <c r="A866">
        <v>49800</v>
      </c>
    </row>
    <row r="867" spans="1:1" x14ac:dyDescent="0.3">
      <c r="A867">
        <v>69600</v>
      </c>
    </row>
    <row r="868" spans="1:1" x14ac:dyDescent="0.3">
      <c r="A868">
        <v>60300</v>
      </c>
    </row>
    <row r="869" spans="1:1" x14ac:dyDescent="0.3">
      <c r="A869">
        <v>67600</v>
      </c>
    </row>
    <row r="870" spans="1:1" x14ac:dyDescent="0.3">
      <c r="A870">
        <v>66300</v>
      </c>
    </row>
    <row r="871" spans="1:1" x14ac:dyDescent="0.3">
      <c r="A871">
        <v>59800</v>
      </c>
    </row>
    <row r="872" spans="1:1" x14ac:dyDescent="0.3">
      <c r="A872">
        <v>58900</v>
      </c>
    </row>
    <row r="873" spans="1:1" x14ac:dyDescent="0.3">
      <c r="A873">
        <v>56900</v>
      </c>
    </row>
    <row r="874" spans="1:1" x14ac:dyDescent="0.3">
      <c r="A874">
        <v>51700</v>
      </c>
    </row>
    <row r="875" spans="1:1" x14ac:dyDescent="0.3">
      <c r="A875">
        <v>60800</v>
      </c>
    </row>
    <row r="876" spans="1:1" x14ac:dyDescent="0.3">
      <c r="A876">
        <v>50600</v>
      </c>
    </row>
    <row r="877" spans="1:1" x14ac:dyDescent="0.3">
      <c r="A877">
        <v>59600</v>
      </c>
    </row>
    <row r="878" spans="1:1" x14ac:dyDescent="0.3">
      <c r="A878">
        <v>48300</v>
      </c>
    </row>
    <row r="879" spans="1:1" x14ac:dyDescent="0.3">
      <c r="A879">
        <v>55600</v>
      </c>
    </row>
    <row r="880" spans="1:1" x14ac:dyDescent="0.3">
      <c r="A880">
        <v>61000</v>
      </c>
    </row>
    <row r="881" spans="1:1" x14ac:dyDescent="0.3">
      <c r="A881">
        <v>53600</v>
      </c>
    </row>
    <row r="882" spans="1:1" x14ac:dyDescent="0.3">
      <c r="A882">
        <v>54500</v>
      </c>
    </row>
    <row r="883" spans="1:1" x14ac:dyDescent="0.3">
      <c r="A883">
        <v>47700</v>
      </c>
    </row>
    <row r="884" spans="1:1" x14ac:dyDescent="0.3">
      <c r="A884">
        <v>52700</v>
      </c>
    </row>
    <row r="885" spans="1:1" x14ac:dyDescent="0.3">
      <c r="A885">
        <v>66700</v>
      </c>
    </row>
    <row r="886" spans="1:1" x14ac:dyDescent="0.3">
      <c r="A886">
        <v>59500</v>
      </c>
    </row>
    <row r="887" spans="1:1" x14ac:dyDescent="0.3">
      <c r="A887">
        <v>59300</v>
      </c>
    </row>
    <row r="888" spans="1:1" x14ac:dyDescent="0.3">
      <c r="A888">
        <v>52800</v>
      </c>
    </row>
    <row r="889" spans="1:1" x14ac:dyDescent="0.3">
      <c r="A889">
        <v>51400</v>
      </c>
    </row>
    <row r="890" spans="1:1" x14ac:dyDescent="0.3">
      <c r="A890">
        <v>52400</v>
      </c>
    </row>
    <row r="891" spans="1:1" x14ac:dyDescent="0.3">
      <c r="A891">
        <v>67900</v>
      </c>
    </row>
    <row r="892" spans="1:1" x14ac:dyDescent="0.3">
      <c r="A892">
        <v>65200</v>
      </c>
    </row>
    <row r="893" spans="1:1" x14ac:dyDescent="0.3">
      <c r="A893">
        <v>56000</v>
      </c>
    </row>
    <row r="894" spans="1:1" x14ac:dyDescent="0.3">
      <c r="A894">
        <v>59800</v>
      </c>
    </row>
    <row r="895" spans="1:1" x14ac:dyDescent="0.3">
      <c r="A895">
        <v>46300</v>
      </c>
    </row>
    <row r="896" spans="1:1" x14ac:dyDescent="0.3">
      <c r="A896">
        <v>61700</v>
      </c>
    </row>
    <row r="897" spans="1:1" x14ac:dyDescent="0.3">
      <c r="A897">
        <v>60200</v>
      </c>
    </row>
    <row r="898" spans="1:1" x14ac:dyDescent="0.3">
      <c r="A898">
        <v>52900</v>
      </c>
    </row>
    <row r="899" spans="1:1" x14ac:dyDescent="0.3">
      <c r="A899">
        <v>59300</v>
      </c>
    </row>
    <row r="900" spans="1:1" x14ac:dyDescent="0.3">
      <c r="A900">
        <v>51200</v>
      </c>
    </row>
    <row r="901" spans="1:1" x14ac:dyDescent="0.3">
      <c r="A901">
        <v>55500</v>
      </c>
    </row>
    <row r="902" spans="1:1" x14ac:dyDescent="0.3">
      <c r="A902">
        <v>58800</v>
      </c>
    </row>
    <row r="903" spans="1:1" x14ac:dyDescent="0.3">
      <c r="A903">
        <v>54500</v>
      </c>
    </row>
    <row r="904" spans="1:1" x14ac:dyDescent="0.3">
      <c r="A904">
        <v>54800</v>
      </c>
    </row>
    <row r="905" spans="1:1" x14ac:dyDescent="0.3">
      <c r="A905">
        <v>49800</v>
      </c>
    </row>
    <row r="906" spans="1:1" x14ac:dyDescent="0.3">
      <c r="A906">
        <v>48400</v>
      </c>
    </row>
    <row r="907" spans="1:1" x14ac:dyDescent="0.3">
      <c r="A907">
        <v>56500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Model_Analysis</vt:lpstr>
      <vt:lpstr>Year_Analysis</vt:lpstr>
      <vt:lpstr>Analysis</vt:lpstr>
      <vt:lpstr>Correlation</vt:lpstr>
      <vt:lpstr>Simple_Reg_Mileage</vt:lpstr>
      <vt:lpstr>Simple_Reg_Year</vt:lpstr>
      <vt:lpstr>Multiple_Reg_Mileage</vt:lpstr>
      <vt:lpstr>Anova</vt:lpstr>
      <vt:lpstr>Anova_Data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Ghosh</dc:creator>
  <cp:keywords/>
  <dc:description/>
  <cp:lastModifiedBy>Abhishek Ghosh</cp:lastModifiedBy>
  <cp:revision/>
  <dcterms:created xsi:type="dcterms:W3CDTF">2026-09-29T13:09:14Z</dcterms:created>
  <dcterms:modified xsi:type="dcterms:W3CDTF">2026-09-30T10:55:15Z</dcterms:modified>
  <cp:category/>
  <cp:contentStatus/>
</cp:coreProperties>
</file>