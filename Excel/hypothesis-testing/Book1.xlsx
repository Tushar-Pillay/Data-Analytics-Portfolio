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IT-Mandi BA\Excel AB testing\"/>
    </mc:Choice>
  </mc:AlternateContent>
  <xr:revisionPtr revIDLastSave="0" documentId="13_ncr:1_{2A0A1BD0-48A1-4692-814E-801388629870}" xr6:coauthVersionLast="47" xr6:coauthVersionMax="47" xr10:uidLastSave="{00000000-0000-0000-0000-000000000000}"/>
  <bookViews>
    <workbookView xWindow="-110" yWindow="-110" windowWidth="22780" windowHeight="14540" firstSheet="1" activeTab="3" xr2:uid="{AAE2A3FD-BBA1-4897-B416-2B7031D9D7A8}"/>
  </bookViews>
  <sheets>
    <sheet name="Checkout Time Reduction" sheetId="1" r:id="rId1"/>
    <sheet name="Device Type vs Purchase Intenti" sheetId="2" r:id="rId2"/>
    <sheet name="Watch Time Comparison" sheetId="3" r:id="rId3"/>
    <sheet name="Landing Page A B Te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4" l="1"/>
  <c r="D13" i="4"/>
  <c r="D11" i="4"/>
  <c r="D8" i="4"/>
  <c r="D6" i="4"/>
  <c r="D5" i="4"/>
  <c r="D4" i="4"/>
  <c r="B6" i="4"/>
  <c r="C6" i="4"/>
  <c r="B22" i="2"/>
  <c r="C14" i="2"/>
  <c r="C13" i="2"/>
  <c r="B13" i="2"/>
  <c r="B14" i="2"/>
  <c r="B18" i="2"/>
  <c r="D15" i="2"/>
  <c r="C9" i="2"/>
  <c r="B9" i="2"/>
  <c r="C8" i="2"/>
  <c r="C4" i="2"/>
  <c r="B8" i="2"/>
  <c r="D4" i="2"/>
  <c r="D3" i="2"/>
  <c r="D2" i="2"/>
  <c r="B4" i="2"/>
  <c r="D25" i="1" l="1"/>
  <c r="D19" i="1"/>
  <c r="D22" i="1"/>
  <c r="D16" i="1"/>
  <c r="C13" i="1"/>
  <c r="D13" i="1"/>
  <c r="B13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<sst xmlns="http://schemas.openxmlformats.org/spreadsheetml/2006/main" count="106" uniqueCount="70">
  <si>
    <t>User</t>
  </si>
  <si>
    <t>Old Checkout</t>
  </si>
  <si>
    <t>New Checkout</t>
  </si>
  <si>
    <t>Diffrence in Checkout</t>
  </si>
  <si>
    <t>Average Old Checkout</t>
  </si>
  <si>
    <t>Average New Checkout</t>
  </si>
  <si>
    <t>Average diffrence</t>
  </si>
  <si>
    <t>Standard Deviation</t>
  </si>
  <si>
    <t>t-statistic</t>
  </si>
  <si>
    <t>Degree of freedom(row-1)</t>
  </si>
  <si>
    <t>p-value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</si>
  <si>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</si>
  <si>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</si>
  <si>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</si>
  <si>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</si>
  <si>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</si>
  <si>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</si>
  <si>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</si>
  <si>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</si>
  <si>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</si>
  <si>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</si>
  <si>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</si>
  <si>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</si>
  <si>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</si>
  <si>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</si>
  <si>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Device Type</t>
  </si>
  <si>
    <t>Purchased</t>
  </si>
  <si>
    <t>Did Not Purchase</t>
  </si>
  <si>
    <t>Mobile</t>
  </si>
  <si>
    <t>Desktop</t>
  </si>
  <si>
    <t>Purchased (Expected)</t>
  </si>
  <si>
    <t>Not Purchased (Expected)</t>
  </si>
  <si>
    <t>Total</t>
  </si>
  <si>
    <t xml:space="preserve">Total </t>
  </si>
  <si>
    <t>(rows − 1) × (columns − 1)</t>
  </si>
  <si>
    <t>Column1</t>
  </si>
  <si>
    <t>Column2</t>
  </si>
  <si>
    <t>Standard Error</t>
  </si>
  <si>
    <t>Median</t>
  </si>
  <si>
    <t>Mode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</si>
  <si>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</si>
  <si>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</si>
  <si>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</si>
  <si>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</si>
  <si>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</si>
  <si>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</si>
  <si>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</si>
  <si>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</si>
  <si>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Degrees of Freedom   =</t>
  </si>
  <si>
    <t>p- value</t>
  </si>
  <si>
    <t>Expected value table</t>
  </si>
  <si>
    <t>Chi-square table</t>
  </si>
  <si>
    <t>Chi-square =</t>
  </si>
  <si>
    <t>Free Users</t>
  </si>
  <si>
    <t>Premium Users</t>
  </si>
  <si>
    <t>t-Test: Two-Sample Assuming Unequal Variances</t>
  </si>
  <si>
    <t>Variant</t>
  </si>
  <si>
    <t>Visitors</t>
  </si>
  <si>
    <t>Signups</t>
  </si>
  <si>
    <t>A (Old Page)</t>
  </si>
  <si>
    <t>B (New Page)</t>
  </si>
  <si>
    <t>Conversion rate</t>
  </si>
  <si>
    <t>z value</t>
  </si>
  <si>
    <t>Pa</t>
  </si>
  <si>
    <t>Pb</t>
  </si>
  <si>
    <t>standard error(se)</t>
  </si>
  <si>
    <t>Pb-Pa/se</t>
  </si>
  <si>
    <t>pooled proportion(Pt)</t>
  </si>
  <si>
    <t>(Pt*(1-Pt)*(1/na+1/nb)</t>
  </si>
  <si>
    <t>p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</si>
</sst>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1" formatCode="0.0000000"/>
    <numFmt numFmtId="173" formatCode="0.00000"/>
    <numFmt numFmtId="174" formatCode="0.0000"/>
    <numFmt numFmtId="175" formatCode="0.000"/>
    <numFmt numFmtId="183" formatCode="0.000000000000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2" fontId="0" fillId="0" borderId="0" xfId="0" applyNumberFormat="1"/>
    <xf numFmtId="1" fontId="0" fillId="0" borderId="0" xfId="0" applyNumberFormat="1"/>
    <xf numFmtId="0" fontId="2" fillId="0" borderId="0" xfId="0" applyFont="1" applyAlignment="1">
      <alignment vertical="center" wrapText="1"/>
    </xf>
    <xf numFmtId="171" fontId="1" fillId="0" borderId="0" xfId="0" applyNumberFormat="1" applyFont="1" applyAlignment="1">
      <alignment horizontal="center"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171" fontId="0" fillId="0" borderId="0" xfId="0" applyNumberFormat="1" applyFill="1" applyBorder="1" applyAlignment="1"/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vertical="center" wrapText="1"/>
    </xf>
    <xf numFmtId="183" fontId="0" fillId="0" borderId="0" xfId="0" applyNumberFormat="1" applyFill="1" applyBorder="1" applyAlignme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DFF5-C955-47C4-8274-A12597A1A2D0}">
  <dimension ref="A1:H26"/>
  <sheetViews>
    <sheetView workbookViewId="0">
      <selection activeCell="H15" sqref="F2:H15"/>
    </sheetView>
  </sheetViews>
  <sheetFormatPr defaultRowHeight="14.5"/>
  <cols>
    <col min="2" max="2" width="20.90625" customWidth="1"/>
    <col min="3" max="3" width="21.1796875" customWidth="1"/>
    <col min="4" max="4" width="22" customWidth="1"/>
    <col min="6" max="6" width="26.90625" customWidth="1"/>
    <col min="7" max="7" width="17" customWidth="1"/>
    <col min="8" max="8" width="17.816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</row>
    <row r="2" spans="1:8">
      <c r="A2" s="2">
        <v>1</v>
      </c>
      <c r="B2" s="2">
        <v>120</v>
      </c>
      <c r="C2" s="2">
        <v>95</v>
      </c>
      <c r="D2">
        <f>B2-C2</f>
        <v>25</v>
      </c>
      <c r="F2" t="s">
        <v>11</v>
      </c>
    </row>
    <row r="3" spans="1:8" ht="15" thickBot="1">
      <c r="A3" s="2">
        <v>2</v>
      </c>
      <c r="B3" s="2">
        <v>98</v>
      </c>
      <c r="C3" s="2">
        <v>80</v>
      </c>
      <c r="D3">
        <f t="shared" ref="D3:D11" si="0">B3-C3</f>
        <v>18</v>
      </c>
    </row>
    <row r="4" spans="1:8">
      <c r="A4" s="2">
        <v>3</v>
      </c>
      <c r="B4" s="2">
        <v>150</v>
      </c>
      <c r="C4" s="2">
        <v>140</v>
      </c>
      <c r="D4">
        <f t="shared" si="0"/>
        <v>10</v>
      </c>
      <c r="F4" s="12"/>
      <c r="G4" s="12" t="s">
        <v>12</v>
      </c>
      <c r="H4" s="12" t="s">
        <v>13</v>
      </c>
    </row>
    <row r="5" spans="1:8">
      <c r="A5" s="2">
        <v>4</v>
      </c>
      <c r="B5" s="2">
        <v>110</v>
      </c>
      <c r="C5" s="2">
        <v>90</v>
      </c>
      <c r="D5">
        <f t="shared" si="0"/>
        <v>20</v>
      </c>
      <c r="F5" s="10" t="s">
        <v>14</v>
      </c>
      <c r="G5" s="10">
        <v>133.80000000000001</v>
      </c>
      <c r="H5" s="10">
        <v>112</v>
      </c>
    </row>
    <row r="6" spans="1:8">
      <c r="A6" s="2">
        <v>5</v>
      </c>
      <c r="B6" s="2">
        <v>135</v>
      </c>
      <c r="C6" s="2">
        <v>100</v>
      </c>
      <c r="D6">
        <f t="shared" si="0"/>
        <v>35</v>
      </c>
      <c r="F6" s="10" t="s">
        <v>15</v>
      </c>
      <c r="G6" s="10">
        <v>408.84444444444512</v>
      </c>
      <c r="H6" s="10">
        <v>523.33333333333337</v>
      </c>
    </row>
    <row r="7" spans="1:8">
      <c r="A7" s="2">
        <v>6</v>
      </c>
      <c r="B7" s="2">
        <v>160</v>
      </c>
      <c r="C7" s="2">
        <v>150</v>
      </c>
      <c r="D7">
        <f t="shared" si="0"/>
        <v>10</v>
      </c>
      <c r="F7" s="10" t="s">
        <v>16</v>
      </c>
      <c r="G7" s="10">
        <v>10</v>
      </c>
      <c r="H7" s="10">
        <v>10</v>
      </c>
    </row>
    <row r="8" spans="1:8">
      <c r="A8" s="2">
        <v>7</v>
      </c>
      <c r="B8" s="2">
        <v>140</v>
      </c>
      <c r="C8" s="2">
        <v>115</v>
      </c>
      <c r="D8">
        <f t="shared" si="0"/>
        <v>25</v>
      </c>
      <c r="F8" s="10" t="s">
        <v>17</v>
      </c>
      <c r="G8" s="10">
        <v>0.94498213223240046</v>
      </c>
      <c r="H8" s="10"/>
    </row>
    <row r="9" spans="1:8">
      <c r="A9" s="2">
        <v>8</v>
      </c>
      <c r="B9" s="2">
        <v>125</v>
      </c>
      <c r="C9" s="2">
        <v>100</v>
      </c>
      <c r="D9">
        <f t="shared" si="0"/>
        <v>25</v>
      </c>
      <c r="F9" s="10" t="s">
        <v>18</v>
      </c>
      <c r="G9" s="10">
        <v>0</v>
      </c>
      <c r="H9" s="10"/>
    </row>
    <row r="10" spans="1:8">
      <c r="A10" s="2">
        <v>9</v>
      </c>
      <c r="B10" s="2">
        <v>155</v>
      </c>
      <c r="C10" s="2">
        <v>130</v>
      </c>
      <c r="D10">
        <f t="shared" si="0"/>
        <v>25</v>
      </c>
      <c r="F10" s="10" t="s">
        <v>19</v>
      </c>
      <c r="G10" s="10">
        <v>9</v>
      </c>
      <c r="H10" s="10"/>
    </row>
    <row r="11" spans="1:8">
      <c r="A11" s="2">
        <v>10</v>
      </c>
      <c r="B11" s="2">
        <v>145</v>
      </c>
      <c r="C11" s="2">
        <v>120</v>
      </c>
      <c r="D11">
        <f t="shared" si="0"/>
        <v>25</v>
      </c>
      <c r="F11" s="10" t="s">
        <v>20</v>
      </c>
      <c r="G11" s="10">
        <v>9.0554274814149842</v>
      </c>
      <c r="H11" s="10"/>
    </row>
    <row r="12" spans="1:8">
      <c r="B12" t="s">
        <v>4</v>
      </c>
      <c r="C12" t="s">
        <v>5</v>
      </c>
      <c r="D12" t="s">
        <v>6</v>
      </c>
      <c r="F12" s="10" t="s">
        <v>21</v>
      </c>
      <c r="G12" s="13">
        <v>4.059790259842492E-6</v>
      </c>
      <c r="H12" s="10"/>
    </row>
    <row r="13" spans="1:8">
      <c r="B13">
        <f>AVERAGEA(B2:B11)</f>
        <v>133.80000000000001</v>
      </c>
      <c r="C13">
        <f t="shared" ref="C13:D13" si="1">AVERAGEA(C2:C11)</f>
        <v>112</v>
      </c>
      <c r="D13">
        <f t="shared" si="1"/>
        <v>21.8</v>
      </c>
      <c r="F13" s="10" t="s">
        <v>22</v>
      </c>
      <c r="G13" s="10">
        <v>1.8331129326562374</v>
      </c>
      <c r="H13" s="10"/>
    </row>
    <row r="14" spans="1:8">
      <c r="F14" s="10" t="s">
        <v>23</v>
      </c>
      <c r="G14" s="13">
        <v>8.119580519684984E-6</v>
      </c>
      <c r="H14" s="10"/>
    </row>
    <row r="15" spans="1:8" ht="15" thickBot="1">
      <c r="D15" t="s">
        <v>7</v>
      </c>
      <c r="F15" s="11" t="s">
        <v>24</v>
      </c>
      <c r="G15" s="11">
        <v>2.2621571627982053</v>
      </c>
      <c r="H15" s="11"/>
    </row>
    <row r="16" spans="1:8">
      <c r="D16" s="6">
        <f>_xlfn.STDEV.S(D2:D11)</f>
        <v>7.6128546259307752</v>
      </c>
    </row>
    <row r="18" spans="4:5">
      <c r="D18" t="s">
        <v>8</v>
      </c>
    </row>
    <row r="19" spans="4:5">
      <c r="D19" s="6">
        <f>D13/(D16/SQRT(10))</f>
        <v>9.0554274814149771</v>
      </c>
    </row>
    <row r="21" spans="4:5">
      <c r="D21" t="s">
        <v>9</v>
      </c>
    </row>
    <row r="22" spans="4:5">
      <c r="D22" s="7">
        <f>10-1</f>
        <v>9</v>
      </c>
    </row>
    <row r="24" spans="4:5">
      <c r="D24" t="s">
        <v>10</v>
      </c>
    </row>
    <row r="25" spans="4:5">
      <c r="D25" s="9">
        <f>_xlfn.T.DIST.RT(D19,D22)</f>
        <v>4.0597902598425208E-6</v>
      </c>
      <c r="E25" s="1"/>
    </row>
    <row r="26" spans="4:5">
      <c r="D26" s="2"/>
      <c r="E2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06DC-A63A-4135-8838-4DD39DFAD4C9}">
  <dimension ref="A1:I22"/>
  <sheetViews>
    <sheetView workbookViewId="0">
      <selection activeCell="B20" sqref="B20"/>
    </sheetView>
  </sheetViews>
  <sheetFormatPr defaultRowHeight="14.5"/>
  <cols>
    <col min="1" max="1" width="21.6328125" customWidth="1"/>
    <col min="2" max="2" width="19.90625" customWidth="1"/>
    <col min="3" max="3" width="24.54296875" customWidth="1"/>
    <col min="6" max="6" width="15.6328125" customWidth="1"/>
    <col min="7" max="7" width="19.1796875" customWidth="1"/>
    <col min="8" max="8" width="19.81640625" customWidth="1"/>
  </cols>
  <sheetData>
    <row r="1" spans="1:9" ht="15" thickBot="1">
      <c r="A1" s="1" t="s">
        <v>25</v>
      </c>
      <c r="B1" s="1" t="s">
        <v>26</v>
      </c>
      <c r="C1" s="1" t="s">
        <v>27</v>
      </c>
      <c r="D1" s="15" t="s">
        <v>32</v>
      </c>
    </row>
    <row r="2" spans="1:9">
      <c r="A2" s="2" t="s">
        <v>28</v>
      </c>
      <c r="B2" s="2">
        <v>180</v>
      </c>
      <c r="C2" s="2">
        <v>220</v>
      </c>
      <c r="D2">
        <f>SUM(B2:C2)</f>
        <v>400</v>
      </c>
      <c r="F2" s="12" t="s">
        <v>35</v>
      </c>
      <c r="G2" s="12"/>
      <c r="H2" s="12" t="s">
        <v>36</v>
      </c>
      <c r="I2" s="12"/>
    </row>
    <row r="3" spans="1:9">
      <c r="A3" s="2" t="s">
        <v>29</v>
      </c>
      <c r="B3" s="2">
        <v>140</v>
      </c>
      <c r="C3" s="2">
        <v>160</v>
      </c>
      <c r="D3">
        <f>SUM(B3:C3)</f>
        <v>300</v>
      </c>
      <c r="F3" s="10"/>
      <c r="G3" s="10"/>
      <c r="H3" s="10"/>
      <c r="I3" s="10"/>
    </row>
    <row r="4" spans="1:9">
      <c r="A4" t="s">
        <v>33</v>
      </c>
      <c r="B4">
        <f>SUM(B2:B3)</f>
        <v>320</v>
      </c>
      <c r="C4">
        <f>SUM(C2:C3)</f>
        <v>380</v>
      </c>
      <c r="D4">
        <f>SUM(B4:C4)</f>
        <v>700</v>
      </c>
      <c r="F4" s="10" t="s">
        <v>14</v>
      </c>
      <c r="G4" s="10">
        <v>160</v>
      </c>
      <c r="H4" s="10" t="s">
        <v>14</v>
      </c>
      <c r="I4" s="10">
        <v>190</v>
      </c>
    </row>
    <row r="5" spans="1:9">
      <c r="F5" s="10" t="s">
        <v>37</v>
      </c>
      <c r="G5" s="10">
        <v>20</v>
      </c>
      <c r="H5" s="10" t="s">
        <v>37</v>
      </c>
      <c r="I5" s="10">
        <v>30</v>
      </c>
    </row>
    <row r="6" spans="1:9">
      <c r="A6" s="14" t="s">
        <v>50</v>
      </c>
      <c r="F6" s="10" t="s">
        <v>38</v>
      </c>
      <c r="G6" s="10">
        <v>160</v>
      </c>
      <c r="H6" s="10" t="s">
        <v>38</v>
      </c>
      <c r="I6" s="10">
        <v>190</v>
      </c>
    </row>
    <row r="7" spans="1:9">
      <c r="A7" s="1" t="s">
        <v>25</v>
      </c>
      <c r="B7" s="1" t="s">
        <v>30</v>
      </c>
      <c r="C7" s="1" t="s">
        <v>31</v>
      </c>
      <c r="F7" s="10" t="s">
        <v>39</v>
      </c>
      <c r="G7" s="10" t="e">
        <v>#N/A</v>
      </c>
      <c r="H7" s="10" t="s">
        <v>39</v>
      </c>
      <c r="I7" s="10" t="e">
        <v>#N/A</v>
      </c>
    </row>
    <row r="8" spans="1:9">
      <c r="A8" s="2" t="s">
        <v>28</v>
      </c>
      <c r="B8" s="16">
        <f>(B4*D2)/D4</f>
        <v>182.85714285714286</v>
      </c>
      <c r="C8" s="16">
        <f>(C4*D2)/D4</f>
        <v>217.14285714285714</v>
      </c>
      <c r="F8" s="10" t="s">
        <v>7</v>
      </c>
      <c r="G8" s="10">
        <v>28.284271247461902</v>
      </c>
      <c r="H8" s="10" t="s">
        <v>7</v>
      </c>
      <c r="I8" s="10">
        <v>42.426406871192853</v>
      </c>
    </row>
    <row r="9" spans="1:9">
      <c r="A9" s="2" t="s">
        <v>29</v>
      </c>
      <c r="B9" s="16">
        <f>(B4*D3)/D4</f>
        <v>137.14285714285714</v>
      </c>
      <c r="C9" s="16">
        <f>(C4*D3)/D4</f>
        <v>162.85714285714286</v>
      </c>
      <c r="F9" s="10" t="s">
        <v>40</v>
      </c>
      <c r="G9" s="10">
        <v>800</v>
      </c>
      <c r="H9" s="10" t="s">
        <v>40</v>
      </c>
      <c r="I9" s="10">
        <v>1800</v>
      </c>
    </row>
    <row r="10" spans="1:9">
      <c r="F10" s="10" t="s">
        <v>41</v>
      </c>
      <c r="G10" s="10" t="e">
        <v>#DIV/0!</v>
      </c>
      <c r="H10" s="10" t="s">
        <v>41</v>
      </c>
      <c r="I10" s="10" t="e">
        <v>#DIV/0!</v>
      </c>
    </row>
    <row r="11" spans="1:9">
      <c r="A11" s="14" t="s">
        <v>51</v>
      </c>
      <c r="F11" s="10" t="s">
        <v>42</v>
      </c>
      <c r="G11" s="10" t="e">
        <v>#DIV/0!</v>
      </c>
      <c r="H11" s="10" t="s">
        <v>42</v>
      </c>
      <c r="I11" s="10" t="e">
        <v>#DIV/0!</v>
      </c>
    </row>
    <row r="12" spans="1:9">
      <c r="A12" s="1" t="s">
        <v>25</v>
      </c>
      <c r="B12" s="1" t="s">
        <v>26</v>
      </c>
      <c r="C12" s="1" t="s">
        <v>27</v>
      </c>
      <c r="F12" s="10" t="s">
        <v>43</v>
      </c>
      <c r="G12" s="10">
        <v>40</v>
      </c>
      <c r="H12" s="10" t="s">
        <v>43</v>
      </c>
      <c r="I12" s="10">
        <v>60</v>
      </c>
    </row>
    <row r="13" spans="1:9">
      <c r="A13" s="2" t="s">
        <v>28</v>
      </c>
      <c r="B13" s="2">
        <f>(B2-B8)^2/B8</f>
        <v>4.4642857142857269E-2</v>
      </c>
      <c r="C13" s="2">
        <f>(C2-C8)^2/C8</f>
        <v>3.7593984962406124E-2</v>
      </c>
      <c r="F13" s="10" t="s">
        <v>44</v>
      </c>
      <c r="G13" s="10">
        <v>140</v>
      </c>
      <c r="H13" s="10" t="s">
        <v>44</v>
      </c>
      <c r="I13" s="10">
        <v>160</v>
      </c>
    </row>
    <row r="14" spans="1:9">
      <c r="A14" s="2" t="s">
        <v>29</v>
      </c>
      <c r="B14" s="16">
        <f>((B3-B9)^2)/B9</f>
        <v>5.9523809523809694E-2</v>
      </c>
      <c r="C14" s="2">
        <f>(C9-C3)^2/C9</f>
        <v>5.0125313283208163E-2</v>
      </c>
      <c r="F14" s="10" t="s">
        <v>45</v>
      </c>
      <c r="G14" s="10">
        <v>180</v>
      </c>
      <c r="H14" s="10" t="s">
        <v>45</v>
      </c>
      <c r="I14" s="10">
        <v>220</v>
      </c>
    </row>
    <row r="15" spans="1:9">
      <c r="C15" t="s">
        <v>52</v>
      </c>
      <c r="D15">
        <f>SUM(B13:C14)</f>
        <v>0.19188596491228124</v>
      </c>
      <c r="F15" s="10" t="s">
        <v>46</v>
      </c>
      <c r="G15" s="10">
        <v>320</v>
      </c>
      <c r="H15" s="10" t="s">
        <v>46</v>
      </c>
      <c r="I15" s="10">
        <v>380</v>
      </c>
    </row>
    <row r="16" spans="1:9" ht="15" thickBot="1">
      <c r="F16" s="11" t="s">
        <v>47</v>
      </c>
      <c r="G16" s="11">
        <v>2</v>
      </c>
      <c r="H16" s="11" t="s">
        <v>47</v>
      </c>
      <c r="I16" s="11">
        <v>2</v>
      </c>
    </row>
    <row r="18" spans="1:2">
      <c r="A18" s="14" t="s">
        <v>48</v>
      </c>
      <c r="B18">
        <f>(2-1)*(2-1)</f>
        <v>1</v>
      </c>
    </row>
    <row r="19" spans="1:2">
      <c r="A19" t="s">
        <v>34</v>
      </c>
    </row>
    <row r="22" spans="1:2">
      <c r="A22" s="14" t="s">
        <v>49</v>
      </c>
      <c r="B22">
        <f>_xlfn.CHISQ.DIST.RT(D15,B18)</f>
        <v>0.66135155896292563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E642-61F4-49CD-945C-D564F56AF113}">
  <dimension ref="A2:C28"/>
  <sheetViews>
    <sheetView workbookViewId="0">
      <selection activeCell="G28" sqref="G28"/>
    </sheetView>
  </sheetViews>
  <sheetFormatPr defaultRowHeight="14.5"/>
  <cols>
    <col min="1" max="1" width="28.1796875" customWidth="1"/>
    <col min="2" max="2" width="18" customWidth="1"/>
    <col min="3" max="3" width="16.90625" customWidth="1"/>
  </cols>
  <sheetData>
    <row r="2" spans="1:2" ht="29">
      <c r="A2" s="1" t="s">
        <v>53</v>
      </c>
      <c r="B2" s="1" t="s">
        <v>54</v>
      </c>
    </row>
    <row r="3" spans="1:2">
      <c r="A3" s="2">
        <v>35</v>
      </c>
      <c r="B3" s="2">
        <v>55</v>
      </c>
    </row>
    <row r="4" spans="1:2">
      <c r="A4" s="2">
        <v>40</v>
      </c>
      <c r="B4" s="2">
        <v>58</v>
      </c>
    </row>
    <row r="5" spans="1:2">
      <c r="A5" s="2">
        <v>38</v>
      </c>
      <c r="B5" s="2">
        <v>60</v>
      </c>
    </row>
    <row r="6" spans="1:2">
      <c r="A6" s="2">
        <v>42</v>
      </c>
      <c r="B6" s="2">
        <v>62</v>
      </c>
    </row>
    <row r="7" spans="1:2">
      <c r="A7" s="2">
        <v>36</v>
      </c>
      <c r="B7" s="2">
        <v>57</v>
      </c>
    </row>
    <row r="8" spans="1:2">
      <c r="A8" s="2">
        <v>39</v>
      </c>
      <c r="B8" s="2">
        <v>59</v>
      </c>
    </row>
    <row r="9" spans="1:2">
      <c r="A9" s="2">
        <v>41</v>
      </c>
      <c r="B9" s="2">
        <v>61</v>
      </c>
    </row>
    <row r="10" spans="1:2">
      <c r="A10" s="2">
        <v>37</v>
      </c>
      <c r="B10" s="2">
        <v>56</v>
      </c>
    </row>
    <row r="11" spans="1:2">
      <c r="A11" s="2">
        <v>34</v>
      </c>
      <c r="B11" s="2">
        <v>60</v>
      </c>
    </row>
    <row r="12" spans="1:2">
      <c r="A12" s="2">
        <v>40</v>
      </c>
      <c r="B12" s="2">
        <v>58</v>
      </c>
    </row>
    <row r="16" spans="1:2">
      <c r="A16" t="s">
        <v>55</v>
      </c>
    </row>
    <row r="17" spans="1:3" ht="15" thickBot="1"/>
    <row r="18" spans="1:3">
      <c r="A18" s="12"/>
      <c r="B18" s="12" t="s">
        <v>12</v>
      </c>
      <c r="C18" s="12" t="s">
        <v>13</v>
      </c>
    </row>
    <row r="19" spans="1:3">
      <c r="A19" s="10" t="s">
        <v>14</v>
      </c>
      <c r="B19" s="10">
        <v>38.200000000000003</v>
      </c>
      <c r="C19" s="10">
        <v>58.6</v>
      </c>
    </row>
    <row r="20" spans="1:3">
      <c r="A20" s="10" t="s">
        <v>15</v>
      </c>
      <c r="B20" s="10">
        <v>7.0666666666666655</v>
      </c>
      <c r="C20" s="10">
        <v>4.9333333333333327</v>
      </c>
    </row>
    <row r="21" spans="1:3">
      <c r="A21" s="10" t="s">
        <v>16</v>
      </c>
      <c r="B21" s="10">
        <v>10</v>
      </c>
      <c r="C21" s="10">
        <v>10</v>
      </c>
    </row>
    <row r="22" spans="1:3">
      <c r="A22" s="10" t="s">
        <v>18</v>
      </c>
      <c r="B22" s="10">
        <v>0</v>
      </c>
      <c r="C22" s="10"/>
    </row>
    <row r="23" spans="1:3">
      <c r="A23" s="10" t="s">
        <v>19</v>
      </c>
      <c r="B23" s="10">
        <v>17</v>
      </c>
      <c r="C23" s="10"/>
    </row>
    <row r="24" spans="1:3">
      <c r="A24" s="10" t="s">
        <v>20</v>
      </c>
      <c r="B24" s="10">
        <v>-18.62256695517565</v>
      </c>
      <c r="C24" s="10"/>
    </row>
    <row r="25" spans="1:3">
      <c r="A25" s="10" t="s">
        <v>21</v>
      </c>
      <c r="B25" s="17">
        <v>4.7869973208069907E-13</v>
      </c>
      <c r="C25" s="10"/>
    </row>
    <row r="26" spans="1:3">
      <c r="A26" s="10" t="s">
        <v>22</v>
      </c>
      <c r="B26" s="10">
        <v>1.7396067260750732</v>
      </c>
      <c r="C26" s="10"/>
    </row>
    <row r="27" spans="1:3">
      <c r="A27" s="10" t="s">
        <v>23</v>
      </c>
      <c r="B27" s="17">
        <v>9.5739946416139815E-13</v>
      </c>
      <c r="C27" s="10"/>
    </row>
    <row r="28" spans="1:3" ht="15" thickBot="1">
      <c r="A28" s="11" t="s">
        <v>24</v>
      </c>
      <c r="B28" s="11">
        <v>2.109815577833317</v>
      </c>
      <c r="C28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0C4B-455E-4067-95D5-3E1AD1648BFE}">
  <dimension ref="A1:E15"/>
  <sheetViews>
    <sheetView tabSelected="1" workbookViewId="0">
      <selection activeCell="C17" sqref="C17"/>
    </sheetView>
  </sheetViews>
  <sheetFormatPr defaultRowHeight="14.5"/>
  <cols>
    <col min="1" max="1" width="15.26953125" customWidth="1"/>
    <col min="3" max="4" width="17.90625" customWidth="1"/>
    <col min="5" max="5" width="20.36328125" customWidth="1"/>
  </cols>
  <sheetData>
    <row r="1" spans="1:5">
      <c r="A1" s="1"/>
      <c r="B1" s="1"/>
      <c r="C1" s="1"/>
    </row>
    <row r="2" spans="1:5">
      <c r="A2" s="2"/>
      <c r="B2" s="2"/>
      <c r="C2" s="2"/>
    </row>
    <row r="3" spans="1:5" ht="29">
      <c r="A3" s="1" t="s">
        <v>56</v>
      </c>
      <c r="B3" s="1" t="s">
        <v>57</v>
      </c>
      <c r="C3" s="1" t="s">
        <v>58</v>
      </c>
      <c r="D3" s="1" t="s">
        <v>61</v>
      </c>
    </row>
    <row r="4" spans="1:5" ht="29">
      <c r="A4" s="2" t="s">
        <v>59</v>
      </c>
      <c r="B4" s="2">
        <v>4000</v>
      </c>
      <c r="C4" s="2">
        <v>320</v>
      </c>
      <c r="D4" s="5">
        <f>C4/B4</f>
        <v>0.08</v>
      </c>
      <c r="E4" t="s">
        <v>64</v>
      </c>
    </row>
    <row r="5" spans="1:5" ht="29">
      <c r="A5" s="2" t="s">
        <v>60</v>
      </c>
      <c r="B5" s="2">
        <v>4500</v>
      </c>
      <c r="C5" s="2">
        <v>405</v>
      </c>
      <c r="D5" s="5">
        <f>C5/B5</f>
        <v>0.09</v>
      </c>
      <c r="E5" t="s">
        <v>63</v>
      </c>
    </row>
    <row r="6" spans="1:5">
      <c r="A6" s="2" t="s">
        <v>32</v>
      </c>
      <c r="B6">
        <f>SUM(B4:B5)</f>
        <v>8500</v>
      </c>
      <c r="C6">
        <f>SUM(C4:C5)</f>
        <v>725</v>
      </c>
      <c r="D6" s="4">
        <f>C6/B6</f>
        <v>8.5294117647058826E-2</v>
      </c>
    </row>
    <row r="8" spans="1:5">
      <c r="C8" t="s">
        <v>67</v>
      </c>
      <c r="D8" s="18">
        <f>D6</f>
        <v>8.5294117647058826E-2</v>
      </c>
    </row>
    <row r="11" spans="1:5">
      <c r="C11" t="s">
        <v>65</v>
      </c>
      <c r="D11" s="3">
        <f>SQRT(D6*(1-D6)*(1/B4+1/B5))</f>
        <v>6.0697874972224439E-3</v>
      </c>
      <c r="E11" t="s">
        <v>68</v>
      </c>
    </row>
    <row r="13" spans="1:5">
      <c r="C13" t="s">
        <v>62</v>
      </c>
      <c r="D13" s="4">
        <f>(D5-D4)/D11</f>
        <v>1.6475041349595896</v>
      </c>
      <c r="E13" t="s">
        <v>66</v>
      </c>
    </row>
    <row r="15" spans="1:5">
      <c r="C15" t="s">
        <v>69</v>
      </c>
      <c r="D15" s="4">
        <f>1-_xlfn.NORM.S.DIST(D13,TRUE)</f>
        <v>4.9727233500763135E-2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Checkout Time Reduction</vt:lpstr>
      <vt:lpstr>Device Type vs Purchase Intenti</vt:lpstr>
      <vt:lpstr>Watch Time Comparison</vt:lpstr>
      <vt:lpstr>Landing Page A B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Pillay</dc:creator>
  <cp:lastModifiedBy>Tushar Pillay</cp:lastModifiedBy>
  <dcterms:created xsi:type="dcterms:W3CDTF">2026-01-16T12:18:25Z</dcterms:created>
  <dcterms:modified xsi:type="dcterms:W3CDTF">2026-01-19T07:46:35Z</dcterms:modified>
</cp:coreProperties>
</file>