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b9da2f65cf2d39/"/>
    </mc:Choice>
  </mc:AlternateContent>
  <xr:revisionPtr revIDLastSave="854" documentId="8_{F418465D-D52C-4AFC-9D8C-90C20D7B078D}" xr6:coauthVersionLast="47" xr6:coauthVersionMax="47" xr10:uidLastSave="{E3B7335F-5160-4B2A-9325-240DFF9A4671}"/>
  <bookViews>
    <workbookView xWindow="4200" yWindow="3870" windowWidth="5690" windowHeight="10450" firstSheet="2" activeTab="1" xr2:uid="{91C84489-83E5-4A87-BAFF-5F5A1F5009B1}"/>
  </bookViews>
  <sheets>
    <sheet name="Data_set " sheetId="1" r:id="rId1"/>
    <sheet name="Correlation sheet" sheetId="9" r:id="rId2"/>
    <sheet name="Mnue Vs avg Protein " sheetId="10" r:id="rId3"/>
    <sheet name="Bundle Data_set" sheetId="6" r:id="rId4"/>
    <sheet name="Bundle_sheet" sheetId="4" r:id="rId5"/>
    <sheet name="Scatter Chart " sheetId="3" r:id="rId6"/>
    <sheet name="Descriptive Statistics" sheetId="2" r:id="rId7"/>
    <sheet name="Sheet1" sheetId="7" r:id="rId8"/>
    <sheet name="Sheet2" sheetId="8" r:id="rId9"/>
  </sheets>
  <calcPr calcId="191028"/>
  <pivotCaches>
    <pivotCache cacheId="119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9" l="1"/>
  <c r="E10" i="9"/>
  <c r="D10" i="9"/>
  <c r="C10" i="9"/>
  <c r="B10" i="9"/>
  <c r="G10" i="9"/>
  <c r="G9" i="9"/>
  <c r="G8" i="9"/>
  <c r="G7" i="9"/>
  <c r="G6" i="9"/>
  <c r="G5" i="9"/>
  <c r="B9" i="9"/>
  <c r="C9" i="9"/>
  <c r="D9" i="9"/>
  <c r="E9" i="9"/>
  <c r="F9" i="9"/>
  <c r="F8" i="9"/>
  <c r="F7" i="9"/>
  <c r="F6" i="9"/>
  <c r="F5" i="9"/>
  <c r="E8" i="9"/>
  <c r="D8" i="9"/>
  <c r="B8" i="9"/>
  <c r="E7" i="9"/>
  <c r="E6" i="9"/>
  <c r="C8" i="9"/>
  <c r="D7" i="9"/>
  <c r="C7" i="9"/>
  <c r="B7" i="9"/>
  <c r="D6" i="9"/>
  <c r="C6" i="9"/>
  <c r="B6" i="9"/>
  <c r="E5" i="9"/>
  <c r="D5" i="9"/>
  <c r="C5" i="9"/>
  <c r="B5" i="9"/>
  <c r="I156" i="1"/>
  <c r="P28" i="1"/>
  <c r="Q28" i="1" s="1"/>
  <c r="P36" i="1"/>
  <c r="Q36" i="1" s="1"/>
  <c r="P17" i="1"/>
  <c r="Q17" i="1" s="1"/>
  <c r="P16" i="1"/>
  <c r="Q16" i="1" s="1"/>
  <c r="P18" i="1"/>
  <c r="Q18" i="1" s="1"/>
  <c r="P7" i="1"/>
  <c r="Q7" i="1" s="1"/>
  <c r="P34" i="1"/>
  <c r="Q34" i="1" s="1"/>
  <c r="P46" i="1"/>
  <c r="Q46" i="1" s="1"/>
  <c r="P24" i="1"/>
  <c r="Q24" i="1" s="1"/>
  <c r="P37" i="1"/>
  <c r="Q37" i="1" s="1"/>
  <c r="P19" i="1"/>
  <c r="Q19" i="1" s="1"/>
  <c r="P14" i="1"/>
  <c r="Q14" i="1" s="1"/>
  <c r="P4" i="1"/>
  <c r="Q4" i="1" s="1"/>
  <c r="P15" i="1"/>
  <c r="Q15" i="1" s="1"/>
  <c r="P35" i="1"/>
  <c r="Q35" i="1" s="1"/>
  <c r="P44" i="1"/>
  <c r="Q44" i="1" s="1"/>
  <c r="P25" i="1"/>
  <c r="Q25" i="1" s="1"/>
  <c r="P45" i="1"/>
  <c r="Q45" i="1" s="1"/>
  <c r="P2" i="1"/>
  <c r="Q2" i="1" s="1"/>
  <c r="P20" i="1"/>
  <c r="Q20" i="1" s="1"/>
  <c r="P49" i="1"/>
  <c r="Q49" i="1" s="1"/>
  <c r="P41" i="1"/>
  <c r="Q41" i="1" s="1"/>
  <c r="P29" i="1"/>
  <c r="Q29" i="1" s="1"/>
  <c r="P40" i="1"/>
  <c r="Q40" i="1" s="1"/>
  <c r="P27" i="1"/>
  <c r="Q27" i="1" s="1"/>
  <c r="P10" i="1"/>
  <c r="Q10" i="1" s="1"/>
  <c r="P71" i="1"/>
  <c r="Q71" i="1" s="1"/>
  <c r="P57" i="1"/>
  <c r="Q57" i="1" s="1"/>
  <c r="P51" i="1"/>
  <c r="Q51" i="1" s="1"/>
  <c r="P47" i="1"/>
  <c r="Q47" i="1" s="1"/>
  <c r="P39" i="1"/>
  <c r="Q39" i="1" s="1"/>
  <c r="P30" i="1"/>
  <c r="Q30" i="1" s="1"/>
  <c r="P142" i="1"/>
  <c r="Q142" i="1" s="1"/>
  <c r="P126" i="1"/>
  <c r="Q126" i="1" s="1"/>
  <c r="P50" i="1"/>
  <c r="Q50" i="1" s="1"/>
  <c r="P54" i="1"/>
  <c r="Q54" i="1" s="1"/>
  <c r="P21" i="1"/>
  <c r="Q21" i="1" s="1"/>
  <c r="P32" i="1"/>
  <c r="Q32" i="1" s="1"/>
  <c r="P23" i="1"/>
  <c r="Q23" i="1" s="1"/>
  <c r="P26" i="1"/>
  <c r="Q26" i="1" s="1"/>
  <c r="P22" i="1"/>
  <c r="Q22" i="1" s="1"/>
  <c r="P38" i="1"/>
  <c r="Q38" i="1" s="1"/>
  <c r="P33" i="1"/>
  <c r="Q33" i="1" s="1"/>
  <c r="P52" i="1"/>
  <c r="Q52" i="1" s="1"/>
  <c r="P138" i="1"/>
  <c r="Q138" i="1" s="1"/>
  <c r="P112" i="1"/>
  <c r="Q112" i="1" s="1"/>
  <c r="P139" i="1"/>
  <c r="Q139" i="1" s="1"/>
  <c r="P137" i="1"/>
  <c r="Q137" i="1" s="1"/>
  <c r="P136" i="1"/>
  <c r="Q136" i="1" s="1"/>
  <c r="P88" i="1"/>
  <c r="Q88" i="1" s="1"/>
  <c r="P77" i="1"/>
  <c r="Q77" i="1" s="1"/>
  <c r="P69" i="1"/>
  <c r="Q69" i="1" s="1"/>
  <c r="P82" i="1"/>
  <c r="Q82" i="1" s="1"/>
  <c r="P75" i="1"/>
  <c r="Q75" i="1" s="1"/>
  <c r="P68" i="1"/>
  <c r="Q68" i="1" s="1"/>
  <c r="P78" i="1"/>
  <c r="Q78" i="1" s="1"/>
  <c r="P70" i="1"/>
  <c r="Q70" i="1" s="1"/>
  <c r="P63" i="1"/>
  <c r="Q63" i="1" s="1"/>
  <c r="P76" i="1"/>
  <c r="Q76" i="1" s="1"/>
  <c r="P66" i="1"/>
  <c r="Q66" i="1" s="1"/>
  <c r="P58" i="1"/>
  <c r="Q58" i="1" s="1"/>
  <c r="P86" i="1"/>
  <c r="Q86" i="1" s="1"/>
  <c r="P67" i="1"/>
  <c r="Q67" i="1" s="1"/>
  <c r="P59" i="1"/>
  <c r="Q59" i="1" s="1"/>
  <c r="P53" i="1"/>
  <c r="Q53" i="1" s="1"/>
  <c r="P95" i="1"/>
  <c r="Q95" i="1" s="1"/>
  <c r="P94" i="1"/>
  <c r="Q94" i="1" s="1"/>
  <c r="P127" i="1"/>
  <c r="Q127" i="1" s="1"/>
  <c r="P122" i="1"/>
  <c r="Q122" i="1" s="1"/>
  <c r="P118" i="1"/>
  <c r="Q118" i="1" s="1"/>
  <c r="P124" i="1"/>
  <c r="Q124" i="1" s="1"/>
  <c r="P120" i="1"/>
  <c r="Q120" i="1" s="1"/>
  <c r="P115" i="1"/>
  <c r="Q115" i="1" s="1"/>
  <c r="P125" i="1"/>
  <c r="Q125" i="1" s="1"/>
  <c r="P121" i="1"/>
  <c r="Q121" i="1" s="1"/>
  <c r="P117" i="1"/>
  <c r="Q117" i="1" s="1"/>
  <c r="P129" i="1"/>
  <c r="Q129" i="1" s="1"/>
  <c r="P130" i="1"/>
  <c r="Q130" i="1" s="1"/>
  <c r="P131" i="1"/>
  <c r="Q131" i="1" s="1"/>
  <c r="P91" i="1"/>
  <c r="Q91" i="1" s="1"/>
  <c r="P60" i="1"/>
  <c r="Q60" i="1" s="1"/>
  <c r="P55" i="1"/>
  <c r="Q55" i="1" s="1"/>
  <c r="P48" i="1"/>
  <c r="Q48" i="1" s="1"/>
  <c r="P74" i="1"/>
  <c r="Q74" i="1" s="1"/>
  <c r="P65" i="1"/>
  <c r="Q65" i="1" s="1"/>
  <c r="P89" i="1"/>
  <c r="Q89" i="1" s="1"/>
  <c r="P87" i="1"/>
  <c r="Q87" i="1" s="1"/>
  <c r="P84" i="1"/>
  <c r="Q84" i="1" s="1"/>
  <c r="P116" i="1"/>
  <c r="Q116" i="1" s="1"/>
  <c r="P97" i="1"/>
  <c r="Q97" i="1" s="1"/>
  <c r="P100" i="1"/>
  <c r="Q100" i="1" s="1"/>
  <c r="P62" i="1"/>
  <c r="Q62" i="1" s="1"/>
  <c r="P108" i="1"/>
  <c r="Q108" i="1" s="1"/>
  <c r="P102" i="1"/>
  <c r="Q102" i="1" s="1"/>
  <c r="P98" i="1"/>
  <c r="Q98" i="1" s="1"/>
  <c r="P80" i="1"/>
  <c r="Q80" i="1" s="1"/>
  <c r="P110" i="1"/>
  <c r="Q110" i="1" s="1"/>
  <c r="P104" i="1"/>
  <c r="Q104" i="1" s="1"/>
  <c r="P85" i="1"/>
  <c r="Q85" i="1" s="1"/>
  <c r="P73" i="1"/>
  <c r="Q73" i="1" s="1"/>
  <c r="P83" i="1"/>
  <c r="Q83" i="1" s="1"/>
  <c r="P61" i="1"/>
  <c r="Q61" i="1" s="1"/>
  <c r="P90" i="1"/>
  <c r="Q90" i="1" s="1"/>
  <c r="P72" i="1"/>
  <c r="Q72" i="1" s="1"/>
  <c r="P9" i="1"/>
  <c r="Q9" i="1" s="1"/>
  <c r="P11" i="1"/>
  <c r="Q11" i="1" s="1"/>
  <c r="P13" i="1"/>
  <c r="Q13" i="1" s="1"/>
  <c r="P5" i="1"/>
  <c r="Q5" i="1" s="1"/>
  <c r="P3" i="1"/>
  <c r="Q3" i="1" s="1"/>
  <c r="P6" i="1"/>
  <c r="Q6" i="1" s="1"/>
  <c r="P8" i="1"/>
  <c r="Q8" i="1" s="1"/>
  <c r="P141" i="1"/>
  <c r="Q141" i="1" s="1"/>
  <c r="P12" i="1"/>
  <c r="Q12" i="1" s="1"/>
  <c r="P42" i="1"/>
  <c r="Q42" i="1" s="1"/>
  <c r="P31" i="1"/>
  <c r="Q31" i="1" s="1"/>
  <c r="P119" i="1"/>
  <c r="Q119" i="1" s="1"/>
  <c r="P111" i="1"/>
  <c r="Q111" i="1" s="1"/>
  <c r="P107" i="1"/>
  <c r="Q107" i="1" s="1"/>
  <c r="P101" i="1"/>
  <c r="Q101" i="1" s="1"/>
  <c r="P92" i="1"/>
  <c r="Q92" i="1" s="1"/>
  <c r="P81" i="1"/>
  <c r="Q81" i="1" s="1"/>
  <c r="P113" i="1"/>
  <c r="Q113" i="1" s="1"/>
  <c r="P109" i="1"/>
  <c r="Q109" i="1" s="1"/>
  <c r="P103" i="1"/>
  <c r="Q103" i="1" s="1"/>
  <c r="P135" i="1"/>
  <c r="Q135" i="1" s="1"/>
  <c r="P134" i="1"/>
  <c r="Q134" i="1" s="1"/>
  <c r="P132" i="1"/>
  <c r="Q132" i="1" s="1"/>
  <c r="P106" i="1"/>
  <c r="Q106" i="1" s="1"/>
  <c r="P96" i="1"/>
  <c r="Q96" i="1" s="1"/>
  <c r="P105" i="1"/>
  <c r="Q105" i="1" s="1"/>
  <c r="P114" i="1"/>
  <c r="Q114" i="1" s="1"/>
  <c r="P133" i="1"/>
  <c r="Q133" i="1" s="1"/>
  <c r="P56" i="1"/>
  <c r="Q56" i="1" s="1"/>
  <c r="P79" i="1"/>
  <c r="Q79" i="1" s="1"/>
  <c r="P99" i="1"/>
  <c r="Q99" i="1" s="1"/>
  <c r="P43" i="1"/>
  <c r="Q43" i="1" s="1"/>
  <c r="P93" i="1"/>
  <c r="Q93" i="1" s="1"/>
  <c r="P123" i="1"/>
  <c r="Q123" i="1" s="1"/>
  <c r="P64" i="1"/>
  <c r="Q64" i="1" s="1"/>
  <c r="P140" i="1"/>
  <c r="Q140" i="1" s="1"/>
  <c r="P128" i="1"/>
  <c r="Q128" i="1" s="1"/>
  <c r="J3" i="4"/>
  <c r="J4" i="4"/>
  <c r="J5" i="4"/>
  <c r="J6" i="4"/>
  <c r="J7" i="4"/>
  <c r="I4" i="4"/>
  <c r="I5" i="4"/>
  <c r="I6" i="4"/>
  <c r="I7" i="4"/>
  <c r="F4" i="4"/>
  <c r="F5" i="4"/>
  <c r="F6" i="4"/>
  <c r="F7" i="4"/>
  <c r="I3" i="4"/>
  <c r="F3" i="4"/>
  <c r="H2" i="4"/>
  <c r="G2" i="4"/>
  <c r="E2" i="4"/>
  <c r="D2" i="4"/>
  <c r="G28" i="1"/>
  <c r="G36" i="1"/>
  <c r="G17" i="1"/>
  <c r="G16" i="1"/>
  <c r="G18" i="1"/>
  <c r="G7" i="1"/>
  <c r="G34" i="1"/>
  <c r="G46" i="1"/>
  <c r="G24" i="1"/>
  <c r="G37" i="1"/>
  <c r="G19" i="1"/>
  <c r="G14" i="1"/>
  <c r="G4" i="1"/>
  <c r="G15" i="1"/>
  <c r="G35" i="1"/>
  <c r="G44" i="1"/>
  <c r="G25" i="1"/>
  <c r="G45" i="1"/>
  <c r="G2" i="1"/>
  <c r="G20" i="1"/>
  <c r="G49" i="1"/>
  <c r="G41" i="1"/>
  <c r="G29" i="1"/>
  <c r="G40" i="1"/>
  <c r="G27" i="1"/>
  <c r="G10" i="1"/>
  <c r="G71" i="1"/>
  <c r="G57" i="1"/>
  <c r="G51" i="1"/>
  <c r="G47" i="1"/>
  <c r="G39" i="1"/>
  <c r="G30" i="1"/>
  <c r="G142" i="1"/>
  <c r="G126" i="1"/>
  <c r="G50" i="1"/>
  <c r="G54" i="1"/>
  <c r="G21" i="1"/>
  <c r="G32" i="1"/>
  <c r="G23" i="1"/>
  <c r="G26" i="1"/>
  <c r="G22" i="1"/>
  <c r="G38" i="1"/>
  <c r="G33" i="1"/>
  <c r="G52" i="1"/>
  <c r="G138" i="1"/>
  <c r="G112" i="1"/>
  <c r="G139" i="1"/>
  <c r="G137" i="1"/>
  <c r="G136" i="1"/>
  <c r="G88" i="1"/>
  <c r="G77" i="1"/>
  <c r="G69" i="1"/>
  <c r="G82" i="1"/>
  <c r="G75" i="1"/>
  <c r="G68" i="1"/>
  <c r="G78" i="1"/>
  <c r="G70" i="1"/>
  <c r="G63" i="1"/>
  <c r="G76" i="1"/>
  <c r="G66" i="1"/>
  <c r="G58" i="1"/>
  <c r="G86" i="1"/>
  <c r="G67" i="1"/>
  <c r="G59" i="1"/>
  <c r="G53" i="1"/>
  <c r="G95" i="1"/>
  <c r="G94" i="1"/>
  <c r="G127" i="1"/>
  <c r="G122" i="1"/>
  <c r="G118" i="1"/>
  <c r="G124" i="1"/>
  <c r="G120" i="1"/>
  <c r="G115" i="1"/>
  <c r="G125" i="1"/>
  <c r="G121" i="1"/>
  <c r="G117" i="1"/>
  <c r="G129" i="1"/>
  <c r="G130" i="1"/>
  <c r="G131" i="1"/>
  <c r="G91" i="1"/>
  <c r="G60" i="1"/>
  <c r="G55" i="1"/>
  <c r="G48" i="1"/>
  <c r="G74" i="1"/>
  <c r="G65" i="1"/>
  <c r="G89" i="1"/>
  <c r="G87" i="1"/>
  <c r="G84" i="1"/>
  <c r="G116" i="1"/>
  <c r="G97" i="1"/>
  <c r="G100" i="1"/>
  <c r="G62" i="1"/>
  <c r="G108" i="1"/>
  <c r="G102" i="1"/>
  <c r="G98" i="1"/>
  <c r="G80" i="1"/>
  <c r="G110" i="1"/>
  <c r="G104" i="1"/>
  <c r="G85" i="1"/>
  <c r="G73" i="1"/>
  <c r="G83" i="1"/>
  <c r="G61" i="1"/>
  <c r="G90" i="1"/>
  <c r="G72" i="1"/>
  <c r="G9" i="1"/>
  <c r="G11" i="1"/>
  <c r="G13" i="1"/>
  <c r="G5" i="1"/>
  <c r="G3" i="1"/>
  <c r="G6" i="1"/>
  <c r="G8" i="1"/>
  <c r="G141" i="1"/>
  <c r="G12" i="1"/>
  <c r="G42" i="1"/>
  <c r="G31" i="1"/>
  <c r="G119" i="1"/>
  <c r="G111" i="1"/>
  <c r="G107" i="1"/>
  <c r="G101" i="1"/>
  <c r="G92" i="1"/>
  <c r="G81" i="1"/>
  <c r="G113" i="1"/>
  <c r="G109" i="1"/>
  <c r="G103" i="1"/>
  <c r="G135" i="1"/>
  <c r="G134" i="1"/>
  <c r="G132" i="1"/>
  <c r="G106" i="1"/>
  <c r="G96" i="1"/>
  <c r="G105" i="1"/>
  <c r="G114" i="1"/>
  <c r="G133" i="1"/>
  <c r="G56" i="1"/>
  <c r="G79" i="1"/>
  <c r="G99" i="1"/>
  <c r="G43" i="1"/>
  <c r="G93" i="1"/>
  <c r="G123" i="1"/>
  <c r="G64" i="1"/>
  <c r="G140" i="1"/>
  <c r="G128" i="1"/>
  <c r="C36" i="1"/>
  <c r="C17" i="1"/>
  <c r="C16" i="1"/>
  <c r="C18" i="1"/>
  <c r="C7" i="1"/>
  <c r="C34" i="1"/>
  <c r="C46" i="1"/>
  <c r="C24" i="1"/>
  <c r="C37" i="1"/>
  <c r="C19" i="1"/>
  <c r="C14" i="1"/>
  <c r="C4" i="1"/>
  <c r="C15" i="1"/>
  <c r="C35" i="1"/>
  <c r="C44" i="1"/>
  <c r="C25" i="1"/>
  <c r="C45" i="1"/>
  <c r="C2" i="1"/>
  <c r="C20" i="1"/>
  <c r="C49" i="1"/>
  <c r="C41" i="1"/>
  <c r="C29" i="1"/>
  <c r="C40" i="1"/>
  <c r="C27" i="1"/>
  <c r="C10" i="1"/>
  <c r="C71" i="1"/>
  <c r="C57" i="1"/>
  <c r="C51" i="1"/>
  <c r="C47" i="1"/>
  <c r="C39" i="1"/>
  <c r="C30" i="1"/>
  <c r="C142" i="1"/>
  <c r="C126" i="1"/>
  <c r="C50" i="1"/>
  <c r="C54" i="1"/>
  <c r="C21" i="1"/>
  <c r="C32" i="1"/>
  <c r="C23" i="1"/>
  <c r="C26" i="1"/>
  <c r="C22" i="1"/>
  <c r="C38" i="1"/>
  <c r="C33" i="1"/>
  <c r="C52" i="1"/>
  <c r="C138" i="1"/>
  <c r="C112" i="1"/>
  <c r="C139" i="1"/>
  <c r="C137" i="1"/>
  <c r="C136" i="1"/>
  <c r="C88" i="1"/>
  <c r="C77" i="1"/>
  <c r="C69" i="1"/>
  <c r="C82" i="1"/>
  <c r="C75" i="1"/>
  <c r="C68" i="1"/>
  <c r="C78" i="1"/>
  <c r="C70" i="1"/>
  <c r="C63" i="1"/>
  <c r="C76" i="1"/>
  <c r="C66" i="1"/>
  <c r="C58" i="1"/>
  <c r="C86" i="1"/>
  <c r="C67" i="1"/>
  <c r="C59" i="1"/>
  <c r="C53" i="1"/>
  <c r="C95" i="1"/>
  <c r="C94" i="1"/>
  <c r="C127" i="1"/>
  <c r="C122" i="1"/>
  <c r="C118" i="1"/>
  <c r="C124" i="1"/>
  <c r="C120" i="1"/>
  <c r="C115" i="1"/>
  <c r="C125" i="1"/>
  <c r="C121" i="1"/>
  <c r="C117" i="1"/>
  <c r="C129" i="1"/>
  <c r="C130" i="1"/>
  <c r="C131" i="1"/>
  <c r="C91" i="1"/>
  <c r="C60" i="1"/>
  <c r="C55" i="1"/>
  <c r="C48" i="1"/>
  <c r="C74" i="1"/>
  <c r="C65" i="1"/>
  <c r="C89" i="1"/>
  <c r="C87" i="1"/>
  <c r="C84" i="1"/>
  <c r="C116" i="1"/>
  <c r="C97" i="1"/>
  <c r="C100" i="1"/>
  <c r="C62" i="1"/>
  <c r="C108" i="1"/>
  <c r="C102" i="1"/>
  <c r="C98" i="1"/>
  <c r="C80" i="1"/>
  <c r="C110" i="1"/>
  <c r="C104" i="1"/>
  <c r="C85" i="1"/>
  <c r="C73" i="1"/>
  <c r="C83" i="1"/>
  <c r="C61" i="1"/>
  <c r="C90" i="1"/>
  <c r="C72" i="1"/>
  <c r="C9" i="1"/>
  <c r="C11" i="1"/>
  <c r="C13" i="1"/>
  <c r="C5" i="1"/>
  <c r="C3" i="1"/>
  <c r="C6" i="1"/>
  <c r="C8" i="1"/>
  <c r="C141" i="1"/>
  <c r="C12" i="1"/>
  <c r="C42" i="1"/>
  <c r="C31" i="1"/>
  <c r="C119" i="1"/>
  <c r="C111" i="1"/>
  <c r="C107" i="1"/>
  <c r="C101" i="1"/>
  <c r="C92" i="1"/>
  <c r="C81" i="1"/>
  <c r="C113" i="1"/>
  <c r="C109" i="1"/>
  <c r="C103" i="1"/>
  <c r="C135" i="1"/>
  <c r="C134" i="1"/>
  <c r="C132" i="1"/>
  <c r="C106" i="1"/>
  <c r="C96" i="1"/>
  <c r="C105" i="1"/>
  <c r="C114" i="1"/>
  <c r="C133" i="1"/>
  <c r="C56" i="1"/>
  <c r="C79" i="1"/>
  <c r="C99" i="1"/>
  <c r="C43" i="1"/>
  <c r="C93" i="1"/>
  <c r="C123" i="1"/>
  <c r="C64" i="1"/>
  <c r="C140" i="1"/>
  <c r="C128" i="1"/>
  <c r="C28" i="1"/>
  <c r="H11" i="2"/>
  <c r="G11" i="2"/>
  <c r="F11" i="2"/>
  <c r="H10" i="2"/>
  <c r="G10" i="2"/>
  <c r="F10" i="2"/>
  <c r="H9" i="2"/>
  <c r="G9" i="2"/>
  <c r="F9" i="2"/>
  <c r="H5" i="2"/>
  <c r="G5" i="2"/>
  <c r="G6" i="2"/>
  <c r="F5" i="2"/>
  <c r="F7" i="2"/>
  <c r="H6" i="2"/>
  <c r="F6" i="2"/>
  <c r="H7" i="2"/>
  <c r="G7" i="2"/>
  <c r="F4" i="2"/>
  <c r="G4" i="2"/>
  <c r="H4" i="2"/>
  <c r="F2" i="4" l="1"/>
  <c r="I2" i="4"/>
  <c r="F8" i="2"/>
  <c r="G8" i="2"/>
  <c r="H8" i="2"/>
  <c r="J2" i="4" l="1"/>
</calcChain>
</file>

<file path=xl/sharedStrings.xml><?xml version="1.0" encoding="utf-8"?>
<sst xmlns="http://schemas.openxmlformats.org/spreadsheetml/2006/main" count="771" uniqueCount="230">
  <si>
    <t>Menu Category</t>
  </si>
  <si>
    <t>Menu Items</t>
  </si>
  <si>
    <t>Sodium Z-Score</t>
  </si>
  <si>
    <t>Per Serve Size</t>
  </si>
  <si>
    <t>Energy (kCal)</t>
  </si>
  <si>
    <t>Protein (g)</t>
  </si>
  <si>
    <t>Protein-to-Weight Ratio</t>
  </si>
  <si>
    <t>Total fat (g)</t>
  </si>
  <si>
    <t>Sat Fat (g)</t>
  </si>
  <si>
    <t>Trans fat (g)</t>
  </si>
  <si>
    <t>Cholesterols (mg)</t>
  </si>
  <si>
    <t>Total carbohydrate (g)</t>
  </si>
  <si>
    <t>Total Sugars (g)</t>
  </si>
  <si>
    <t>Added Sugars (g)</t>
  </si>
  <si>
    <t>Sodium (mg)</t>
  </si>
  <si>
    <t>Nutrient-Density Index (NDI</t>
  </si>
  <si>
    <t>Strategic Health Tier</t>
  </si>
  <si>
    <t>Regular Menu</t>
  </si>
  <si>
    <t>Ghee Rice with Mc Spicy Fried Chicken 1 pc</t>
  </si>
  <si>
    <t>Gourmet Menu</t>
  </si>
  <si>
    <t>Chunky Chipotle American Burger Chicken</t>
  </si>
  <si>
    <t>Chicken Maharaja Mac</t>
  </si>
  <si>
    <t>Chicken Cheese Lava Burger</t>
  </si>
  <si>
    <t>McSpicy Premium Chicken Burger</t>
  </si>
  <si>
    <t>Veg Maharaja Mac</t>
  </si>
  <si>
    <t>McSpicy Premium Veg Burger</t>
  </si>
  <si>
    <t>American Triple Cheese Chicken</t>
  </si>
  <si>
    <t>5 piece Chicken Strips</t>
  </si>
  <si>
    <t>American Triple Cheese Veg</t>
  </si>
  <si>
    <t>Piri piri Mc Spicy Veg Burger</t>
  </si>
  <si>
    <t>Cheese Lava Burger</t>
  </si>
  <si>
    <t>Spicy Chicken Wrap</t>
  </si>
  <si>
    <t>American Chicken Burger</t>
  </si>
  <si>
    <t>Spicy Paneer Wrap</t>
  </si>
  <si>
    <t>McSpicyâ„¢ Paneer Burger</t>
  </si>
  <si>
    <t>American Veg Burger</t>
  </si>
  <si>
    <t>Mc Spicy Chicken Burger</t>
  </si>
  <si>
    <t>McSpicy Fried Chicken 1 pc</t>
  </si>
  <si>
    <t>Breakfast Menu</t>
  </si>
  <si>
    <t>Veg McMuffin</t>
  </si>
  <si>
    <t>Sausage Mc Muffin with egg</t>
  </si>
  <si>
    <t>Spicy Egg McMuffin</t>
  </si>
  <si>
    <t>Mc chicken Burger</t>
  </si>
  <si>
    <t>Mc Egg Masala Burger</t>
  </si>
  <si>
    <t>Sausage Mc Muffin</t>
  </si>
  <si>
    <t>3 piece Chicken Strips</t>
  </si>
  <si>
    <t>McVeggieâ„¢ Burger</t>
  </si>
  <si>
    <t>9 piece Chicken McNuggets</t>
  </si>
  <si>
    <t>Large Wedges</t>
  </si>
  <si>
    <t>Cheesy Veg Nuggets (9pc)</t>
  </si>
  <si>
    <t>Double Cheese McMuffin</t>
  </si>
  <si>
    <t>Hot Cake with maple syrup</t>
  </si>
  <si>
    <t>Green Chilli Aloo Naan</t>
  </si>
  <si>
    <t>Chicken Kebab Burger</t>
  </si>
  <si>
    <t>McAloo Tikki BurgerÂ®</t>
  </si>
  <si>
    <t>FILLET-O-FISH Burger</t>
  </si>
  <si>
    <t>Egg McMuffin</t>
  </si>
  <si>
    <t>Medium Wedges</t>
  </si>
  <si>
    <t>2 piece Chicken Strips</t>
  </si>
  <si>
    <t>6 piece Chicken McNuggets</t>
  </si>
  <si>
    <t>Cheesy Veg Nuggets (6pc)</t>
  </si>
  <si>
    <t>Condiments Menu</t>
  </si>
  <si>
    <t>Piri Piri Mix</t>
  </si>
  <si>
    <t>Green Chilli Kebab naan</t>
  </si>
  <si>
    <t>Mc Egg Burger for Happy Meal</t>
  </si>
  <si>
    <t>Pizza Puff</t>
  </si>
  <si>
    <t>Regular Wedges</t>
  </si>
  <si>
    <t>McCafe Menu</t>
  </si>
  <si>
    <t>Chocolate Oreo Frappe</t>
  </si>
  <si>
    <t>4 piece Chicken McNuggets</t>
  </si>
  <si>
    <t>Double Chocochips Muffin</t>
  </si>
  <si>
    <t>Large Fries</t>
  </si>
  <si>
    <t>Hash Brown</t>
  </si>
  <si>
    <t>Hot Chocolate (L)</t>
  </si>
  <si>
    <t>Vanilla Chocochips Muffin</t>
  </si>
  <si>
    <t>Mocha Frappe</t>
  </si>
  <si>
    <t>Mustard diping sauce</t>
  </si>
  <si>
    <t>Medium Fries</t>
  </si>
  <si>
    <t>Mocha (L)</t>
  </si>
  <si>
    <t>Hot Chocolate (R)</t>
  </si>
  <si>
    <t>Cold Coffee Frappe</t>
  </si>
  <si>
    <t>Medium Blackforest</t>
  </si>
  <si>
    <t>American Mud Pie Shake</t>
  </si>
  <si>
    <t>Flat White (L)</t>
  </si>
  <si>
    <t>Cheese Slice</t>
  </si>
  <si>
    <t>Chocolate Shake</t>
  </si>
  <si>
    <t>Mocha (R)</t>
  </si>
  <si>
    <t>Hot Chocolate (S)</t>
  </si>
  <si>
    <t>Latte (L)</t>
  </si>
  <si>
    <t>Cappuccino (L)</t>
  </si>
  <si>
    <t>Flat White (R)</t>
  </si>
  <si>
    <t>Regular Fries</t>
  </si>
  <si>
    <t>Desserts Menu</t>
  </si>
  <si>
    <t>Regular McFlurry - Oreo</t>
  </si>
  <si>
    <t>Medium Soft Serve: Brownie with Hot Fudge</t>
  </si>
  <si>
    <t>Strawberry Shake</t>
  </si>
  <si>
    <t>Latte (R)</t>
  </si>
  <si>
    <t>Mocha (S)</t>
  </si>
  <si>
    <t>Cappuccino (R)</t>
  </si>
  <si>
    <t>Flat White (S)</t>
  </si>
  <si>
    <t>BBQ diping sauce</t>
  </si>
  <si>
    <t>Medium Soft Serve: Hot Fudge</t>
  </si>
  <si>
    <t>Beverages Menu</t>
  </si>
  <si>
    <t>Large Fanta Oragne</t>
  </si>
  <si>
    <t>Latte (S)</t>
  </si>
  <si>
    <t>Regular Blackforest</t>
  </si>
  <si>
    <t>Raw Mango Cooler</t>
  </si>
  <si>
    <t>Regular Soft Serve: Brownie with Hot Fudge</t>
  </si>
  <si>
    <t>Babycino</t>
  </si>
  <si>
    <t>Mixed Berry Smoothie</t>
  </si>
  <si>
    <t>Cappuccino (S)</t>
  </si>
  <si>
    <t>Mango Smoothie</t>
  </si>
  <si>
    <t>Small McFlurry - Oreo</t>
  </si>
  <si>
    <t>Iced Coffee</t>
  </si>
  <si>
    <t>Medium Fanta Orange</t>
  </si>
  <si>
    <t>Tomato Ketchup Sachets</t>
  </si>
  <si>
    <t>Double Dark Hot Chocolate</t>
  </si>
  <si>
    <t>Premium Dark Hot Chocolate</t>
  </si>
  <si>
    <t>Fanta Float</t>
  </si>
  <si>
    <t>Sweet Lime Beverage</t>
  </si>
  <si>
    <t>Regular Soft Serve: Hot Fudge</t>
  </si>
  <si>
    <t>Chilli Sauce</t>
  </si>
  <si>
    <t>Iced Americano</t>
  </si>
  <si>
    <t>Small Fanta Oragne</t>
  </si>
  <si>
    <t>McSwirl ChocoDip</t>
  </si>
  <si>
    <t>Large Thums-up</t>
  </si>
  <si>
    <t>Medium Soft Serve: Strawberry</t>
  </si>
  <si>
    <t>Sprite Float</t>
  </si>
  <si>
    <t>Coke Float</t>
  </si>
  <si>
    <t>Large Coca-Cola</t>
  </si>
  <si>
    <t>Soft serve cone</t>
  </si>
  <si>
    <t>Medium Thums-up</t>
  </si>
  <si>
    <t>Regular Soft Serve: Strawberry</t>
  </si>
  <si>
    <t>Medium Coca-Cola</t>
  </si>
  <si>
    <t>Espresso Machiato</t>
  </si>
  <si>
    <t>Small Thums-up</t>
  </si>
  <si>
    <t>Coke Zero Can</t>
  </si>
  <si>
    <t>Moroccon Mint Green Tea (L)</t>
  </si>
  <si>
    <t>Mix Berry Cooler</t>
  </si>
  <si>
    <t>Strawberry Green Tea (L)</t>
  </si>
  <si>
    <t>English Breakfast (L)</t>
  </si>
  <si>
    <t>Small Coca-Cola</t>
  </si>
  <si>
    <t>Moroccon Mint Green Tea (R)</t>
  </si>
  <si>
    <t>Strawberry Green Tea (R)</t>
  </si>
  <si>
    <t>English Breakfast (R)</t>
  </si>
  <si>
    <t>Maple Syrup</t>
  </si>
  <si>
    <t>Moroccon Mint Green Tea (S)</t>
  </si>
  <si>
    <t>Strawberry Green Tea (S)</t>
  </si>
  <si>
    <t>L1 Coffee with milk</t>
  </si>
  <si>
    <t>English Breakfast (S)</t>
  </si>
  <si>
    <t>Mixed Fruit Beverage</t>
  </si>
  <si>
    <t>Lemon Ice Tea</t>
  </si>
  <si>
    <t>Strawberry Ice Tea</t>
  </si>
  <si>
    <t>Green Apple Ice Tea</t>
  </si>
  <si>
    <t>Large Sprite</t>
  </si>
  <si>
    <t>Vedica Natural Mineral Water</t>
  </si>
  <si>
    <t>Medium Sprite</t>
  </si>
  <si>
    <t>Small Sprite</t>
  </si>
  <si>
    <t>Americano (L)</t>
  </si>
  <si>
    <t>Americano (R)</t>
  </si>
  <si>
    <t>Espresso</t>
  </si>
  <si>
    <t>Americano (S)</t>
  </si>
  <si>
    <t>Sweet Corn</t>
  </si>
  <si>
    <t>Piri piri Mc Spicy Chicken Burger</t>
  </si>
  <si>
    <t>L1 Coffee</t>
  </si>
  <si>
    <t>Statistic </t>
  </si>
  <si>
    <t>Energy (kCal) </t>
  </si>
  <si>
    <t>Protein (g) </t>
  </si>
  <si>
    <t>Sodium (mg) </t>
  </si>
  <si>
    <t>Mean </t>
  </si>
  <si>
    <t>Standard Error </t>
  </si>
  <si>
    <t>Median</t>
  </si>
  <si>
    <t>Standard Deviation </t>
  </si>
  <si>
    <t>Range </t>
  </si>
  <si>
    <t>Minimum </t>
  </si>
  <si>
    <t>Maximum </t>
  </si>
  <si>
    <t>Count </t>
  </si>
  <si>
    <t>Correlation of serving size and protein</t>
  </si>
  <si>
    <t>Energy</t>
  </si>
  <si>
    <t>Protein</t>
  </si>
  <si>
    <t>Sodium</t>
  </si>
  <si>
    <t>Total Fat</t>
  </si>
  <si>
    <t>Strong Positive</t>
  </si>
  <si>
    <t>Weak Positive</t>
  </si>
  <si>
    <t>No Linear Relationship</t>
  </si>
  <si>
    <t>Weak Negative</t>
  </si>
  <si>
    <t>Strong Negative</t>
  </si>
  <si>
    <t>Average of Protein (g)</t>
  </si>
  <si>
    <t>Grand Total</t>
  </si>
  <si>
    <t>Mains</t>
  </si>
  <si>
    <t>Sides</t>
  </si>
  <si>
    <t>Bundle ID</t>
  </si>
  <si>
    <t xml:space="preserve">Main Item </t>
  </si>
  <si>
    <t>Side</t>
  </si>
  <si>
    <t>Main Energy</t>
  </si>
  <si>
    <t>Side Energy</t>
  </si>
  <si>
    <t xml:space="preserve">Total Bundle Energy </t>
  </si>
  <si>
    <t>Main Protein</t>
  </si>
  <si>
    <t>Side Protein</t>
  </si>
  <si>
    <t>Total Protein</t>
  </si>
  <si>
    <t xml:space="preserve">Healthy Combo </t>
  </si>
  <si>
    <t xml:space="preserve">Make Your Own Bundle </t>
  </si>
  <si>
    <t>BD-001</t>
  </si>
  <si>
    <t xml:space="preserve">FILLET-O-FISH Burger </t>
  </si>
  <si>
    <t xml:space="preserve">Coke Zero Can </t>
  </si>
  <si>
    <t>BD-002</t>
  </si>
  <si>
    <t xml:space="preserve">Mc chicken Burger </t>
  </si>
  <si>
    <t xml:space="preserve">Black Coffee </t>
  </si>
  <si>
    <t>BD-003</t>
  </si>
  <si>
    <t xml:space="preserve">Egg McMuffin </t>
  </si>
  <si>
    <t xml:space="preserve">Americano (S) </t>
  </si>
  <si>
    <t>BD-004</t>
  </si>
  <si>
    <t xml:space="preserve">Chicken Strips (3pc) </t>
  </si>
  <si>
    <t xml:space="preserve">Small Coca-Cola </t>
  </si>
  <si>
    <t>BD-005</t>
  </si>
  <si>
    <t xml:space="preserve">6pc Chicken McNuggets </t>
  </si>
  <si>
    <t xml:space="preserve">Regular Wedges </t>
  </si>
  <si>
    <r>
      <t>Energy (kCal)</t>
    </r>
    <r>
      <rPr>
        <sz val="10.5"/>
        <color rgb="FF000000"/>
        <rFont val="Arial"/>
        <charset val="1"/>
      </rPr>
      <t> </t>
    </r>
  </si>
  <si>
    <r>
      <t>Protein (g)</t>
    </r>
    <r>
      <rPr>
        <sz val="10.5"/>
        <color rgb="FF000000"/>
        <rFont val="Arial"/>
        <charset val="1"/>
      </rPr>
      <t> </t>
    </r>
  </si>
  <si>
    <r>
      <t>Sodium (mg)</t>
    </r>
    <r>
      <rPr>
        <sz val="10.5"/>
        <color rgb="FF000000"/>
        <rFont val="Arial"/>
        <charset val="1"/>
      </rPr>
      <t> </t>
    </r>
  </si>
  <si>
    <r>
      <t>Standard Deviation</t>
    </r>
    <r>
      <rPr>
        <sz val="10.5"/>
        <color rgb="FF0A0A0A"/>
        <rFont val="Arial"/>
        <charset val="1"/>
      </rPr>
      <t> </t>
    </r>
  </si>
  <si>
    <r>
      <t>Minimum</t>
    </r>
    <r>
      <rPr>
        <sz val="10.5"/>
        <color rgb="FF0A0A0A"/>
        <rFont val="Arial"/>
        <charset val="1"/>
      </rPr>
      <t> </t>
    </r>
  </si>
  <si>
    <r>
      <t>Maximum</t>
    </r>
    <r>
      <rPr>
        <sz val="10.5"/>
        <color rgb="FF0A0A0A"/>
        <rFont val="Arial"/>
        <charset val="1"/>
      </rPr>
      <t> </t>
    </r>
  </si>
  <si>
    <r>
      <t>Count</t>
    </r>
    <r>
      <rPr>
        <sz val="10.5"/>
        <color rgb="FF0A0A0A"/>
        <rFont val="Arial"/>
        <charset val="1"/>
      </rPr>
      <t> </t>
    </r>
  </si>
  <si>
    <t>Count of Strategic Health Tier</t>
  </si>
  <si>
    <t>Balanced</t>
  </si>
  <si>
    <t>High-Risk</t>
  </si>
  <si>
    <t>Premium Health</t>
  </si>
  <si>
    <t>Average of Protein-to-Weight Ratio</t>
  </si>
  <si>
    <t>Sodium_Z-Score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</si>
</sst>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rgb="FF000000"/>
      <name val="Arial"/>
      <charset val="1"/>
    </font>
    <font>
      <b/>
      <sz val="10.5"/>
      <color rgb="FF000000"/>
      <name val="Arial"/>
      <charset val="1"/>
    </font>
    <font>
      <sz val="10.5"/>
      <color rgb="FF0A0A0A"/>
      <name val="Arial"/>
      <charset val="1"/>
    </font>
    <font>
      <b/>
      <sz val="10.5"/>
      <color rgb="FF0A0A0A"/>
      <name val="Arial"/>
      <charset val="1"/>
    </font>
    <font>
      <b/>
      <sz val="10.5"/>
      <color rgb="FF000000"/>
      <name val="Arial"/>
    </font>
    <font>
      <b/>
      <sz val="10.5"/>
      <color rgb="FF0A0A0A"/>
      <name val="Arial"/>
    </font>
    <font>
      <b/>
      <sz val="10"/>
      <color rgb="FF242424"/>
      <name val="Arial"/>
    </font>
    <font>
      <b/>
      <sz val="11"/>
      <color rgb="FF242424"/>
      <name val="Arial"/>
    </font>
    <font>
      <sz val="11"/>
      <color theme="0"/>
      <name val="Google Sans"/>
      <charset val="1"/>
    </font>
    <font>
      <sz val="11"/>
      <color theme="1"/>
      <name val="Google Sans"/>
      <charset val="1"/>
    </font>
    <font>
      <sz val="11"/>
      <color rgb="FF000000"/>
      <name val="Google Sans"/>
    </font>
    <font>
      <sz val="11"/>
      <color rgb="FF000000"/>
      <name val="Google Sans"/>
      <charset val="1"/>
    </font>
    <font>
      <sz val="11"/>
      <color rgb="FF242424"/>
      <name val="Aptos Narrow"/>
      <charset val="1"/>
    </font>
    <font>
      <b/>
      <sz val="15"/>
      <color rgb="FF000000"/>
      <name val="Calibri"/>
      <scheme val="minor"/>
    </font>
    <font>
      <sz val="15"/>
      <color theme="1"/>
      <name val="Calibri"/>
      <family val="2"/>
      <scheme val="minor"/>
    </font>
    <font>
      <sz val="12"/>
      <color theme="1"/>
      <name val="Google Sans"/>
      <charset val="1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5676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B0DDBD"/>
        <bgColor indexed="64"/>
      </patternFill>
    </fill>
    <fill>
      <patternFill patternType="solid">
        <fgColor rgb="FF8ACE9C"/>
        <bgColor indexed="64"/>
      </patternFill>
    </fill>
    <fill>
      <patternFill patternType="solid">
        <fgColor rgb="FFD6EDDE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/>
      <bottom style="thin">
        <color rgb="FFDCDFE5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4">
    <xf numFmtId="0" fontId="0" fillId="0" borderId="0" xfId="0"/>
    <xf numFmtId="0" fontId="21" fillId="0" borderId="0" xfId="0" applyFont="1" applyAlignment="1">
      <alignment wrapText="1" readingOrder="1"/>
    </xf>
    <xf numFmtId="0" fontId="21" fillId="0" borderId="0" xfId="0" applyFont="1"/>
    <xf numFmtId="0" fontId="22" fillId="0" borderId="0" xfId="0" applyFont="1" applyAlignment="1">
      <alignment wrapText="1" readingOrder="1"/>
    </xf>
    <xf numFmtId="0" fontId="23" fillId="0" borderId="0" xfId="0" applyFont="1" applyAlignment="1">
      <alignment wrapText="1" readingOrder="1"/>
    </xf>
    <xf numFmtId="0" fontId="24" fillId="0" borderId="0" xfId="0" applyFont="1"/>
    <xf numFmtId="0" fontId="25" fillId="0" borderId="0" xfId="0" applyFont="1"/>
    <xf numFmtId="0" fontId="19" fillId="0" borderId="0" xfId="0" applyFont="1"/>
    <xf numFmtId="2" fontId="0" fillId="0" borderId="0" xfId="0" applyNumberFormat="1"/>
    <xf numFmtId="0" fontId="26" fillId="0" borderId="0" xfId="0" applyFont="1"/>
    <xf numFmtId="0" fontId="27" fillId="0" borderId="12" xfId="0" applyFont="1" applyBorder="1"/>
    <xf numFmtId="0" fontId="27" fillId="0" borderId="0" xfId="0" applyFont="1"/>
    <xf numFmtId="0" fontId="0" fillId="34" borderId="10" xfId="0" applyFill="1" applyBorder="1"/>
    <xf numFmtId="0" fontId="0" fillId="34" borderId="11" xfId="0" applyFill="1" applyBorder="1"/>
    <xf numFmtId="0" fontId="0" fillId="0" borderId="10" xfId="0" applyBorder="1"/>
    <xf numFmtId="0" fontId="0" fillId="0" borderId="11" xfId="0" applyBorder="1"/>
    <xf numFmtId="0" fontId="13" fillId="33" borderId="11" xfId="0" applyFont="1" applyFill="1" applyBorder="1"/>
    <xf numFmtId="0" fontId="0" fillId="34" borderId="13" xfId="0" applyFill="1" applyBorder="1"/>
    <xf numFmtId="0" fontId="0" fillId="34" borderId="14" xfId="0" applyFill="1" applyBorder="1"/>
    <xf numFmtId="0" fontId="13" fillId="35" borderId="15" xfId="0" applyFont="1" applyFill="1" applyBorder="1"/>
    <xf numFmtId="0" fontId="13" fillId="35" borderId="16" xfId="0" applyFont="1" applyFill="1" applyBorder="1"/>
    <xf numFmtId="0" fontId="13" fillId="33" borderId="17" xfId="0" applyFont="1" applyFill="1" applyBorder="1"/>
    <xf numFmtId="0" fontId="28" fillId="0" borderId="12" xfId="0" applyFont="1" applyBorder="1" applyAlignment="1">
      <alignment wrapText="1"/>
    </xf>
    <xf numFmtId="0" fontId="29" fillId="0" borderId="0" xfId="0" applyFont="1" applyAlignment="1">
      <alignment wrapText="1"/>
    </xf>
    <xf numFmtId="0" fontId="30" fillId="0" borderId="0" xfId="0" applyFont="1"/>
    <xf numFmtId="0" fontId="30" fillId="0" borderId="0" xfId="0" applyFont="1" applyAlignment="1">
      <alignment wrapText="1"/>
    </xf>
    <xf numFmtId="0" fontId="27" fillId="0" borderId="12" xfId="0" applyFont="1" applyBorder="1" applyAlignment="1">
      <alignment wrapText="1"/>
    </xf>
    <xf numFmtId="0" fontId="28" fillId="0" borderId="12" xfId="0" applyFont="1" applyBorder="1"/>
    <xf numFmtId="0" fontId="28" fillId="0" borderId="0" xfId="0" applyFont="1"/>
    <xf numFmtId="0" fontId="0" fillId="36" borderId="0" xfId="0" applyFill="1"/>
    <xf numFmtId="0" fontId="31" fillId="0" borderId="0" xfId="0" applyFont="1" applyAlignment="1">
      <alignment wrapText="1"/>
    </xf>
    <xf numFmtId="0" fontId="32" fillId="37" borderId="0" xfId="0" applyFont="1" applyFill="1"/>
    <xf numFmtId="0" fontId="0" fillId="0" borderId="0" xfId="0" pivotButton="1"/>
    <xf numFmtId="0" fontId="0" fillId="38" borderId="0" xfId="0" applyFill="1"/>
    <xf numFmtId="0" fontId="30" fillId="38" borderId="0" xfId="0" applyFont="1" applyFill="1"/>
    <xf numFmtId="0" fontId="0" fillId="0" borderId="0" xfId="0"/>
    <xf numFmtId="0" fontId="0" fillId="0" borderId="0" xfId="0" applyAlignment="1">
      <alignment wrapText="1"/>
    </xf>
    <xf numFmtId="0" fontId="0" fillId="40" borderId="0" xfId="0" applyFill="1"/>
    <xf numFmtId="0" fontId="33" fillId="39" borderId="0" xfId="0" applyFont="1" applyFill="1" applyBorder="1" applyAlignment="1">
      <alignment wrapText="1"/>
    </xf>
    <xf numFmtId="0" fontId="0" fillId="41" borderId="0" xfId="0" applyFill="1"/>
    <xf numFmtId="0" fontId="30" fillId="42" borderId="0" xfId="0" applyFont="1" applyFill="1"/>
    <xf numFmtId="0" fontId="33" fillId="0" borderId="0" xfId="0" applyFont="1" applyBorder="1" applyAlignment="1">
      <alignment wrapText="1"/>
    </xf>
    <xf numFmtId="0" fontId="33" fillId="0" borderId="0" xfId="0" applyFont="1" applyBorder="1"/>
    <xf numFmtId="0" fontId="33" fillId="39" borderId="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rgb="FF0A0A0A"/>
        <name val="Arial"/>
        <charset val="1"/>
        <scheme val="none"/>
      </font>
      <alignment horizontal="general" vertical="bottom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rgb="FF000000"/>
        <name val="Arial"/>
        <charset val="1"/>
        <scheme val="none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border outline="0"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border outline="0"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  <alignment horizontal="general" vertical="bottom" textRotation="0" wrapText="1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</dxfs>
  <tableStyles count="0" defaultTableStyle="TableStyleMedium2" defaultPivotStyle="PivotStyleLight16"/>
  <colors>
    <mruColors>
      <color rgb="FFD6EDDE"/>
      <color rgb="FF8ACE9C"/>
      <color rgb="FFB0DDBD"/>
      <color rgb="FF63BE7B"/>
      <color rgb="FFF567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[Indian_Menu Excel Analysis.xlsx]Mnue Vs avg Protein 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Protein Content (g) by Menu Category.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'Mnue Vs avg Protein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'Mnue Vs avg Protein '!$A$4:$A$11</c:f>
              <c:strCache>
                <c:ptCount val="7"/>
                <c:pt idx="0">
                  <c:v>Beverages Menu</c:v>
                </c:pt>
                <c:pt idx="1">
                  <c:v>Breakfast Menu</c:v>
                </c:pt>
                <c:pt idx="2">
                  <c:v>Condiments Menu</c:v>
                </c:pt>
                <c:pt idx="3">
                  <c:v>Desserts Menu</c:v>
                </c:pt>
                <c:pt idx="4">
                  <c:v>Gourmet Menu</c:v>
                </c:pt>
                <c:pt idx="5">
                  <c:v>McCafe Menu</c:v>
                </c:pt>
                <c:pt idx="6">
                  <c:v>Regular Menu</c:v>
                </c:pt>
              </c:strCache>
            </c:strRef>
          </c:cat>
          <c:val>
            <c:numRef>
              <c:f>'Mnue Vs avg Protein '!$B$4:$B$11</c:f>
              <c:numCache>
                <c:formatCode>0.00</c:formatCode>
                <c:ptCount val="7"/>
                <c:pt idx="0">
                  <c:v>0.26823529411764707</c:v>
                </c:pt>
                <c:pt idx="1">
                  <c:v>7.6366666666666658</c:v>
                </c:pt>
                <c:pt idx="2">
                  <c:v>0.73111111111111127</c:v>
                </c:pt>
                <c:pt idx="3">
                  <c:v>2.8149999999999999</c:v>
                </c:pt>
                <c:pt idx="4">
                  <c:v>21.684545454545454</c:v>
                </c:pt>
                <c:pt idx="5">
                  <c:v>4.2954901960784317</c:v>
                </c:pt>
                <c:pt idx="6">
                  <c:v>12.990833333333335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4E-4ED5-ABB0-524BAD52C7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64765959"/>
        <c:axId val="1444966407"/>
      </c:barChart>
      <c:catAx>
        <c:axId val="14647659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Menu Categories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966407"/>
        <c:crosses val="autoZero"/>
        <c:auto val="1"/>
        <c:lblAlgn val="ctr"/>
        <c:lblOffset val="100"/>
        <c:noMultiLvlLbl val="0"/>
      </c:catAx>
      <c:valAx>
        <c:axId val="1444966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Protein (grams)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765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Nutritional Satiety Efficiency: Protein Content vs. Protein-to-Weight Ratio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'Data_set '!$F$2:$F$142</c:f>
              <c:numCache>
                <c:formatCode>General</c:formatCode>
                <c:ptCount val="141"/>
                <c:pt idx="0">
                  <c:v>26.91</c:v>
                </c:pt>
                <c:pt idx="1">
                  <c:v>39.47</c:v>
                </c:pt>
                <c:pt idx="2">
                  <c:v>34</c:v>
                </c:pt>
                <c:pt idx="3">
                  <c:v>27.37</c:v>
                </c:pt>
                <c:pt idx="4">
                  <c:v>31.49</c:v>
                </c:pt>
                <c:pt idx="5">
                  <c:v>24.17</c:v>
                </c:pt>
                <c:pt idx="6">
                  <c:v>22.44</c:v>
                </c:pt>
                <c:pt idx="7">
                  <c:v>24.43</c:v>
                </c:pt>
                <c:pt idx="8">
                  <c:v>25.43</c:v>
                </c:pt>
                <c:pt idx="9">
                  <c:v>19.54</c:v>
                </c:pt>
                <c:pt idx="10">
                  <c:v>11.97</c:v>
                </c:pt>
                <c:pt idx="11">
                  <c:v>14.99</c:v>
                </c:pt>
                <c:pt idx="12">
                  <c:v>23.74</c:v>
                </c:pt>
                <c:pt idx="13">
                  <c:v>20.29</c:v>
                </c:pt>
                <c:pt idx="14">
                  <c:v>20.96</c:v>
                </c:pt>
                <c:pt idx="15">
                  <c:v>20.29</c:v>
                </c:pt>
                <c:pt idx="16">
                  <c:v>15.3</c:v>
                </c:pt>
                <c:pt idx="17">
                  <c:v>21.46</c:v>
                </c:pt>
                <c:pt idx="18">
                  <c:v>17.329999999999998</c:v>
                </c:pt>
                <c:pt idx="19">
                  <c:v>10.220000000000001</c:v>
                </c:pt>
                <c:pt idx="20">
                  <c:v>22.46</c:v>
                </c:pt>
                <c:pt idx="21">
                  <c:v>11.49</c:v>
                </c:pt>
                <c:pt idx="22">
                  <c:v>15.66</c:v>
                </c:pt>
                <c:pt idx="23">
                  <c:v>12.45</c:v>
                </c:pt>
                <c:pt idx="24">
                  <c:v>16.25</c:v>
                </c:pt>
                <c:pt idx="25">
                  <c:v>15.26</c:v>
                </c:pt>
                <c:pt idx="26">
                  <c:v>10.24</c:v>
                </c:pt>
                <c:pt idx="27">
                  <c:v>22.56</c:v>
                </c:pt>
                <c:pt idx="28">
                  <c:v>7.53</c:v>
                </c:pt>
                <c:pt idx="29">
                  <c:v>12.72</c:v>
                </c:pt>
                <c:pt idx="30">
                  <c:v>9.58</c:v>
                </c:pt>
                <c:pt idx="31">
                  <c:v>8.6</c:v>
                </c:pt>
                <c:pt idx="32">
                  <c:v>7.91</c:v>
                </c:pt>
                <c:pt idx="33">
                  <c:v>8.64</c:v>
                </c:pt>
                <c:pt idx="34">
                  <c:v>8.5</c:v>
                </c:pt>
                <c:pt idx="35">
                  <c:v>15.44</c:v>
                </c:pt>
                <c:pt idx="36">
                  <c:v>14.05</c:v>
                </c:pt>
                <c:pt idx="37">
                  <c:v>5.44</c:v>
                </c:pt>
                <c:pt idx="38">
                  <c:v>10.17</c:v>
                </c:pt>
                <c:pt idx="39">
                  <c:v>15.04</c:v>
                </c:pt>
                <c:pt idx="40">
                  <c:v>8.48</c:v>
                </c:pt>
                <c:pt idx="41">
                  <c:v>0.51</c:v>
                </c:pt>
                <c:pt idx="42">
                  <c:v>5.67</c:v>
                </c:pt>
                <c:pt idx="43">
                  <c:v>12.29</c:v>
                </c:pt>
                <c:pt idx="44">
                  <c:v>5.45</c:v>
                </c:pt>
                <c:pt idx="45">
                  <c:v>3.97</c:v>
                </c:pt>
                <c:pt idx="46">
                  <c:v>6.03</c:v>
                </c:pt>
                <c:pt idx="47">
                  <c:v>10.029999999999999</c:v>
                </c:pt>
                <c:pt idx="48">
                  <c:v>5.13</c:v>
                </c:pt>
                <c:pt idx="49">
                  <c:v>6.76</c:v>
                </c:pt>
                <c:pt idx="50">
                  <c:v>1.93</c:v>
                </c:pt>
                <c:pt idx="51">
                  <c:v>11.01</c:v>
                </c:pt>
                <c:pt idx="52">
                  <c:v>4.4800000000000004</c:v>
                </c:pt>
                <c:pt idx="53">
                  <c:v>5.49</c:v>
                </c:pt>
                <c:pt idx="54">
                  <c:v>0.52</c:v>
                </c:pt>
                <c:pt idx="55">
                  <c:v>4.79</c:v>
                </c:pt>
                <c:pt idx="56">
                  <c:v>10.88</c:v>
                </c:pt>
                <c:pt idx="57">
                  <c:v>7.7</c:v>
                </c:pt>
                <c:pt idx="58">
                  <c:v>4.9800000000000004</c:v>
                </c:pt>
                <c:pt idx="59">
                  <c:v>5.42</c:v>
                </c:pt>
                <c:pt idx="60">
                  <c:v>5.67</c:v>
                </c:pt>
                <c:pt idx="61">
                  <c:v>12.08</c:v>
                </c:pt>
                <c:pt idx="62">
                  <c:v>3.06</c:v>
                </c:pt>
                <c:pt idx="63">
                  <c:v>4.16</c:v>
                </c:pt>
                <c:pt idx="64">
                  <c:v>8.99</c:v>
                </c:pt>
                <c:pt idx="65">
                  <c:v>6.73</c:v>
                </c:pt>
                <c:pt idx="66">
                  <c:v>11.14</c:v>
                </c:pt>
                <c:pt idx="67">
                  <c:v>10.51</c:v>
                </c:pt>
                <c:pt idx="68">
                  <c:v>10.36</c:v>
                </c:pt>
                <c:pt idx="69">
                  <c:v>3.38</c:v>
                </c:pt>
                <c:pt idx="70">
                  <c:v>3.58</c:v>
                </c:pt>
                <c:pt idx="71">
                  <c:v>4.6500000000000004</c:v>
                </c:pt>
                <c:pt idx="72">
                  <c:v>3.67</c:v>
                </c:pt>
                <c:pt idx="73">
                  <c:v>9.1</c:v>
                </c:pt>
                <c:pt idx="74">
                  <c:v>7.15</c:v>
                </c:pt>
                <c:pt idx="75">
                  <c:v>8.7899999999999991</c:v>
                </c:pt>
                <c:pt idx="76">
                  <c:v>8.06</c:v>
                </c:pt>
                <c:pt idx="77">
                  <c:v>0.26</c:v>
                </c:pt>
                <c:pt idx="78">
                  <c:v>3.49</c:v>
                </c:pt>
                <c:pt idx="79">
                  <c:v>0</c:v>
                </c:pt>
                <c:pt idx="80">
                  <c:v>7.12</c:v>
                </c:pt>
                <c:pt idx="81">
                  <c:v>3.22</c:v>
                </c:pt>
                <c:pt idx="82">
                  <c:v>0.14000000000000001</c:v>
                </c:pt>
                <c:pt idx="83">
                  <c:v>3.2</c:v>
                </c:pt>
                <c:pt idx="84">
                  <c:v>3.87</c:v>
                </c:pt>
                <c:pt idx="85">
                  <c:v>3.33</c:v>
                </c:pt>
                <c:pt idx="86">
                  <c:v>6.02</c:v>
                </c:pt>
                <c:pt idx="87">
                  <c:v>3.21</c:v>
                </c:pt>
                <c:pt idx="88">
                  <c:v>2.0499999999999998</c:v>
                </c:pt>
                <c:pt idx="89">
                  <c:v>4.3600000000000003</c:v>
                </c:pt>
                <c:pt idx="90">
                  <c:v>0</c:v>
                </c:pt>
                <c:pt idx="91">
                  <c:v>0.08</c:v>
                </c:pt>
                <c:pt idx="92">
                  <c:v>6.87</c:v>
                </c:pt>
                <c:pt idx="93">
                  <c:v>6.15</c:v>
                </c:pt>
                <c:pt idx="94">
                  <c:v>1.52</c:v>
                </c:pt>
                <c:pt idx="95">
                  <c:v>7.0000000000000007E-2</c:v>
                </c:pt>
                <c:pt idx="96">
                  <c:v>2.25</c:v>
                </c:pt>
                <c:pt idx="97">
                  <c:v>0.03</c:v>
                </c:pt>
                <c:pt idx="98">
                  <c:v>3.59</c:v>
                </c:pt>
                <c:pt idx="99">
                  <c:v>0</c:v>
                </c:pt>
                <c:pt idx="100">
                  <c:v>2.71</c:v>
                </c:pt>
                <c:pt idx="101">
                  <c:v>0</c:v>
                </c:pt>
                <c:pt idx="102">
                  <c:v>2.0499999999999998</c:v>
                </c:pt>
                <c:pt idx="103">
                  <c:v>1.52</c:v>
                </c:pt>
                <c:pt idx="104">
                  <c:v>1.52</c:v>
                </c:pt>
                <c:pt idx="105">
                  <c:v>0</c:v>
                </c:pt>
                <c:pt idx="106">
                  <c:v>1.99</c:v>
                </c:pt>
                <c:pt idx="107">
                  <c:v>0</c:v>
                </c:pt>
                <c:pt idx="108">
                  <c:v>1.54</c:v>
                </c:pt>
                <c:pt idx="109">
                  <c:v>0</c:v>
                </c:pt>
                <c:pt idx="110">
                  <c:v>2.09</c:v>
                </c:pt>
                <c:pt idx="111">
                  <c:v>0</c:v>
                </c:pt>
                <c:pt idx="112">
                  <c:v>0</c:v>
                </c:pt>
                <c:pt idx="113">
                  <c:v>0.55000000000000004</c:v>
                </c:pt>
                <c:pt idx="114">
                  <c:v>0.16</c:v>
                </c:pt>
                <c:pt idx="115">
                  <c:v>0.78</c:v>
                </c:pt>
                <c:pt idx="116">
                  <c:v>0.91</c:v>
                </c:pt>
                <c:pt idx="117">
                  <c:v>0</c:v>
                </c:pt>
                <c:pt idx="118">
                  <c:v>0.4</c:v>
                </c:pt>
                <c:pt idx="119">
                  <c:v>0.56000000000000005</c:v>
                </c:pt>
                <c:pt idx="120">
                  <c:v>0.66</c:v>
                </c:pt>
                <c:pt idx="121">
                  <c:v>0</c:v>
                </c:pt>
                <c:pt idx="122">
                  <c:v>0.33</c:v>
                </c:pt>
                <c:pt idx="123">
                  <c:v>0.47</c:v>
                </c:pt>
                <c:pt idx="124">
                  <c:v>1</c:v>
                </c:pt>
                <c:pt idx="125">
                  <c:v>0.56000000000000005</c:v>
                </c:pt>
                <c:pt idx="126">
                  <c:v>0.65</c:v>
                </c:pt>
                <c:pt idx="127">
                  <c:v>0.27</c:v>
                </c:pt>
                <c:pt idx="128">
                  <c:v>0.24</c:v>
                </c:pt>
                <c:pt idx="129">
                  <c:v>0.24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1.0900000000000001</c:v>
                </c:pt>
                <c:pt idx="135">
                  <c:v>0.94</c:v>
                </c:pt>
                <c:pt idx="136">
                  <c:v>0.52</c:v>
                </c:pt>
                <c:pt idx="137">
                  <c:v>0.52</c:v>
                </c:pt>
                <c:pt idx="138">
                  <c:v>1.47</c:v>
                </c:pt>
                <c:pt idx="139">
                  <c:v>25.63</c:v>
                </c:pt>
                <c:pt idx="140">
                  <c:v>0</c:v>
                </c:pt>
              </c:numCache>
            </c:numRef>
          </c:xVal>
          <c:yVal>
            <c:numRef>
              <c:f>'Data_set '!$G$2:$G$142</c:f>
              <c:numCache>
                <c:formatCode>General</c:formatCode>
                <c:ptCount val="141"/>
                <c:pt idx="0">
                  <c:v>8.2799999999999999E-2</c:v>
                </c:pt>
                <c:pt idx="1">
                  <c:v>0.13112956810631229</c:v>
                </c:pt>
                <c:pt idx="2">
                  <c:v>0.11486486486486487</c:v>
                </c:pt>
                <c:pt idx="3">
                  <c:v>8.9153094462540716E-2</c:v>
                </c:pt>
                <c:pt idx="4">
                  <c:v>0.11905482041587902</c:v>
                </c:pt>
                <c:pt idx="5">
                  <c:v>7.8986928104575166E-2</c:v>
                </c:pt>
                <c:pt idx="6">
                  <c:v>0.1056</c:v>
                </c:pt>
                <c:pt idx="7">
                  <c:v>0.12528205128205128</c:v>
                </c:pt>
                <c:pt idx="8">
                  <c:v>0.17537931034482759</c:v>
                </c:pt>
                <c:pt idx="9">
                  <c:v>9.4396135265700482E-2</c:v>
                </c:pt>
                <c:pt idx="10">
                  <c:v>5.6729857819905215E-2</c:v>
                </c:pt>
                <c:pt idx="11">
                  <c:v>6.2458333333333331E-2</c:v>
                </c:pt>
                <c:pt idx="12">
                  <c:v>9.2373540856031125E-2</c:v>
                </c:pt>
                <c:pt idx="13">
                  <c:v>0.12296969696969696</c:v>
                </c:pt>
                <c:pt idx="14">
                  <c:v>8.3839999999999998E-2</c:v>
                </c:pt>
                <c:pt idx="15">
                  <c:v>0.10195979899497487</c:v>
                </c:pt>
                <c:pt idx="16">
                  <c:v>8.6440677966101692E-2</c:v>
                </c:pt>
                <c:pt idx="17">
                  <c:v>0.11537634408602152</c:v>
                </c:pt>
                <c:pt idx="18">
                  <c:v>0.15069565217391304</c:v>
                </c:pt>
                <c:pt idx="19">
                  <c:v>8.5882352941176479E-2</c:v>
                </c:pt>
                <c:pt idx="20">
                  <c:v>0.14305732484076433</c:v>
                </c:pt>
                <c:pt idx="21">
                  <c:v>9.3262987012987006E-2</c:v>
                </c:pt>
                <c:pt idx="22">
                  <c:v>9.0520231213872829E-2</c:v>
                </c:pt>
                <c:pt idx="23">
                  <c:v>9.8652931854199669E-2</c:v>
                </c:pt>
                <c:pt idx="24">
                  <c:v>0.14508928571428573</c:v>
                </c:pt>
                <c:pt idx="25">
                  <c:v>0.17540229885057471</c:v>
                </c:pt>
                <c:pt idx="26">
                  <c:v>6.0952380952380952E-2</c:v>
                </c:pt>
                <c:pt idx="27">
                  <c:v>0.15666666666666665</c:v>
                </c:pt>
                <c:pt idx="28">
                  <c:v>3.4861111111111114E-2</c:v>
                </c:pt>
                <c:pt idx="29">
                  <c:v>9.4222222222222221E-2</c:v>
                </c:pt>
                <c:pt idx="30">
                  <c:v>9.5799999999999996E-2</c:v>
                </c:pt>
                <c:pt idx="31">
                  <c:v>6.0563380281690136E-2</c:v>
                </c:pt>
                <c:pt idx="32">
                  <c:v>5.9924242424242428E-2</c:v>
                </c:pt>
                <c:pt idx="33">
                  <c:v>6.2608695652173918E-2</c:v>
                </c:pt>
                <c:pt idx="34">
                  <c:v>5.8219178082191778E-2</c:v>
                </c:pt>
                <c:pt idx="35">
                  <c:v>0.11352941176470588</c:v>
                </c:pt>
                <c:pt idx="36">
                  <c:v>0.12544642857142857</c:v>
                </c:pt>
                <c:pt idx="37">
                  <c:v>3.4871794871794877E-2</c:v>
                </c:pt>
                <c:pt idx="38">
                  <c:v>0.1753448275862069</c:v>
                </c:pt>
                <c:pt idx="39">
                  <c:v>0.15666666666666665</c:v>
                </c:pt>
                <c:pt idx="40">
                  <c:v>9.4222222222222221E-2</c:v>
                </c:pt>
                <c:pt idx="41">
                  <c:v>0.10200000000000001</c:v>
                </c:pt>
                <c:pt idx="42">
                  <c:v>4.1086956521739132E-2</c:v>
                </c:pt>
                <c:pt idx="43">
                  <c:v>9.9918699186991866E-2</c:v>
                </c:pt>
                <c:pt idx="44">
                  <c:v>6.2643678160919536E-2</c:v>
                </c:pt>
                <c:pt idx="45">
                  <c:v>3.4824561403508772E-2</c:v>
                </c:pt>
                <c:pt idx="46">
                  <c:v>1.8053892215568863E-2</c:v>
                </c:pt>
                <c:pt idx="47">
                  <c:v>0.15671874999999999</c:v>
                </c:pt>
                <c:pt idx="48">
                  <c:v>6.4125000000000001E-2</c:v>
                </c:pt>
                <c:pt idx="49">
                  <c:v>4.3896103896103891E-2</c:v>
                </c:pt>
                <c:pt idx="50">
                  <c:v>3.0156249999999999E-2</c:v>
                </c:pt>
                <c:pt idx="51">
                  <c:v>0.03</c:v>
                </c:pt>
                <c:pt idx="52">
                  <c:v>5.6000000000000008E-2</c:v>
                </c:pt>
                <c:pt idx="53">
                  <c:v>1.7129485179407176E-2</c:v>
                </c:pt>
                <c:pt idx="54">
                  <c:v>2.0799999999999999E-2</c:v>
                </c:pt>
                <c:pt idx="55">
                  <c:v>4.3944954128440364E-2</c:v>
                </c:pt>
                <c:pt idx="56">
                  <c:v>2.8859416445623343E-2</c:v>
                </c:pt>
                <c:pt idx="57">
                  <c:v>2.9729729729729731E-2</c:v>
                </c:pt>
                <c:pt idx="58">
                  <c:v>1.679595278246206E-2</c:v>
                </c:pt>
                <c:pt idx="59">
                  <c:v>2.7089164334266291E-2</c:v>
                </c:pt>
                <c:pt idx="60">
                  <c:v>1.7886435331230285E-2</c:v>
                </c:pt>
                <c:pt idx="61">
                  <c:v>2.9827160493827162E-2</c:v>
                </c:pt>
                <c:pt idx="62">
                  <c:v>0.21857142857142858</c:v>
                </c:pt>
                <c:pt idx="63">
                  <c:v>1.6061776061776063E-2</c:v>
                </c:pt>
                <c:pt idx="64">
                  <c:v>2.8860353130016052E-2</c:v>
                </c:pt>
                <c:pt idx="65">
                  <c:v>3.0179372197309418E-2</c:v>
                </c:pt>
                <c:pt idx="66">
                  <c:v>2.9706666666666669E-2</c:v>
                </c:pt>
                <c:pt idx="67">
                  <c:v>2.9605633802816902E-2</c:v>
                </c:pt>
                <c:pt idx="68">
                  <c:v>2.9812949640287769E-2</c:v>
                </c:pt>
                <c:pt idx="69">
                  <c:v>4.3896103896103891E-2</c:v>
                </c:pt>
                <c:pt idx="70">
                  <c:v>2.4290948568326774E-2</c:v>
                </c:pt>
                <c:pt idx="71">
                  <c:v>2.9984524116584987E-2</c:v>
                </c:pt>
                <c:pt idx="72">
                  <c:v>1.416988416988417E-2</c:v>
                </c:pt>
                <c:pt idx="73">
                  <c:v>2.9593495934959347E-2</c:v>
                </c:pt>
                <c:pt idx="74">
                  <c:v>2.9484536082474228E-2</c:v>
                </c:pt>
                <c:pt idx="75">
                  <c:v>2.9546218487394957E-2</c:v>
                </c:pt>
                <c:pt idx="76">
                  <c:v>3.0243902439024393E-2</c:v>
                </c:pt>
                <c:pt idx="77">
                  <c:v>1.04E-2</c:v>
                </c:pt>
                <c:pt idx="78">
                  <c:v>2.6423379769836462E-2</c:v>
                </c:pt>
                <c:pt idx="79">
                  <c:v>0</c:v>
                </c:pt>
                <c:pt idx="80">
                  <c:v>3.010570824524313E-2</c:v>
                </c:pt>
                <c:pt idx="81">
                  <c:v>2.5598219254312743E-2</c:v>
                </c:pt>
                <c:pt idx="82">
                  <c:v>4.5161290322580648E-4</c:v>
                </c:pt>
                <c:pt idx="83">
                  <c:v>2.8883473237656828E-2</c:v>
                </c:pt>
                <c:pt idx="84">
                  <c:v>3.0472440944881891E-2</c:v>
                </c:pt>
                <c:pt idx="85">
                  <c:v>1.1482758620689655E-2</c:v>
                </c:pt>
                <c:pt idx="86">
                  <c:v>2.9875930521091811E-2</c:v>
                </c:pt>
                <c:pt idx="87">
                  <c:v>1.1464285714285713E-2</c:v>
                </c:pt>
                <c:pt idx="88">
                  <c:v>2.3620232745708028E-2</c:v>
                </c:pt>
                <c:pt idx="89">
                  <c:v>1.495711835334477E-2</c:v>
                </c:pt>
                <c:pt idx="90">
                  <c:v>0</c:v>
                </c:pt>
                <c:pt idx="91">
                  <c:v>0.01</c:v>
                </c:pt>
                <c:pt idx="92">
                  <c:v>4.2147239263803683E-2</c:v>
                </c:pt>
                <c:pt idx="93">
                  <c:v>4.0196078431372552E-2</c:v>
                </c:pt>
                <c:pt idx="94">
                  <c:v>5.3000453293350529E-3</c:v>
                </c:pt>
                <c:pt idx="95">
                  <c:v>2.2580645161290324E-4</c:v>
                </c:pt>
                <c:pt idx="96">
                  <c:v>2.4512474125721755E-2</c:v>
                </c:pt>
                <c:pt idx="97">
                  <c:v>3.0000000000000001E-3</c:v>
                </c:pt>
                <c:pt idx="98">
                  <c:v>1.3470919324577861E-2</c:v>
                </c:pt>
                <c:pt idx="99">
                  <c:v>0</c:v>
                </c:pt>
                <c:pt idx="100">
                  <c:v>2.904920141494265E-2</c:v>
                </c:pt>
                <c:pt idx="101">
                  <c:v>0</c:v>
                </c:pt>
                <c:pt idx="102">
                  <c:v>1.5520896426408234E-2</c:v>
                </c:pt>
                <c:pt idx="103">
                  <c:v>5.3000453293350529E-3</c:v>
                </c:pt>
                <c:pt idx="104">
                  <c:v>5.3000453293350529E-3</c:v>
                </c:pt>
                <c:pt idx="105">
                  <c:v>0</c:v>
                </c:pt>
                <c:pt idx="106">
                  <c:v>2.4480255874031243E-2</c:v>
                </c:pt>
                <c:pt idx="107">
                  <c:v>0</c:v>
                </c:pt>
                <c:pt idx="108">
                  <c:v>1.6777426734938445E-2</c:v>
                </c:pt>
                <c:pt idx="109">
                  <c:v>0</c:v>
                </c:pt>
                <c:pt idx="110">
                  <c:v>2.7320261437908496E-2</c:v>
                </c:pt>
                <c:pt idx="111">
                  <c:v>0</c:v>
                </c:pt>
                <c:pt idx="112">
                  <c:v>0</c:v>
                </c:pt>
                <c:pt idx="113">
                  <c:v>1.206140350877193E-3</c:v>
                </c:pt>
                <c:pt idx="114">
                  <c:v>5.1612903225806454E-4</c:v>
                </c:pt>
                <c:pt idx="115">
                  <c:v>1.7105263157894738E-3</c:v>
                </c:pt>
                <c:pt idx="116">
                  <c:v>1.9956140350877193E-3</c:v>
                </c:pt>
                <c:pt idx="117">
                  <c:v>0</c:v>
                </c:pt>
                <c:pt idx="118">
                  <c:v>1.2121212121212121E-3</c:v>
                </c:pt>
                <c:pt idx="119">
                  <c:v>1.6969696969696972E-3</c:v>
                </c:pt>
                <c:pt idx="120">
                  <c:v>2E-3</c:v>
                </c:pt>
                <c:pt idx="121">
                  <c:v>0</c:v>
                </c:pt>
                <c:pt idx="122">
                  <c:v>1.1827956989247312E-3</c:v>
                </c:pt>
                <c:pt idx="123">
                  <c:v>1.6845878136200717E-3</c:v>
                </c:pt>
                <c:pt idx="124">
                  <c:v>4.8780487804878049E-3</c:v>
                </c:pt>
                <c:pt idx="125">
                  <c:v>2.007168458781362E-3</c:v>
                </c:pt>
                <c:pt idx="126">
                  <c:v>3.6111111111111114E-3</c:v>
                </c:pt>
                <c:pt idx="127">
                  <c:v>1.1020408163265308E-3</c:v>
                </c:pt>
                <c:pt idx="128">
                  <c:v>1.014799154334038E-3</c:v>
                </c:pt>
                <c:pt idx="129">
                  <c:v>1.014799154334038E-3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2.395604395604396E-3</c:v>
                </c:pt>
                <c:pt idx="135">
                  <c:v>2.7050359712230214E-3</c:v>
                </c:pt>
                <c:pt idx="136">
                  <c:v>1.9622641509433963E-2</c:v>
                </c:pt>
                <c:pt idx="137">
                  <c:v>1.8806509945750454E-3</c:v>
                </c:pt>
                <c:pt idx="138">
                  <c:v>3.6749999999999998E-2</c:v>
                </c:pt>
                <c:pt idx="139">
                  <c:v>0.11241228070175438</c:v>
                </c:pt>
                <c:pt idx="1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7E-4B56-9AFE-7C3B575A5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1961607"/>
        <c:axId val="1431965191"/>
      </c:scatterChart>
      <c:valAx>
        <c:axId val="1431961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Protein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65191"/>
        <c:crosses val="autoZero"/>
        <c:crossBetween val="midCat"/>
      </c:valAx>
      <c:valAx>
        <c:axId val="1431965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Protein per Gram of Serving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61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[Indian_Menu Excel Analysis.xlsx]Sheet1!PivotTable1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Health Tier distribution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AB-4897-AD05-BA9D72704A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AB-4897-AD05-BA9D72704A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3AB-4897-AD05-BA9D72704A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Sheet1!$A$4:$A$7</c:f>
              <c:strCache>
                <c:ptCount val="3"/>
                <c:pt idx="0">
                  <c:v>Balanced</c:v>
                </c:pt>
                <c:pt idx="1">
                  <c:v>High-Risk</c:v>
                </c:pt>
                <c:pt idx="2">
                  <c:v>Premium Health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32</c:v>
                </c:pt>
                <c:pt idx="1">
                  <c:v>89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D-43E2-85D1-787F23CE0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[Indian_Menu Excel Analysis.xlsx]Sheet2!PivotTable2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Menu Category vs Average Protein per serving</a:t>
            </a:r>
          </a:p>
        </c:rich>
      </c:tx>
      <c:layout>
        <c:manualLayout>
          <c:xMode val="edge"/>
          <c:yMode val="edge"/>
          <c:x val="0.25623127162771914"/>
          <c:y val="2.13903743315508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Sheet2!$A$4:$A$11</c:f>
              <c:strCache>
                <c:ptCount val="7"/>
                <c:pt idx="0">
                  <c:v>Beverages Menu</c:v>
                </c:pt>
                <c:pt idx="1">
                  <c:v>Breakfast Menu</c:v>
                </c:pt>
                <c:pt idx="2">
                  <c:v>Condiments Menu</c:v>
                </c:pt>
                <c:pt idx="3">
                  <c:v>Desserts Menu</c:v>
                </c:pt>
                <c:pt idx="4">
                  <c:v>Gourmet Menu</c:v>
                </c:pt>
                <c:pt idx="5">
                  <c:v>McCafe Menu</c:v>
                </c:pt>
                <c:pt idx="6">
                  <c:v>Regular Menu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9.3530211694147999E-4</c:v>
                </c:pt>
                <c:pt idx="1">
                  <c:v>5.9506956845304271E-2</c:v>
                </c:pt>
                <c:pt idx="2">
                  <c:v>4.5014726631393304E-2</c:v>
                </c:pt>
                <c:pt idx="3">
                  <c:v>2.3955590657017401E-2</c:v>
                </c:pt>
                <c:pt idx="4">
                  <c:v>9.8605507802901921E-2</c:v>
                </c:pt>
                <c:pt idx="5">
                  <c:v>1.7992888580082848E-2</c:v>
                </c:pt>
                <c:pt idx="6">
                  <c:v>8.7106669667558104E-2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8-4052-AAF1-910F6D1C8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98530824"/>
        <c:axId val="1098540040"/>
      </c:barChart>
      <c:catAx>
        <c:axId val="10985308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Menu Categories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540040"/>
        <c:crosses val="autoZero"/>
        <c:auto val="1"/>
        <c:lblAlgn val="ctr"/>
        <c:lblOffset val="100"/>
        <c:noMultiLvlLbl val="0"/>
      </c:catAx>
      <c:valAx>
        <c:axId val="1098540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of Protein to Weight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530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2</xdr:row>
      <xdr:rowOff>0</xdr:rowOff>
    </xdr:from>
    <xdr:to>
      <xdr:col>12</xdr:col>
      <xdr:colOff>314325</xdr:colOff>
      <xdr:row>16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6F3B94-4C69-06DA-8F15-FC84D34C59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9525</xdr:rowOff>
    </xdr:from>
    <xdr:to>
      <xdr:col>16</xdr:col>
      <xdr:colOff>38100</xdr:colOff>
      <xdr:row>34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536094-47B2-4A9D-8DB2-8F1F11A6F6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180975</xdr:rowOff>
    </xdr:from>
    <xdr:to>
      <xdr:col>8</xdr:col>
      <xdr:colOff>485775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F06B1D-156A-762F-AEE0-FAF1A33795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0</xdr:row>
      <xdr:rowOff>47625</xdr:rowOff>
    </xdr:from>
    <xdr:to>
      <xdr:col>14</xdr:col>
      <xdr:colOff>180975</xdr:colOff>
      <xdr:row>18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CE5626-82D7-D61E-5168-7D0AFD418A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4.473295254633" createdVersion="8" refreshedVersion="8" minRefreshableVersion="3" recordCount="141" xr:uid="{22F202C0-6FE1-4923-A53B-458DD7D9AE6D}">
  <cacheSource type="worksheet">
    <worksheetSource name="Table2"/>
  </cacheSource>
  <cacheFields count="17">
    <cacheField name="Menu Category" numFmtId="0">
      <sharedItems count="7">
        <s v="Beverages Menu"/>
        <s v="Breakfast Menu"/>
        <s v="McCafe Menu"/>
        <s v="Regular Menu"/>
        <s v="Condiments Menu"/>
        <s v="Gourmet Menu"/>
        <s v="Desserts Menu"/>
      </sharedItems>
    </cacheField>
    <cacheField name="Menu Items" numFmtId="0">
      <sharedItems count="141">
        <s v="Vedica Natural Mineral Water"/>
        <s v="Sausage Mc Muffin with egg"/>
        <s v="Strawberry Green Tea (L)"/>
        <s v="Strawberry Green Tea (R)"/>
        <s v="Strawberry Green Tea (S)"/>
        <s v="McSpicy Fried Chicken 1 pc"/>
        <s v="Cheese Slice"/>
        <s v="Piri piri Mc Spicy Chicken Burger"/>
        <s v="2 piece Chicken Strips"/>
        <s v="English Breakfast (S)"/>
        <s v="English Breakfast (R)"/>
        <s v="4 piece Chicken McNuggets"/>
        <s v="English Breakfast (L)"/>
        <s v="3 piece Chicken Strips"/>
        <s v="6 piece Chicken McNuggets"/>
        <s v="Moroccon Mint Green Tea (R)"/>
        <s v="Moroccon Mint Green Tea (L)"/>
        <s v="Moroccon Mint Green Tea (S)"/>
        <s v="9 piece Chicken McNuggets"/>
        <s v="Sausage Mc Muffin"/>
        <s v="5 piece Chicken Strips"/>
        <s v="Cappuccino (S)"/>
        <s v="Latte (S)"/>
        <s v="Flat White (S)"/>
        <s v="Cappuccino (R)"/>
        <s v="Latte (R)"/>
        <s v="Flat White (R)"/>
        <s v="Cappuccino (L)"/>
        <s v="Latte (L)"/>
        <s v="Flat White (L)"/>
        <s v="Espresso Machiato"/>
        <s v="Egg McMuffin"/>
        <s v="Chunky Chipotle American Burger Chicken"/>
        <s v="Americano (L)"/>
        <s v="Americano (R)"/>
        <s v="Espresso"/>
        <s v="Americano (S)"/>
        <s v="Mc Egg Burger for Happy Meal"/>
        <s v="American Triple Cheese Chicken"/>
        <s v="FILLET-O-FISH Burger"/>
        <s v="Mc Spicy Chicken Burger"/>
        <s v="Mocha (S)"/>
        <s v="Mc Egg Masala Burger"/>
        <s v="Mocha (R)"/>
        <s v="McSpicy Premium Chicken Burger"/>
        <s v="American Chicken Burger"/>
        <s v="Mocha (L)"/>
        <s v="Spicy Egg McMuffin"/>
        <s v="Sweet Corn"/>
        <s v="Mc chicken Burger"/>
        <s v="Chicken Maharaja Mac"/>
        <s v="Spicy Chicken Wrap"/>
        <s v="Cheesy Veg Nuggets (6pc)"/>
        <s v="Double Cheese McMuffin"/>
        <s v="Premium Dark Hot Chocolate"/>
        <s v="L1 Coffee with milk"/>
        <s v="Cheesy Veg Nuggets (9pc)"/>
        <s v="Hot Chocolate (S)"/>
        <s v="Double Dark Hot Chocolate"/>
        <s v="Babycino"/>
        <s v="Hot Chocolate (L)"/>
        <s v="Piri Piri Mix"/>
        <s v="American Triple Cheese Veg"/>
        <s v="Veg McMuffin"/>
        <s v="Hot Chocolate (R)"/>
        <s v="Iced Americano"/>
        <s v="Soft serve cone"/>
        <s v="Iced Coffee"/>
        <s v="McSpicy Premium Veg Burger"/>
        <s v="Green Chilli Kebab naan"/>
        <s v="McSpicyâ„¢ Paneer Burger"/>
        <s v="Spicy Paneer Wrap"/>
        <s v="Pizza Puff"/>
        <s v="McAloo Tikki BurgerÂ®"/>
        <s v="American Veg Burger"/>
        <s v="Chicken Kebab Burger"/>
        <s v="McVeggieâ„¢ Burger"/>
        <s v="Regular Soft Serve: Hot Fudge"/>
        <s v="Small McFlurry - Oreo"/>
        <s v="Medium Soft Serve: Hot Fudge"/>
        <s v="Green Chilli Aloo Naan"/>
        <s v="McSwirl ChocoDip"/>
        <s v="Regular Wedges"/>
        <s v="Regular McFlurry - Oreo"/>
        <s v="Chicken Cheese Lava Burger"/>
        <s v="Regular Soft Serve: Strawberry"/>
        <s v="Regular Soft Serve: Brownie with Hot Fudge"/>
        <s v="Medium Wedges"/>
        <s v="Veg Maharaja Mac"/>
        <s v="Hot Cake with maple syrup"/>
        <s v="Chocolate Shake"/>
        <s v="Regular Fries"/>
        <s v="Medium Soft Serve: Brownie with Hot Fudge"/>
        <s v="Ghee Rice with Mc Spicy Fried Chicken 1 pc"/>
        <s v="Mixed Berry Smoothie"/>
        <s v="Cold Coffee Frappe"/>
        <s v="Mango Smoothie"/>
        <s v="Strawberry Shake"/>
        <s v="Medium Fries"/>
        <s v="Large Wedges"/>
        <s v="Medium Soft Serve: Strawberry"/>
        <s v="Regular Blackforest"/>
        <s v="American Mud Pie Shake"/>
        <s v="Large Fries"/>
        <s v="Double Chocochips Muffin"/>
        <s v="Mocha Frappe"/>
        <s v="Piri piri Mc Spicy Veg Burger"/>
        <s v="Vanilla Chocochips Muffin"/>
        <s v="Hash Brown"/>
        <s v="Cheese Lava Burger"/>
        <s v="Medium Blackforest"/>
        <s v="Coke Float"/>
        <s v="Sprite Float"/>
        <s v="Fanta Float"/>
        <s v="Chocolate Oreo Frappe"/>
        <s v="Mixed Fruit Beverage"/>
        <s v="Tomato Ketchup Sachets"/>
        <s v="Mustard diping sauce"/>
        <s v="BBQ diping sauce"/>
        <s v="Chilli Sauce"/>
        <s v="Green Apple Ice Tea"/>
        <s v="Strawberry Ice Tea"/>
        <s v="Lemon Ice Tea"/>
        <s v="Mix Berry Cooler"/>
        <s v="Raw Mango Cooler"/>
        <s v="L1 Coffee"/>
        <s v="Small Sprite"/>
        <s v="Medium Sprite"/>
        <s v="Large Sprite"/>
        <s v="Sweet Lime Beverage"/>
        <s v="Maple Syrup"/>
        <s v="Small Coca-Cola"/>
        <s v="Coke Zero Can"/>
        <s v="Small Thums-up"/>
        <s v="Medium Coca-Cola"/>
        <s v="Medium Thums-up"/>
        <s v="Large Coca-Cola"/>
        <s v="Large Thums-up"/>
        <s v="Small Fanta Oragne"/>
        <s v="Medium Fanta Orange"/>
        <s v="Large Fanta Oragne"/>
      </sharedItems>
    </cacheField>
    <cacheField name="Per Serve Size" numFmtId="2">
      <sharedItems containsSemiMixedTypes="0" containsString="0" containsNumber="1" minValue="5" maxValue="544"/>
    </cacheField>
    <cacheField name="Energy (kCal)" numFmtId="0">
      <sharedItems containsSemiMixedTypes="0" containsString="0" containsNumber="1" minValue="0" maxValue="834.36"/>
    </cacheField>
    <cacheField name="Protein (g)" numFmtId="0">
      <sharedItems containsSemiMixedTypes="0" containsString="0" containsNumber="1" minValue="0" maxValue="39.47"/>
    </cacheField>
    <cacheField name="Protein-to-Weight Ratio" numFmtId="0">
      <sharedItems containsSemiMixedTypes="0" containsString="0" containsNumber="1" minValue="0" maxValue="0.21857142857142858" count="120">
        <n v="0"/>
        <n v="0.14305732484076433"/>
        <n v="1.7105263157894738E-3"/>
        <n v="1.6969696969696972E-3"/>
        <n v="1.6845878136200717E-3"/>
        <n v="0.15069565217391304"/>
        <n v="0.21857142857142858"/>
        <n v="0.11241228070175438"/>
        <n v="0.1753448275862069"/>
        <n v="2.007168458781362E-3"/>
        <n v="2E-3"/>
        <n v="0.15671874999999999"/>
        <n v="1.9956140350877193E-3"/>
        <n v="0.17540229885057471"/>
        <n v="0.15666666666666665"/>
        <n v="1.2121212121212121E-3"/>
        <n v="1.206140350877193E-3"/>
        <n v="1.1827956989247312E-3"/>
        <n v="0.14508928571428573"/>
        <n v="0.17537931034482759"/>
        <n v="2.9875930521091811E-2"/>
        <n v="3.010570824524313E-2"/>
        <n v="3.0243902439024393E-2"/>
        <n v="2.9546218487394957E-2"/>
        <n v="2.9593495934959347E-2"/>
        <n v="2.9812949640287769E-2"/>
        <n v="2.9605633802816902E-2"/>
        <n v="2.9706666666666669E-2"/>
        <n v="2.9827160493827162E-2"/>
        <n v="2.7320261437908496E-2"/>
        <n v="0.12544642857142857"/>
        <n v="0.13112956810631229"/>
        <n v="2.395604395604396E-3"/>
        <n v="2.7050359712230214E-3"/>
        <n v="1.9622641509433963E-2"/>
        <n v="1.8806509945750454E-3"/>
        <n v="9.9918699186991866E-2"/>
        <n v="0.12528205128205128"/>
        <n v="0.11352941176470588"/>
        <n v="0.11537634408602152"/>
        <n v="2.9484536082474228E-2"/>
        <n v="9.8652931854199669E-2"/>
        <n v="2.8860353130016052E-2"/>
        <n v="0.11905482041587902"/>
        <n v="0.12296969696969696"/>
        <n v="2.8859416445623343E-2"/>
        <n v="9.3262987012987006E-2"/>
        <n v="3.6749999999999998E-2"/>
        <n v="9.0520231213872829E-2"/>
        <n v="0.11486486486486487"/>
        <n v="9.2373540856031125E-2"/>
        <n v="9.4222222222222221E-2"/>
        <n v="9.5799999999999996E-2"/>
        <n v="4.0196078431372552E-2"/>
        <n v="4.8780487804878049E-3"/>
        <n v="3.0179372197309418E-2"/>
        <n v="4.2147239263803683E-2"/>
        <n v="3.0472440944881891E-2"/>
        <n v="0.03"/>
        <n v="0.10200000000000001"/>
        <n v="9.4396135265700482E-2"/>
        <n v="8.5882352941176479E-2"/>
        <n v="2.9729729729729731E-2"/>
        <n v="1.3470919324577861E-2"/>
        <n v="2.4480255874031243E-2"/>
        <n v="1.495711835334477E-2"/>
        <n v="0.1056"/>
        <n v="4.1086956521739132E-2"/>
        <n v="0.10195979899497487"/>
        <n v="8.3839999999999998E-2"/>
        <n v="6.2643678160919536E-2"/>
        <n v="5.8219178082191778E-2"/>
        <n v="8.6440677966101692E-2"/>
        <n v="6.2608695652173918E-2"/>
        <n v="6.0952380952380952E-2"/>
        <n v="2.4512474125721755E-2"/>
        <n v="2.3620232745708028E-2"/>
        <n v="2.6423379769836462E-2"/>
        <n v="5.9924242424242428E-2"/>
        <n v="2.904920141494265E-2"/>
        <n v="3.4824561403508772E-2"/>
        <n v="2.4290948568326774E-2"/>
        <n v="8.9153094462540716E-2"/>
        <n v="1.6777426734938445E-2"/>
        <n v="2.8883473237656828E-2"/>
        <n v="3.4871794871794877E-2"/>
        <n v="7.8986928104575166E-2"/>
        <n v="6.0563380281690136E-2"/>
        <n v="1.6061776061776063E-2"/>
        <n v="4.3896103896103891E-2"/>
        <n v="2.9984524116584987E-2"/>
        <n v="8.2799999999999999E-2"/>
        <n v="1.1482758620689655E-2"/>
        <n v="1.679595278246206E-2"/>
        <n v="1.1464285714285713E-2"/>
        <n v="1.416988416988417E-2"/>
        <n v="4.3944954128440364E-2"/>
        <n v="3.4861111111111114E-2"/>
        <n v="1.5520896426408234E-2"/>
        <n v="2.5598219254312743E-2"/>
        <n v="1.7886435331230285E-2"/>
        <n v="6.4125000000000001E-2"/>
        <n v="1.7129485179407176E-2"/>
        <n v="5.6729857819905215E-2"/>
        <n v="5.6000000000000008E-2"/>
        <n v="3.0156249999999999E-2"/>
        <n v="6.2458333333333331E-2"/>
        <n v="2.7089164334266291E-2"/>
        <n v="5.3000453293350529E-3"/>
        <n v="1.8053892215568863E-2"/>
        <n v="3.6111111111111114E-3"/>
        <n v="0.01"/>
        <n v="2.0799999999999999E-2"/>
        <n v="1.04E-2"/>
        <n v="3.0000000000000001E-3"/>
        <n v="1.014799154334038E-3"/>
        <n v="1.1020408163265308E-3"/>
        <n v="5.1612903225806454E-4"/>
        <n v="4.5161290322580648E-4"/>
        <n v="2.2580645161290324E-4"/>
      </sharedItems>
    </cacheField>
    <cacheField name="Total fat (g)" numFmtId="0">
      <sharedItems containsSemiMixedTypes="0" containsString="0" containsNumber="1" minValue="0" maxValue="45.18"/>
    </cacheField>
    <cacheField name="Sat Fat (g)" numFmtId="0">
      <sharedItems containsSemiMixedTypes="0" containsString="0" containsNumber="1" minValue="0" maxValue="20.46"/>
    </cacheField>
    <cacheField name="Trans fat (g)" numFmtId="0">
      <sharedItems containsSemiMixedTypes="0" containsString="0" containsNumber="1" minValue="0" maxValue="75.260000000000005"/>
    </cacheField>
    <cacheField name="Cholesterols (mg)" numFmtId="0">
      <sharedItems containsSemiMixedTypes="0" containsString="0" containsNumber="1" minValue="0" maxValue="302.61"/>
    </cacheField>
    <cacheField name="Total carbohydrate (g)" numFmtId="0">
      <sharedItems containsSemiMixedTypes="0" containsString="0" containsNumber="1" minValue="0" maxValue="93.84"/>
    </cacheField>
    <cacheField name="Total Sugars (g)" numFmtId="0">
      <sharedItems containsSemiMixedTypes="0" containsString="0" containsNumber="1" minValue="0" maxValue="64.22"/>
    </cacheField>
    <cacheField name="Added Sugars (g)" numFmtId="0">
      <sharedItems containsSemiMixedTypes="0" containsString="0" containsNumber="1" minValue="0" maxValue="64.22"/>
    </cacheField>
    <cacheField name="Sodium (mg)" numFmtId="0">
      <sharedItems containsString="0" containsBlank="1" containsNumber="1" minValue="0" maxValue="2399.4899999999998"/>
    </cacheField>
    <cacheField name="Sodium Z-Score" numFmtId="0">
      <sharedItems containsSemiMixedTypes="0" containsString="0" containsNumber="1" minValue="-0.76520366946020679" maxValue="4.3059932138984651"/>
    </cacheField>
    <cacheField name="Nutrient-Density Index (NDI" numFmtId="0">
      <sharedItems containsMixedTypes="1" containsNumber="1" minValue="-0.11015999999999999" maxValue="6.9295871606638659"/>
    </cacheField>
    <cacheField name="Strategic Health Tier" numFmtId="0">
      <sharedItems count="4">
        <e v="#DIV/0!"/>
        <s v="Premium Health"/>
        <s v="Balanced"/>
        <s v="High-Ris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">
  <r>
    <x v="0"/>
    <x v="0"/>
    <n v="500"/>
    <n v="0"/>
    <n v="0"/>
    <x v="0"/>
    <n v="0"/>
    <n v="0"/>
    <n v="0"/>
    <n v="0"/>
    <n v="0"/>
    <n v="0"/>
    <n v="0"/>
    <n v="2.9"/>
    <n v="-0.75907467081393609"/>
    <e v="#DIV/0!"/>
    <x v="0"/>
  </r>
  <r>
    <x v="1"/>
    <x v="1"/>
    <n v="157"/>
    <n v="290.42"/>
    <n v="22.46"/>
    <x v="1"/>
    <n v="15.94"/>
    <n v="8.08"/>
    <n v="0.22"/>
    <n v="264.8"/>
    <n v="28.87"/>
    <n v="2.61"/>
    <n v="0.75"/>
    <n v="804.04"/>
    <n v="0.93409290693548852"/>
    <n v="6.9295871606638659"/>
    <x v="1"/>
  </r>
  <r>
    <x v="2"/>
    <x v="2"/>
    <n v="456"/>
    <n v="11.49"/>
    <n v="0.78"/>
    <x v="2"/>
    <n v="0.46"/>
    <n v="0.46"/>
    <n v="0.46"/>
    <n v="4.5599999999999996"/>
    <n v="4.5599999999999996"/>
    <n v="2.2799999999999998"/>
    <n v="0"/>
    <n v="23.76"/>
    <n v="-0.71498814951696799"/>
    <n v="6.7647517493472593"/>
    <x v="1"/>
  </r>
  <r>
    <x v="2"/>
    <x v="3"/>
    <n v="330"/>
    <n v="8.32"/>
    <n v="0.56000000000000005"/>
    <x v="3"/>
    <n v="0.33"/>
    <n v="0.33"/>
    <n v="0.33"/>
    <n v="3.3"/>
    <n v="3.3"/>
    <n v="1.65"/>
    <n v="0"/>
    <n v="17.190000000000001"/>
    <n v="-0.72887350162248477"/>
    <n v="6.7135792307692315"/>
    <x v="1"/>
  </r>
  <r>
    <x v="2"/>
    <x v="4"/>
    <n v="279"/>
    <n v="7.03"/>
    <n v="0.47"/>
    <x v="4"/>
    <n v="0.28000000000000003"/>
    <n v="0.28000000000000003"/>
    <n v="0.28000000000000003"/>
    <n v="2.79"/>
    <n v="2.79"/>
    <n v="1.4"/>
    <n v="0"/>
    <n v="14.54"/>
    <n v="-0.73447413831649078"/>
    <n v="6.6710930014224736"/>
    <x v="1"/>
  </r>
  <r>
    <x v="3"/>
    <x v="5"/>
    <n v="115"/>
    <n v="248.76"/>
    <n v="17.329999999999998"/>
    <x v="5"/>
    <n v="14.29"/>
    <n v="2.82"/>
    <n v="0.06"/>
    <n v="31.11"/>
    <n v="12.7"/>
    <n v="0.57999999999999996"/>
    <n v="0"/>
    <n v="873.89"/>
    <n v="1.0817172363982508"/>
    <n v="6.0926641083775523"/>
    <x v="1"/>
  </r>
  <r>
    <x v="4"/>
    <x v="6"/>
    <n v="14"/>
    <n v="51.03"/>
    <n v="3.06"/>
    <x v="6"/>
    <n v="3.99"/>
    <n v="2.89"/>
    <n v="0.01"/>
    <n v="13.43"/>
    <n v="0.72"/>
    <n v="0.54"/>
    <n v="0"/>
    <n v="178.95"/>
    <n v="-0.38700218402912168"/>
    <n v="5.8175226631393286"/>
    <x v="1"/>
  </r>
  <r>
    <x v="5"/>
    <x v="7"/>
    <n v="228"/>
    <n v="443.4"/>
    <n v="25.63"/>
    <x v="7"/>
    <n v="17.3"/>
    <n v="4.01"/>
    <n v="0.19"/>
    <n v="64.19"/>
    <n v="43.29"/>
    <n v="9.2899999999999991"/>
    <n v="6.32"/>
    <m/>
    <n v="-0.76520366946020679"/>
    <n v="5.7803337843933242"/>
    <x v="1"/>
  </r>
  <r>
    <x v="3"/>
    <x v="8"/>
    <n v="58"/>
    <n v="164.44"/>
    <n v="10.17"/>
    <x v="8"/>
    <n v="12.38"/>
    <n v="11.41"/>
    <n v="0.06"/>
    <n v="30.1"/>
    <n v="2.68"/>
    <n v="0.28999999999999998"/>
    <n v="0"/>
    <n v="477.22"/>
    <n v="0.24337589397886814"/>
    <n v="5.7074066115300415"/>
    <x v="1"/>
  </r>
  <r>
    <x v="2"/>
    <x v="9"/>
    <n v="279"/>
    <n v="9.93"/>
    <n v="0.56000000000000005"/>
    <x v="9"/>
    <n v="0.28000000000000003"/>
    <n v="0.28000000000000003"/>
    <n v="0.28000000000000003"/>
    <n v="2.79"/>
    <n v="0.28000000000000003"/>
    <n v="1.4"/>
    <n v="0"/>
    <n v="13.84"/>
    <n v="-0.73595355178283206"/>
    <n v="5.625636334340383"/>
    <x v="1"/>
  </r>
  <r>
    <x v="2"/>
    <x v="10"/>
    <n v="330"/>
    <n v="11.75"/>
    <n v="0.66"/>
    <x v="10"/>
    <n v="0.33"/>
    <n v="0.33"/>
    <n v="0.33"/>
    <n v="3.3"/>
    <n v="0.33"/>
    <n v="1.65"/>
    <n v="0"/>
    <n v="16.37"/>
    <n v="-0.73060652882591304"/>
    <n v="5.6006512765957446"/>
    <x v="1"/>
  </r>
  <r>
    <x v="3"/>
    <x v="11"/>
    <n v="64"/>
    <n v="169.68"/>
    <n v="10.029999999999999"/>
    <x v="11"/>
    <n v="9.5399999999999991"/>
    <n v="4.45"/>
    <n v="0.06"/>
    <n v="24.66"/>
    <n v="10.5"/>
    <n v="0.32"/>
    <n v="0"/>
    <n v="313.25"/>
    <n v="-0.10316614327251517"/>
    <n v="5.5978768269684105"/>
    <x v="1"/>
  </r>
  <r>
    <x v="2"/>
    <x v="12"/>
    <n v="456"/>
    <n v="16.23"/>
    <n v="0.91"/>
    <x v="12"/>
    <n v="0.46"/>
    <n v="0.46"/>
    <n v="0.46"/>
    <n v="4.5599999999999996"/>
    <n v="0.46"/>
    <n v="2.2799999999999998"/>
    <n v="0"/>
    <n v="22.62"/>
    <n v="-0.71739748001929515"/>
    <n v="5.5842808009858285"/>
    <x v="1"/>
  </r>
  <r>
    <x v="3"/>
    <x v="13"/>
    <n v="87"/>
    <n v="246.65"/>
    <n v="15.26"/>
    <x v="13"/>
    <n v="18.57"/>
    <n v="17.12"/>
    <n v="0.09"/>
    <n v="45.15"/>
    <n v="4.0199999999999996"/>
    <n v="0.44"/>
    <n v="0"/>
    <n v="715.83"/>
    <n v="0.74766567569840559"/>
    <n v="5.4710745205757139"/>
    <x v="1"/>
  </r>
  <r>
    <x v="3"/>
    <x v="14"/>
    <n v="96"/>
    <n v="254.52"/>
    <n v="15.04"/>
    <x v="14"/>
    <n v="14.3"/>
    <n v="6.68"/>
    <n v="0.1"/>
    <n v="36.99"/>
    <n v="15.74"/>
    <n v="0.48"/>
    <n v="0"/>
    <n v="469.87"/>
    <n v="0.22784205258228538"/>
    <n v="5.4392923448059083"/>
    <x v="1"/>
  </r>
  <r>
    <x v="2"/>
    <x v="15"/>
    <n v="330"/>
    <n v="7.39"/>
    <n v="0.4"/>
    <x v="15"/>
    <n v="0.33"/>
    <n v="0.33"/>
    <n v="0.33"/>
    <n v="3.3"/>
    <n v="3.3"/>
    <n v="1.65"/>
    <n v="0"/>
    <n v="17.690000000000001"/>
    <n v="-0.72781677771795539"/>
    <n v="5.3950298917456028"/>
    <x v="1"/>
  </r>
  <r>
    <x v="2"/>
    <x v="16"/>
    <n v="456"/>
    <n v="10.210000000000001"/>
    <n v="0.55000000000000004"/>
    <x v="16"/>
    <n v="0.46"/>
    <n v="0.46"/>
    <n v="0.46"/>
    <n v="4.5599999999999996"/>
    <n v="4.5599999999999996"/>
    <n v="2.2799999999999998"/>
    <n v="0"/>
    <n v="24.44"/>
    <n v="-0.71355100500680801"/>
    <n v="5.3624356121449557"/>
    <x v="1"/>
  </r>
  <r>
    <x v="2"/>
    <x v="17"/>
    <n v="279"/>
    <n v="6.25"/>
    <n v="0.33"/>
    <x v="17"/>
    <n v="0.28000000000000003"/>
    <n v="0.28000000000000003"/>
    <n v="0.28000000000000003"/>
    <n v="2.79"/>
    <n v="2.79"/>
    <n v="1.4"/>
    <n v="0"/>
    <n v="14.95"/>
    <n v="-0.7336076247147767"/>
    <n v="5.2650500000000005"/>
    <x v="1"/>
  </r>
  <r>
    <x v="3"/>
    <x v="18"/>
    <n v="144"/>
    <n v="381.77"/>
    <n v="22.56"/>
    <x v="14"/>
    <n v="21.46"/>
    <n v="10.02"/>
    <n v="0.14000000000000001"/>
    <n v="55.48"/>
    <n v="23.62"/>
    <n v="0.72"/>
    <n v="0"/>
    <n v="704.81"/>
    <n v="0.72437548084257664"/>
    <n v="5.2045071281137858"/>
    <x v="1"/>
  </r>
  <r>
    <x v="1"/>
    <x v="19"/>
    <n v="112"/>
    <n v="281.44"/>
    <n v="16.25"/>
    <x v="18"/>
    <n v="10.81"/>
    <n v="6.04"/>
    <n v="0.17"/>
    <n v="53.02"/>
    <n v="28.62"/>
    <n v="2.38"/>
    <n v="0.75"/>
    <n v="742.6"/>
    <n v="0.80424267354691159"/>
    <n v="5.0312772029562245"/>
    <x v="1"/>
  </r>
  <r>
    <x v="3"/>
    <x v="20"/>
    <n v="145"/>
    <n v="411.09"/>
    <n v="25.43"/>
    <x v="19"/>
    <n v="28.54"/>
    <n v="0.15"/>
    <n v="75.260000000000005"/>
    <n v="6.7"/>
    <n v="0.73"/>
    <n v="0.72"/>
    <n v="0"/>
    <n v="1193.05"/>
    <n v="1.7562452391374803"/>
    <n v="4.9929433347928676"/>
    <x v="2"/>
  </r>
  <r>
    <x v="1"/>
    <x v="21"/>
    <n v="201.5"/>
    <n v="125.25"/>
    <n v="6.02"/>
    <x v="20"/>
    <n v="7.01"/>
    <n v="5.15"/>
    <n v="0.2"/>
    <n v="21.27"/>
    <n v="11.02"/>
    <n v="8.4"/>
    <n v="0"/>
    <n v="90.39"/>
    <n v="-0.57416912199937542"/>
    <n v="4.715997225548902"/>
    <x v="2"/>
  </r>
  <r>
    <x v="2"/>
    <x v="22"/>
    <n v="236.5"/>
    <n v="147.72"/>
    <n v="7.12"/>
    <x v="21"/>
    <n v="8.41"/>
    <n v="6.18"/>
    <n v="0.24"/>
    <n v="25.47"/>
    <n v="12.71"/>
    <n v="10.06"/>
    <n v="0"/>
    <n v="108.4"/>
    <n v="-0.53610592695822512"/>
    <n v="4.7115295965339836"/>
    <x v="2"/>
  </r>
  <r>
    <x v="2"/>
    <x v="23"/>
    <n v="266.5"/>
    <n v="166.99"/>
    <n v="8.06"/>
    <x v="22"/>
    <n v="9.6"/>
    <n v="7.06"/>
    <n v="0.27"/>
    <n v="29.07"/>
    <n v="14.16"/>
    <n v="11.47"/>
    <n v="0"/>
    <n v="123.84"/>
    <n v="-0.50347429278635614"/>
    <n v="4.7027963255284746"/>
    <x v="2"/>
  </r>
  <r>
    <x v="1"/>
    <x v="24"/>
    <n v="297.5"/>
    <n v="183.61"/>
    <n v="8.7899999999999991"/>
    <x v="23"/>
    <n v="10.02"/>
    <n v="7.37"/>
    <n v="0.3"/>
    <n v="30.48"/>
    <n v="16.670000000000002"/>
    <n v="12.05"/>
    <n v="0"/>
    <n v="129.24"/>
    <n v="-0.49206167461743816"/>
    <n v="4.6580809520178628"/>
    <x v="2"/>
  </r>
  <r>
    <x v="2"/>
    <x v="25"/>
    <n v="307.5"/>
    <n v="190.03"/>
    <n v="9.1"/>
    <x v="24"/>
    <n v="10.42"/>
    <n v="7.67"/>
    <n v="0.31"/>
    <n v="31.68"/>
    <n v="17.149999999999999"/>
    <n v="12.52"/>
    <n v="0"/>
    <n v="134.38999999999999"/>
    <n v="-0.48117741840078504"/>
    <n v="4.6543275709098566"/>
    <x v="2"/>
  </r>
  <r>
    <x v="2"/>
    <x v="26"/>
    <n v="347.5"/>
    <n v="215.72"/>
    <n v="10.36"/>
    <x v="25"/>
    <n v="12.02"/>
    <n v="8.84"/>
    <n v="0.35"/>
    <n v="36.479999999999997"/>
    <n v="19.079999999999998"/>
    <n v="14.41"/>
    <n v="0"/>
    <n v="154.97999999999999"/>
    <n v="-0.43766152801226288"/>
    <n v="4.6475417875023171"/>
    <x v="2"/>
  </r>
  <r>
    <x v="2"/>
    <x v="27"/>
    <n v="355"/>
    <n v="219.36"/>
    <n v="10.51"/>
    <x v="26"/>
    <n v="12.03"/>
    <n v="8.85"/>
    <n v="0.36"/>
    <n v="36.549999999999997"/>
    <n v="19.809999999999999"/>
    <n v="14.45"/>
    <n v="0"/>
    <n v="155.06"/>
    <n v="-0.43749245218753813"/>
    <n v="4.6361507950401162"/>
    <x v="2"/>
  </r>
  <r>
    <x v="2"/>
    <x v="28"/>
    <n v="375"/>
    <n v="232.2"/>
    <n v="11.14"/>
    <x v="27"/>
    <n v="12.82"/>
    <n v="9.43"/>
    <n v="0.38"/>
    <n v="38.950000000000003"/>
    <n v="20.77"/>
    <n v="15.4"/>
    <n v="0"/>
    <n v="165.36"/>
    <n v="-0.41572393975423172"/>
    <n v="4.6322282859603794"/>
    <x v="2"/>
  </r>
  <r>
    <x v="2"/>
    <x v="29"/>
    <n v="405"/>
    <n v="251.47"/>
    <n v="12.08"/>
    <x v="28"/>
    <n v="14.02"/>
    <n v="10.31"/>
    <n v="0.41"/>
    <n v="42.55"/>
    <n v="22.22"/>
    <n v="16.809999999999999"/>
    <n v="0"/>
    <n v="180.8"/>
    <n v="-0.38309230558236274"/>
    <n v="4.622953926909771"/>
    <x v="2"/>
  </r>
  <r>
    <x v="1"/>
    <x v="30"/>
    <n v="76.5"/>
    <n v="44.98"/>
    <n v="2.09"/>
    <x v="29"/>
    <n v="2.02"/>
    <n v="1.49"/>
    <n v="0.08"/>
    <n v="6.27"/>
    <n v="4.97"/>
    <n v="2.5"/>
    <n v="0"/>
    <n v="26.05"/>
    <n v="-0.71014835403422316"/>
    <n v="4.6204595598043579"/>
    <x v="2"/>
  </r>
  <r>
    <x v="1"/>
    <x v="31"/>
    <n v="112"/>
    <n v="283.45999999999998"/>
    <n v="14.05"/>
    <x v="30"/>
    <n v="12.31"/>
    <n v="6.92"/>
    <n v="0.17"/>
    <n v="233.3"/>
    <n v="28.12"/>
    <n v="2.38"/>
    <n v="0.75"/>
    <n v="519.30999999999995"/>
    <n v="0.33233091226215589"/>
    <n v="4.4372976342341079"/>
    <x v="2"/>
  </r>
  <r>
    <x v="5"/>
    <x v="32"/>
    <n v="301"/>
    <n v="641.36"/>
    <n v="39.47"/>
    <x v="31"/>
    <n v="31.51"/>
    <n v="9.5399999999999991"/>
    <n v="0.26"/>
    <n v="110.37"/>
    <n v="46.24"/>
    <n v="9.16"/>
    <n v="6.32"/>
    <n v="1906.27"/>
    <n v="3.2635984855144491"/>
    <n v="4.2478400162155419"/>
    <x v="2"/>
  </r>
  <r>
    <x v="1"/>
    <x v="33"/>
    <n v="455"/>
    <n v="26.71"/>
    <n v="1.0900000000000001"/>
    <x v="32"/>
    <n v="0.06"/>
    <n v="0.06"/>
    <n v="0.06"/>
    <n v="0.55000000000000004"/>
    <n v="5.3"/>
    <n v="0.28000000000000003"/>
    <n v="0"/>
    <n v="0.65"/>
    <n v="-0.76382992838431862"/>
    <n v="4.080218588543616"/>
    <x v="2"/>
  </r>
  <r>
    <x v="1"/>
    <x v="34"/>
    <n v="347.5"/>
    <n v="23.07"/>
    <n v="0.94"/>
    <x v="33"/>
    <n v="0.05"/>
    <n v="0.05"/>
    <n v="0.05"/>
    <n v="0.48"/>
    <n v="4.57"/>
    <n v="0.24"/>
    <n v="0"/>
    <n v="0.56999999999999995"/>
    <n v="-0.76399900420904332"/>
    <n v="4.0739857000433464"/>
    <x v="2"/>
  </r>
  <r>
    <x v="1"/>
    <x v="35"/>
    <n v="26.5"/>
    <n v="12.87"/>
    <n v="0.52"/>
    <x v="34"/>
    <n v="0.03"/>
    <n v="0.03"/>
    <n v="0.03"/>
    <n v="0.27"/>
    <n v="2.5499999999999998"/>
    <n v="0.13"/>
    <n v="0"/>
    <n v="0.32"/>
    <n v="-0.76452736616130801"/>
    <n v="4.0400840404040403"/>
    <x v="2"/>
  </r>
  <r>
    <x v="1"/>
    <x v="36"/>
    <n v="276.5"/>
    <n v="12.87"/>
    <n v="0.52"/>
    <x v="35"/>
    <n v="0.03"/>
    <n v="0.03"/>
    <n v="0.03"/>
    <n v="0.27"/>
    <n v="2.5499999999999998"/>
    <n v="0.13"/>
    <n v="0"/>
    <n v="0.32"/>
    <n v="-0.76452736616130801"/>
    <n v="4.0400840404040403"/>
    <x v="2"/>
  </r>
  <r>
    <x v="3"/>
    <x v="37"/>
    <n v="123"/>
    <n v="282.98"/>
    <n v="12.29"/>
    <x v="36"/>
    <n v="12.21"/>
    <n v="3.63"/>
    <n v="0.11"/>
    <n v="213.09"/>
    <n v="31.32"/>
    <n v="4.66"/>
    <n v="3.64"/>
    <n v="399.41"/>
    <n v="7.8928519955997284E-2"/>
    <n v="3.9436531140009889"/>
    <x v="2"/>
  </r>
  <r>
    <x v="5"/>
    <x v="38"/>
    <n v="195"/>
    <n v="457.94"/>
    <n v="24.43"/>
    <x v="37"/>
    <n v="22.65"/>
    <n v="11.56"/>
    <n v="0.17"/>
    <n v="71.23"/>
    <n v="37.450000000000003"/>
    <n v="7.64"/>
    <n v="3.84"/>
    <n v="1396.17"/>
    <n v="2.1855287581135188"/>
    <n v="3.9385900122286759"/>
    <x v="2"/>
  </r>
  <r>
    <x v="3"/>
    <x v="39"/>
    <n v="136"/>
    <n v="348.11"/>
    <n v="15.44"/>
    <x v="38"/>
    <n v="14.16"/>
    <n v="5.79"/>
    <n v="0.21"/>
    <n v="32.83"/>
    <n v="38.85"/>
    <n v="5.58"/>
    <n v="3.54"/>
    <n v="530.54"/>
    <n v="0.35606493115788707"/>
    <n v="3.9048396213840446"/>
    <x v="2"/>
  </r>
  <r>
    <x v="3"/>
    <x v="40"/>
    <n v="186"/>
    <n v="451.92"/>
    <n v="21.46"/>
    <x v="39"/>
    <n v="19.36"/>
    <n v="7.63"/>
    <n v="0.18"/>
    <n v="66.040000000000006"/>
    <n v="46.08"/>
    <n v="5.88"/>
    <n v="4.49"/>
    <n v="928.52"/>
    <n v="1.1971748902071369"/>
    <n v="3.8201080757656225"/>
    <x v="2"/>
  </r>
  <r>
    <x v="2"/>
    <x v="41"/>
    <n v="242.5"/>
    <n v="185.85"/>
    <n v="7.15"/>
    <x v="40"/>
    <n v="8.1999999999999993"/>
    <n v="5.94"/>
    <n v="0.26"/>
    <n v="24.43"/>
    <n v="22.59"/>
    <n v="17.57"/>
    <n v="6.08"/>
    <n v="132.84"/>
    <n v="-0.48445326250482623"/>
    <n v="3.7143485929513056"/>
    <x v="2"/>
  </r>
  <r>
    <x v="3"/>
    <x v="42"/>
    <n v="126.2"/>
    <n v="290.42"/>
    <n v="12.45"/>
    <x v="41"/>
    <n v="12.27"/>
    <n v="3.64"/>
    <n v="0.11"/>
    <n v="213.09"/>
    <n v="32.89"/>
    <n v="4.8899999999999997"/>
    <n v="3.64"/>
    <n v="757.91"/>
    <n v="0.83659955950360276"/>
    <n v="3.528984841953033"/>
    <x v="2"/>
  </r>
  <r>
    <x v="2"/>
    <x v="43"/>
    <n v="311.5"/>
    <n v="244"/>
    <n v="8.99"/>
    <x v="42"/>
    <n v="9.91"/>
    <n v="7.17"/>
    <n v="0.34"/>
    <n v="29.52"/>
    <n v="31.72"/>
    <n v="23.56"/>
    <n v="9.1199999999999992"/>
    <n v="168.47"/>
    <n v="-0.40915111706805868"/>
    <n v="3.5159562295081965"/>
    <x v="2"/>
  </r>
  <r>
    <x v="5"/>
    <x v="44"/>
    <n v="264.5"/>
    <n v="622.25"/>
    <n v="31.49"/>
    <x v="43"/>
    <n v="34.65"/>
    <n v="15.55"/>
    <n v="0.24"/>
    <n v="302.61"/>
    <n v="43.6"/>
    <n v="6.07"/>
    <n v="2.64"/>
    <n v="1614.88"/>
    <n v="2.6477609284327848"/>
    <n v="3.445786934511851"/>
    <x v="2"/>
  </r>
  <r>
    <x v="3"/>
    <x v="45"/>
    <n v="165"/>
    <n v="446.95"/>
    <n v="20.29"/>
    <x v="44"/>
    <n v="22.94"/>
    <n v="7.28"/>
    <n v="0.15"/>
    <n v="47.63"/>
    <n v="38.54"/>
    <n v="7.48"/>
    <n v="4.76"/>
    <n v="1132.3"/>
    <n v="1.6278532847371538"/>
    <n v="3.4073576798299587"/>
    <x v="2"/>
  </r>
  <r>
    <x v="2"/>
    <x v="46"/>
    <n v="377"/>
    <n v="302.02"/>
    <n v="10.88"/>
    <x v="45"/>
    <n v="12.01"/>
    <n v="8.67"/>
    <n v="0.41"/>
    <n v="35.67"/>
    <n v="40.04"/>
    <n v="29.96"/>
    <n v="12.16"/>
    <n v="209.09"/>
    <n v="-0.32330286706408728"/>
    <n v="3.3933204363949416"/>
    <x v="2"/>
  </r>
  <r>
    <x v="1"/>
    <x v="47"/>
    <n v="123.2"/>
    <n v="278.27"/>
    <n v="11.49"/>
    <x v="46"/>
    <n v="11.81"/>
    <n v="3.43"/>
    <n v="0.11"/>
    <n v="212.61"/>
    <n v="31.37"/>
    <n v="2.63"/>
    <n v="1.05"/>
    <n v="773.6"/>
    <n v="0.86975955562773655"/>
    <n v="3.3554832644553851"/>
    <x v="2"/>
  </r>
  <r>
    <x v="4"/>
    <x v="48"/>
    <n v="40"/>
    <n v="45.08"/>
    <n v="1.47"/>
    <x v="47"/>
    <n v="1"/>
    <n v="0.22"/>
    <n v="0.04"/>
    <n v="2"/>
    <n v="7.55"/>
    <n v="2.54"/>
    <n v="0"/>
    <n v="0.04"/>
    <n v="-0.76511913154784439"/>
    <n v="3.2608295652173913"/>
    <x v="2"/>
  </r>
  <r>
    <x v="3"/>
    <x v="49"/>
    <n v="173"/>
    <n v="400.8"/>
    <n v="15.66"/>
    <x v="48"/>
    <n v="15.7"/>
    <n v="5.47"/>
    <n v="0.16"/>
    <n v="31.17"/>
    <n v="47.98"/>
    <n v="5.53"/>
    <n v="4.49"/>
    <n v="766.33"/>
    <n v="0.85439479005587859"/>
    <n v="3.1408556287425147"/>
    <x v="2"/>
  </r>
  <r>
    <x v="3"/>
    <x v="50"/>
    <n v="296"/>
    <n v="689.12"/>
    <n v="34"/>
    <x v="49"/>
    <n v="36.69"/>
    <n v="10.33"/>
    <n v="0.25"/>
    <n v="81.489999999999995"/>
    <n v="55.39"/>
    <n v="8.92"/>
    <n v="6.14"/>
    <n v="1854.71"/>
    <n v="3.1546291164793736"/>
    <n v="3.0791186510332018"/>
    <x v="2"/>
  </r>
  <r>
    <x v="3"/>
    <x v="51"/>
    <n v="257"/>
    <n v="567.19000000000005"/>
    <n v="23.74"/>
    <x v="50"/>
    <n v="26.89"/>
    <n v="12.54"/>
    <n v="0.27"/>
    <n v="87.63"/>
    <n v="57.06"/>
    <n v="2.52"/>
    <n v="1.08"/>
    <n v="1152.3800000000001"/>
    <n v="1.6702913167430562"/>
    <n v="3.0331662896031304"/>
    <x v="2"/>
  </r>
  <r>
    <x v="5"/>
    <x v="52"/>
    <n v="90"/>
    <n v="252.29"/>
    <n v="8.48"/>
    <x v="51"/>
    <n v="13.09"/>
    <n v="7.53"/>
    <n v="0.09"/>
    <n v="20.03"/>
    <n v="23.6"/>
    <n v="1.31"/>
    <n v="0"/>
    <n v="428.17"/>
    <n v="0.13971127894453042"/>
    <n v="2.9330413044512267"/>
    <x v="3"/>
  </r>
  <r>
    <x v="1"/>
    <x v="53"/>
    <n v="100"/>
    <n v="273.77999999999997"/>
    <n v="9.58"/>
    <x v="52"/>
    <n v="12.82"/>
    <n v="8.84"/>
    <n v="0.21"/>
    <n v="37.75"/>
    <n v="29"/>
    <n v="2.59"/>
    <n v="0.75"/>
    <n v="622.95000000000005"/>
    <n v="0.55136864319301759"/>
    <n v="2.8762099094163203"/>
    <x v="3"/>
  </r>
  <r>
    <x v="2"/>
    <x v="54"/>
    <n v="153"/>
    <n v="214.21"/>
    <n v="6.15"/>
    <x v="53"/>
    <n v="5.96"/>
    <n v="4.2699999999999996"/>
    <n v="0.15"/>
    <n v="14.73"/>
    <n v="33.04"/>
    <n v="25.73"/>
    <n v="1.04"/>
    <n v="68.28"/>
    <n v="-0.62089745305766708"/>
    <n v="2.8027344250968675"/>
    <x v="3"/>
  </r>
  <r>
    <x v="3"/>
    <x v="55"/>
    <n v="205"/>
    <n v="35.799999999999997"/>
    <n v="1"/>
    <x v="54"/>
    <n v="2"/>
    <n v="1.2"/>
    <n v="0.08"/>
    <n v="6"/>
    <n v="1.6"/>
    <n v="3.45"/>
    <n v="0"/>
    <n v="14"/>
    <n v="-0.73561540013338256"/>
    <n v="2.7792960893854755"/>
    <x v="3"/>
  </r>
  <r>
    <x v="5"/>
    <x v="56"/>
    <n v="135"/>
    <n v="378.43"/>
    <n v="12.72"/>
    <x v="51"/>
    <n v="19.63"/>
    <n v="11.3"/>
    <n v="0.14000000000000001"/>
    <n v="30.05"/>
    <n v="35.4"/>
    <n v="1.96"/>
    <n v="0"/>
    <n v="642.25"/>
    <n v="0.59215818590785374"/>
    <n v="2.7190057143989641"/>
    <x v="3"/>
  </r>
  <r>
    <x v="2"/>
    <x v="57"/>
    <n v="223"/>
    <n v="239.42"/>
    <n v="6.73"/>
    <x v="55"/>
    <n v="7.77"/>
    <n v="5.49"/>
    <n v="0.26"/>
    <n v="22.03"/>
    <n v="37.08"/>
    <n v="30.31"/>
    <n v="15.29"/>
    <n v="167.21"/>
    <n v="-0.41181406130747283"/>
    <n v="2.6437498195639466"/>
    <x v="3"/>
  </r>
  <r>
    <x v="2"/>
    <x v="58"/>
    <n v="163"/>
    <n v="255.78"/>
    <n v="6.87"/>
    <x v="56"/>
    <n v="6.32"/>
    <n v="4.49"/>
    <n v="0.16"/>
    <n v="14.83"/>
    <n v="41.29"/>
    <n v="31.81"/>
    <n v="1.35"/>
    <n v="70.260000000000005"/>
    <n v="-0.61671282639573044"/>
    <n v="2.6156419469856904"/>
    <x v="3"/>
  </r>
  <r>
    <x v="2"/>
    <x v="59"/>
    <n v="127"/>
    <n v="143.5"/>
    <n v="3.87"/>
    <x v="57"/>
    <n v="4.38"/>
    <n v="3.08"/>
    <n v="0.15"/>
    <n v="12.27"/>
    <n v="22.85"/>
    <n v="18.53"/>
    <n v="9.2100000000000009"/>
    <n v="96.44"/>
    <n v="-0.56138276275456922"/>
    <n v="2.600424111498258"/>
    <x v="3"/>
  </r>
  <r>
    <x v="2"/>
    <x v="60"/>
    <n v="367"/>
    <n v="383.29"/>
    <n v="11.01"/>
    <x v="58"/>
    <n v="12.84"/>
    <n v="9.09"/>
    <n v="0.43"/>
    <n v="36.67"/>
    <n v="58.43"/>
    <n v="47.96"/>
    <n v="24.41"/>
    <n v="273.35000000000002"/>
    <n v="-0.1874927108539641"/>
    <n v="2.5991486302799442"/>
    <x v="3"/>
  </r>
  <r>
    <x v="4"/>
    <x v="61"/>
    <n v="5"/>
    <n v="17.13"/>
    <n v="0.51"/>
    <x v="59"/>
    <n v="0.36"/>
    <n v="0.08"/>
    <n v="0.01"/>
    <n v="0.05"/>
    <n v="2.5"/>
    <n v="0.66"/>
    <n v="0.4"/>
    <n v="414.71"/>
    <n v="0.11126427143459794"/>
    <n v="2.5625229246935204"/>
    <x v="3"/>
  </r>
  <r>
    <x v="5"/>
    <x v="62"/>
    <n v="207"/>
    <n v="524.69000000000005"/>
    <n v="19.54"/>
    <x v="60"/>
    <n v="23.16"/>
    <n v="14.78"/>
    <n v="0.19"/>
    <n v="48.74"/>
    <n v="56.24"/>
    <n v="7.9"/>
    <n v="3.84"/>
    <n v="1174.27"/>
    <n v="1.7165546892833548"/>
    <n v="2.5498337565038396"/>
    <x v="3"/>
  </r>
  <r>
    <x v="1"/>
    <x v="63"/>
    <n v="119"/>
    <n v="309.35000000000002"/>
    <n v="10.220000000000001"/>
    <x v="61"/>
    <n v="11.78"/>
    <n v="7.29"/>
    <n v="0.18"/>
    <n v="25.31"/>
    <n v="38.86"/>
    <n v="3.02"/>
    <n v="0.75"/>
    <n v="804.63"/>
    <n v="0.93533984114283331"/>
    <n v="2.4990713091967027"/>
    <x v="3"/>
  </r>
  <r>
    <x v="2"/>
    <x v="64"/>
    <n v="259"/>
    <n v="296.81"/>
    <n v="7.7"/>
    <x v="62"/>
    <n v="8.76"/>
    <n v="6.13"/>
    <n v="0.32"/>
    <n v="24.59"/>
    <n v="48.41"/>
    <n v="39.24"/>
    <n v="21.37"/>
    <n v="207.09"/>
    <n v="-0.32752976268220502"/>
    <n v="2.387162215221859"/>
    <x v="3"/>
  </r>
  <r>
    <x v="2"/>
    <x v="65"/>
    <n v="266.5"/>
    <n v="150.85"/>
    <n v="3.59"/>
    <x v="63"/>
    <n v="3.57"/>
    <n v="2.62"/>
    <n v="0.13"/>
    <n v="9.76"/>
    <n v="26.01"/>
    <n v="21.58"/>
    <n v="14"/>
    <n v="62.75"/>
    <n v="-0.63258481944176259"/>
    <n v="2.3170975306595958"/>
    <x v="3"/>
  </r>
  <r>
    <x v="2"/>
    <x v="66"/>
    <n v="81.290000000000006"/>
    <n v="85.73"/>
    <n v="1.99"/>
    <x v="64"/>
    <n v="1.82"/>
    <n v="1.31"/>
    <n v="0.05"/>
    <n v="4.75"/>
    <n v="15.23"/>
    <n v="10.68"/>
    <n v="6.99"/>
    <n v="40.78"/>
    <n v="-0.67901726780678606"/>
    <n v="2.2804611057972708"/>
    <x v="3"/>
  </r>
  <r>
    <x v="2"/>
    <x v="67"/>
    <n v="291.5"/>
    <n v="185.34"/>
    <n v="4.3600000000000003"/>
    <x v="65"/>
    <n v="4.45"/>
    <n v="3.26"/>
    <n v="0.15"/>
    <n v="12.13"/>
    <n v="31.88"/>
    <n v="26.95"/>
    <n v="17.5"/>
    <n v="78.349999999999994"/>
    <n v="-0.5996150336204441"/>
    <n v="2.2740833657062698"/>
    <x v="3"/>
  </r>
  <r>
    <x v="5"/>
    <x v="68"/>
    <n v="212.5"/>
    <n v="634.71"/>
    <n v="22.44"/>
    <x v="66"/>
    <n v="39.21"/>
    <n v="20.46"/>
    <n v="0.2"/>
    <n v="43.68"/>
    <n v="46"/>
    <n v="7.57"/>
    <n v="3.28"/>
    <n v="1446.87"/>
    <n v="2.2926805620328032"/>
    <n v="2.0886028931322969"/>
    <x v="3"/>
  </r>
  <r>
    <x v="3"/>
    <x v="69"/>
    <n v="138"/>
    <n v="230.95"/>
    <n v="5.67"/>
    <x v="67"/>
    <n v="9.32"/>
    <n v="3.27"/>
    <n v="0.19"/>
    <n v="8.74"/>
    <n v="31.06"/>
    <n v="3.64"/>
    <n v="1.1499999999999999"/>
    <n v="410.78"/>
    <n v="0.10295842154499656"/>
    <n v="2.044296856462438"/>
    <x v="3"/>
  </r>
  <r>
    <x v="3"/>
    <x v="70"/>
    <n v="199"/>
    <n v="652.76"/>
    <n v="20.29"/>
    <x v="68"/>
    <n v="39.450000000000003"/>
    <n v="17.12"/>
    <n v="0.18"/>
    <n v="21.85"/>
    <n v="52.33"/>
    <n v="8.35"/>
    <n v="5.27"/>
    <n v="1074.58"/>
    <n v="1.5058650771982758"/>
    <n v="2.0337599718119979"/>
    <x v="3"/>
  </r>
  <r>
    <x v="3"/>
    <x v="71"/>
    <n v="250"/>
    <n v="674.68"/>
    <n v="20.96"/>
    <x v="69"/>
    <n v="39.1"/>
    <n v="19.73"/>
    <n v="0.26"/>
    <n v="40.93"/>
    <n v="59.27"/>
    <n v="3.5"/>
    <n v="1.08"/>
    <n v="1087.46"/>
    <n v="1.5330862849789542"/>
    <n v="2.0191979711863404"/>
    <x v="3"/>
  </r>
  <r>
    <x v="3"/>
    <x v="72"/>
    <n v="87"/>
    <n v="228.21"/>
    <n v="5.45"/>
    <x v="70"/>
    <n v="11.44"/>
    <n v="5.72"/>
    <n v="0.09"/>
    <n v="5.17"/>
    <n v="24.79"/>
    <n v="2.73"/>
    <n v="0.35"/>
    <n v="390.74"/>
    <n v="6.060492745145684E-2"/>
    <n v="1.9974112641864945"/>
    <x v="3"/>
  </r>
  <r>
    <x v="3"/>
    <x v="73"/>
    <n v="146"/>
    <n v="339.52"/>
    <n v="8.5"/>
    <x v="71"/>
    <n v="11.31"/>
    <n v="4.2699999999999996"/>
    <n v="0.2"/>
    <n v="1.47"/>
    <n v="50.27"/>
    <n v="7.05"/>
    <n v="4.07"/>
    <n v="545.34"/>
    <n v="0.38734395873195848"/>
    <n v="1.9581944015080115"/>
    <x v="3"/>
  </r>
  <r>
    <x v="3"/>
    <x v="74"/>
    <n v="177"/>
    <n v="512.16999999999996"/>
    <n v="15.3"/>
    <x v="72"/>
    <n v="23.45"/>
    <n v="10.51"/>
    <n v="0.17"/>
    <n v="25.24"/>
    <n v="56.96"/>
    <n v="7.85"/>
    <n v="4.76"/>
    <n v="1051.24"/>
    <n v="1.4565372053348418"/>
    <n v="1.9360493765741849"/>
    <x v="3"/>
  </r>
  <r>
    <x v="3"/>
    <x v="75"/>
    <n v="138"/>
    <n v="357.05"/>
    <n v="8.64"/>
    <x v="73"/>
    <n v="14.02"/>
    <n v="4.84"/>
    <n v="0.13"/>
    <n v="1.51"/>
    <n v="47.9"/>
    <n v="5.08"/>
    <n v="3.49"/>
    <n v="548.79"/>
    <n v="0.39463535367321145"/>
    <n v="1.8710391555804513"/>
    <x v="3"/>
  </r>
  <r>
    <x v="3"/>
    <x v="76"/>
    <n v="168"/>
    <n v="402.05"/>
    <n v="10.24"/>
    <x v="74"/>
    <n v="13.83"/>
    <n v="5.34"/>
    <n v="0.16"/>
    <n v="2.4900000000000002"/>
    <n v="56.54"/>
    <n v="7.9"/>
    <n v="4.49"/>
    <n v="706.13"/>
    <n v="0.7271652319505344"/>
    <n v="1.8408168971520955"/>
    <x v="3"/>
  </r>
  <r>
    <x v="2"/>
    <x v="77"/>
    <n v="91.79"/>
    <n v="121.64"/>
    <n v="2.25"/>
    <x v="75"/>
    <n v="4.0199999999999996"/>
    <n v="3.01"/>
    <n v="0.08"/>
    <n v="5.85"/>
    <n v="19.11"/>
    <n v="17.07"/>
    <n v="10.78"/>
    <n v="65.56"/>
    <n v="-0.62664603109830719"/>
    <n v="1.7841604866820124"/>
    <x v="3"/>
  </r>
  <r>
    <x v="6"/>
    <x v="78"/>
    <n v="86.79"/>
    <n v="116.36"/>
    <n v="2.0499999999999998"/>
    <x v="76"/>
    <n v="3.7"/>
    <n v="2.25"/>
    <n v="7.0000000000000007E-2"/>
    <n v="4.8"/>
    <n v="18.690000000000001"/>
    <n v="14.49"/>
    <n v="10.8"/>
    <n v="80.73"/>
    <n v="-0.59458502783488409"/>
    <n v="1.6810438054314196"/>
    <x v="3"/>
  </r>
  <r>
    <x v="2"/>
    <x v="79"/>
    <n v="132.08000000000001"/>
    <n v="197.45"/>
    <n v="3.49"/>
    <x v="77"/>
    <n v="6.87"/>
    <n v="5.16"/>
    <n v="0.13"/>
    <n v="8.5500000000000007"/>
    <n v="30.42"/>
    <n v="27.01"/>
    <n v="16.899999999999999"/>
    <n v="110.39"/>
    <n v="-0.53190016581819799"/>
    <n v="1.6571460850848316"/>
    <x v="3"/>
  </r>
  <r>
    <x v="3"/>
    <x v="80"/>
    <n v="132"/>
    <n v="356.09"/>
    <n v="7.91"/>
    <x v="78"/>
    <n v="15.08"/>
    <n v="6.11"/>
    <n v="0.24"/>
    <n v="9.4499999999999993"/>
    <n v="46.36"/>
    <n v="4.53"/>
    <n v="1.1499999999999999"/>
    <n v="579.6"/>
    <n v="0.45975068067031544"/>
    <n v="1.6417485354826025"/>
    <x v="3"/>
  </r>
  <r>
    <x v="2"/>
    <x v="81"/>
    <n v="93.29"/>
    <n v="160.13999999999999"/>
    <n v="2.71"/>
    <x v="79"/>
    <n v="7.14"/>
    <n v="5.25"/>
    <n v="7.0000000000000007E-2"/>
    <n v="5.71"/>
    <n v="20.92"/>
    <n v="15.39"/>
    <n v="11.31"/>
    <n v="51.31"/>
    <n v="-0.65676266237739611"/>
    <n v="1.6409592643936557"/>
    <x v="3"/>
  </r>
  <r>
    <x v="3"/>
    <x v="82"/>
    <n v="114"/>
    <n v="204.65"/>
    <n v="3.97"/>
    <x v="80"/>
    <n v="7.15"/>
    <n v="3.39"/>
    <n v="0.1"/>
    <n v="0.97"/>
    <n v="28.74"/>
    <n v="0.48"/>
    <n v="0"/>
    <n v="356.44"/>
    <n v="-1.1886332399262496E-2"/>
    <n v="1.5834573857806009"/>
    <x v="3"/>
  </r>
  <r>
    <x v="6"/>
    <x v="83"/>
    <n v="147.38"/>
    <n v="209.39"/>
    <n v="3.58"/>
    <x v="81"/>
    <n v="6.81"/>
    <n v="4.07"/>
    <n v="0.12"/>
    <n v="8"/>
    <n v="33.42"/>
    <n v="25.35"/>
    <n v="19.23"/>
    <n v="150.9"/>
    <n v="-0.44628439507322304"/>
    <n v="1.5588282582740343"/>
    <x v="3"/>
  </r>
  <r>
    <x v="5"/>
    <x v="84"/>
    <n v="307"/>
    <n v="834.36"/>
    <n v="27.37"/>
    <x v="82"/>
    <n v="45.18"/>
    <n v="17"/>
    <n v="0.27"/>
    <n v="73.11"/>
    <n v="76.03"/>
    <n v="16.75"/>
    <n v="10.01"/>
    <n v="1745.04"/>
    <n v="2.9228472952598872"/>
    <n v="1.535318598207009"/>
    <x v="3"/>
  </r>
  <r>
    <x v="2"/>
    <x v="85"/>
    <n v="91.79"/>
    <n v="100.99"/>
    <n v="1.54"/>
    <x v="83"/>
    <n v="1.77"/>
    <n v="1.3"/>
    <n v="0.06"/>
    <n v="4.8499999999999996"/>
    <n v="19.78"/>
    <n v="17.66"/>
    <n v="12.49"/>
    <n v="34.51"/>
    <n v="-0.69226858556958515"/>
    <n v="1.4903934557877019"/>
    <x v="3"/>
  </r>
  <r>
    <x v="2"/>
    <x v="86"/>
    <n v="110.79"/>
    <n v="205.26"/>
    <n v="3.2"/>
    <x v="84"/>
    <n v="5.45"/>
    <n v="3.65"/>
    <n v="0.1"/>
    <n v="6.04"/>
    <n v="35.26"/>
    <n v="20.75"/>
    <n v="14.39"/>
    <n v="100.89"/>
    <n v="-0.55197792000425727"/>
    <n v="1.4581083435642603"/>
    <x v="3"/>
  </r>
  <r>
    <x v="3"/>
    <x v="87"/>
    <n v="156"/>
    <n v="280.05"/>
    <n v="5.44"/>
    <x v="85"/>
    <n v="9.7899999999999991"/>
    <n v="4.6399999999999997"/>
    <n v="0.13"/>
    <n v="1.33"/>
    <n v="39.33"/>
    <n v="0.66"/>
    <n v="0"/>
    <n v="487.76"/>
    <n v="0.26565163388634855"/>
    <n v="1.4547502660239244"/>
    <x v="3"/>
  </r>
  <r>
    <x v="3"/>
    <x v="88"/>
    <n v="306"/>
    <n v="832.67"/>
    <n v="24.17"/>
    <x v="86"/>
    <n v="37.94"/>
    <n v="16.829999999999998"/>
    <n v="0.28000000000000003"/>
    <n v="36.19"/>
    <n v="93.84"/>
    <n v="11.52"/>
    <n v="6.92"/>
    <n v="1529.22"/>
    <n v="2.4667229891088014"/>
    <n v="1.3734905576038532"/>
    <x v="3"/>
  </r>
  <r>
    <x v="1"/>
    <x v="89"/>
    <n v="142"/>
    <n v="432.98"/>
    <n v="8.6"/>
    <x v="87"/>
    <n v="14.02"/>
    <n v="7.11"/>
    <n v="0.32"/>
    <n v="28.14"/>
    <n v="68.010000000000005"/>
    <n v="25.72"/>
    <n v="13.5"/>
    <n v="615.74"/>
    <n v="0.53613068448970302"/>
    <n v="1.3704949300198621"/>
    <x v="3"/>
  </r>
  <r>
    <x v="2"/>
    <x v="90"/>
    <n v="259"/>
    <n v="270.89999999999998"/>
    <n v="4.16"/>
    <x v="88"/>
    <n v="7.7"/>
    <n v="6.74"/>
    <n v="0.14000000000000001"/>
    <n v="8.39"/>
    <n v="46.76"/>
    <n v="37.78"/>
    <n v="27.88"/>
    <n v="178.46"/>
    <n v="-0.38803777345556051"/>
    <n v="1.3571620007382799"/>
    <x v="3"/>
  </r>
  <r>
    <x v="3"/>
    <x v="91"/>
    <n v="77"/>
    <n v="224.59"/>
    <n v="3.38"/>
    <x v="89"/>
    <n v="10.39"/>
    <n v="4.97"/>
    <n v="0.08"/>
    <n v="0.77"/>
    <n v="27.08"/>
    <n v="0.39"/>
    <n v="0"/>
    <n v="153.15"/>
    <n v="-0.44152913750284056"/>
    <n v="1.3518146021639432"/>
    <x v="3"/>
  </r>
  <r>
    <x v="2"/>
    <x v="92"/>
    <n v="155.08000000000001"/>
    <n v="311.39"/>
    <n v="4.6500000000000004"/>
    <x v="90"/>
    <n v="7.46"/>
    <n v="4.71"/>
    <n v="0.13"/>
    <n v="7.78"/>
    <n v="55.24"/>
    <n v="27.94"/>
    <n v="20.28"/>
    <n v="146.4"/>
    <n v="-0.45579491021398794"/>
    <n v="1.3469042165772827"/>
    <x v="3"/>
  </r>
  <r>
    <x v="3"/>
    <x v="93"/>
    <n v="325"/>
    <n v="720.3"/>
    <n v="26.91"/>
    <x v="91"/>
    <n v="29.2"/>
    <n v="5.08"/>
    <n v="0.3"/>
    <n v="31.32"/>
    <n v="77.47"/>
    <n v="3.28"/>
    <n v="0.35"/>
    <n v="2399.4899999999998"/>
    <n v="4.3059932138984651"/>
    <n v="1.3364533569346113"/>
    <x v="3"/>
  </r>
  <r>
    <x v="2"/>
    <x v="94"/>
    <n v="290"/>
    <n v="235.43"/>
    <n v="3.33"/>
    <x v="92"/>
    <n v="3.59"/>
    <n v="2.64"/>
    <n v="0.15"/>
    <n v="9.99"/>
    <n v="47.16"/>
    <n v="43"/>
    <n v="33.65"/>
    <n v="92.07"/>
    <n v="-0.57061852968015647"/>
    <n v="1.3223631648473007"/>
    <x v="3"/>
  </r>
  <r>
    <x v="2"/>
    <x v="95"/>
    <n v="296.5"/>
    <n v="331.17"/>
    <n v="4.9800000000000004"/>
    <x v="93"/>
    <n v="14.73"/>
    <n v="13.91"/>
    <n v="0.16"/>
    <n v="9.18"/>
    <n v="45.39"/>
    <n v="35.57"/>
    <n v="27.51"/>
    <n v="188.93"/>
    <n v="-0.36590997489471411"/>
    <n v="1.3148293984962407"/>
    <x v="3"/>
  </r>
  <r>
    <x v="2"/>
    <x v="96"/>
    <n v="280"/>
    <n v="231.44"/>
    <n v="3.21"/>
    <x v="94"/>
    <n v="3.63"/>
    <n v="2.65"/>
    <n v="0.14000000000000001"/>
    <n v="9.89"/>
    <n v="46.25"/>
    <n v="38.869999999999997"/>
    <n v="29.72"/>
    <n v="85.45"/>
    <n v="-0.58460955417612626"/>
    <n v="1.3015185447632216"/>
    <x v="3"/>
  </r>
  <r>
    <x v="2"/>
    <x v="97"/>
    <n v="259"/>
    <n v="255.51"/>
    <n v="3.67"/>
    <x v="95"/>
    <n v="7.44"/>
    <n v="6.68"/>
    <n v="0.12"/>
    <n v="8.39"/>
    <n v="44.07"/>
    <n v="37.42"/>
    <n v="29.8"/>
    <n v="139.97"/>
    <n v="-0.46938437962623653"/>
    <n v="1.296373000273962"/>
    <x v="3"/>
  </r>
  <r>
    <x v="3"/>
    <x v="98"/>
    <n v="109"/>
    <n v="317.92"/>
    <n v="4.79"/>
    <x v="96"/>
    <n v="14.7"/>
    <n v="7.04"/>
    <n v="0.11"/>
    <n v="1.0900000000000001"/>
    <n v="38.340000000000003"/>
    <n v="0.55000000000000004"/>
    <n v="0"/>
    <n v="216.79"/>
    <n v="-0.30702931893433399"/>
    <n v="1.2898783442375439"/>
    <x v="3"/>
  </r>
  <r>
    <x v="3"/>
    <x v="99"/>
    <n v="216"/>
    <n v="387.76"/>
    <n v="7.53"/>
    <x v="97"/>
    <n v="13.55"/>
    <n v="6.43"/>
    <n v="0.18"/>
    <n v="1.84"/>
    <n v="54.46"/>
    <n v="0.92"/>
    <n v="0"/>
    <n v="675.35"/>
    <n v="0.66211330838770244"/>
    <n v="1.2665728388694037"/>
    <x v="3"/>
  </r>
  <r>
    <x v="2"/>
    <x v="100"/>
    <n v="132.08000000000001"/>
    <n v="156.13999999999999"/>
    <n v="2.0499999999999998"/>
    <x v="98"/>
    <n v="2.36"/>
    <n v="1.74"/>
    <n v="0.1"/>
    <n v="6.55"/>
    <n v="31.77"/>
    <n v="28.2"/>
    <n v="20.32"/>
    <n v="48.28"/>
    <n v="-0.66316640923884451"/>
    <n v="1.2646442987062891"/>
    <x v="3"/>
  </r>
  <r>
    <x v="2"/>
    <x v="101"/>
    <n v="125.79"/>
    <n v="237.89"/>
    <n v="3.22"/>
    <x v="99"/>
    <n v="5.47"/>
    <n v="3.66"/>
    <n v="0.11"/>
    <n v="6.19"/>
    <n v="43.42"/>
    <n v="27.79"/>
    <n v="19.940000000000001"/>
    <n v="104.47"/>
    <n v="-0.54441177684782638"/>
    <n v="1.2490967745596704"/>
    <x v="3"/>
  </r>
  <r>
    <x v="2"/>
    <x v="102"/>
    <n v="317"/>
    <n v="398.19"/>
    <n v="5.67"/>
    <x v="100"/>
    <n v="12.77"/>
    <n v="11.38"/>
    <n v="0.2"/>
    <n v="10.89"/>
    <n v="64.75"/>
    <n v="53.4"/>
    <n v="34.35"/>
    <n v="185.73"/>
    <n v="-0.37267300788370256"/>
    <n v="1.2382133436299254"/>
    <x v="3"/>
  </r>
  <r>
    <x v="3"/>
    <x v="103"/>
    <n v="154"/>
    <n v="449.17"/>
    <n v="6.76"/>
    <x v="89"/>
    <n v="20.77"/>
    <n v="9.9499999999999993"/>
    <n v="0.15"/>
    <n v="1.54"/>
    <n v="54.16"/>
    <n v="0.77"/>
    <n v="0"/>
    <n v="306.29000000000002"/>
    <n v="-0.11787574002356488"/>
    <n v="1.1987081076207227"/>
    <x v="3"/>
  </r>
  <r>
    <x v="3"/>
    <x v="104"/>
    <n v="80"/>
    <n v="341.68"/>
    <n v="5.13"/>
    <x v="101"/>
    <n v="17.28"/>
    <n v="7.14"/>
    <n v="0.08"/>
    <n v="15.96"/>
    <n v="40.130000000000003"/>
    <n v="29.44"/>
    <n v="0"/>
    <n v="313.20999999999998"/>
    <n v="-0.10325068118487757"/>
    <n v="1.1881948232264106"/>
    <x v="3"/>
  </r>
  <r>
    <x v="2"/>
    <x v="105"/>
    <n v="320.5"/>
    <n v="397.98"/>
    <n v="5.49"/>
    <x v="102"/>
    <n v="15.01"/>
    <n v="14"/>
    <n v="0.2"/>
    <n v="9.42"/>
    <n v="60.93"/>
    <n v="47.55"/>
    <n v="36.630000000000003"/>
    <n v="233.32"/>
    <n v="-0.27209402665059085"/>
    <n v="1.1461463048394391"/>
    <x v="3"/>
  </r>
  <r>
    <x v="5"/>
    <x v="106"/>
    <n v="211"/>
    <n v="517.98"/>
    <n v="11.97"/>
    <x v="103"/>
    <n v="24.53"/>
    <n v="6.01"/>
    <n v="0.18"/>
    <n v="8.1"/>
    <n v="58.87"/>
    <n v="12.87"/>
    <n v="6.67"/>
    <n v="1170.8900000000001"/>
    <n v="1.7094112356887361"/>
    <n v="1.1400100347503763"/>
    <x v="3"/>
  </r>
  <r>
    <x v="3"/>
    <x v="107"/>
    <n v="80"/>
    <n v="329.29"/>
    <n v="4.4800000000000004"/>
    <x v="104"/>
    <n v="15.46"/>
    <n v="7.14"/>
    <n v="0.08"/>
    <n v="78.52"/>
    <n v="40.130000000000003"/>
    <n v="29.6"/>
    <n v="0"/>
    <n v="254.92"/>
    <n v="-0.22644355397491919"/>
    <n v="1.1055829001791735"/>
    <x v="3"/>
  </r>
  <r>
    <x v="1"/>
    <x v="108"/>
    <n v="64"/>
    <n v="140.29"/>
    <n v="1.93"/>
    <x v="105"/>
    <n v="7.32"/>
    <n v="3.42"/>
    <n v="0.06"/>
    <n v="0.64"/>
    <n v="15.63"/>
    <n v="0.32"/>
    <n v="0"/>
    <n v="275.26"/>
    <n v="-0.18345602553866175"/>
    <n v="1.1004617192957444"/>
    <x v="3"/>
  </r>
  <r>
    <x v="5"/>
    <x v="109"/>
    <n v="240"/>
    <n v="671.06"/>
    <n v="14.99"/>
    <x v="106"/>
    <n v="33.479999999999997"/>
    <n v="14.12"/>
    <n v="0.21"/>
    <n v="33.21"/>
    <n v="74.25"/>
    <n v="16.27"/>
    <n v="10.01"/>
    <n v="1153.99"/>
    <n v="1.6736939677156408"/>
    <n v="1.0797893937948919"/>
    <x v="3"/>
  </r>
  <r>
    <x v="2"/>
    <x v="110"/>
    <n v="200.08"/>
    <n v="429.95"/>
    <n v="5.42"/>
    <x v="107"/>
    <n v="9.76"/>
    <n v="6.47"/>
    <n v="0.19"/>
    <n v="9.23"/>
    <n v="79.040000000000006"/>
    <n v="48.45"/>
    <n v="35.22"/>
    <n v="188.2"/>
    <n v="-0.36745279179532714"/>
    <n v="1.0724116990347716"/>
    <x v="3"/>
  </r>
  <r>
    <x v="0"/>
    <x v="111"/>
    <n v="286.79000000000002"/>
    <n v="138.76"/>
    <n v="1.52"/>
    <x v="108"/>
    <n v="1.75"/>
    <n v="1.28"/>
    <n v="0.05"/>
    <n v="4.7"/>
    <n v="29.22"/>
    <n v="28.23"/>
    <n v="24.54"/>
    <n v="44.53"/>
    <n v="-0.67109183852281529"/>
    <n v="1.0508865465552033"/>
    <x v="3"/>
  </r>
  <r>
    <x v="0"/>
    <x v="112"/>
    <n v="286.79000000000002"/>
    <n v="145.16"/>
    <n v="1.52"/>
    <x v="108"/>
    <n v="1.75"/>
    <n v="1.28"/>
    <n v="0.05"/>
    <n v="4.7"/>
    <n v="30.82"/>
    <n v="29.83"/>
    <n v="26.14"/>
    <n v="47.09"/>
    <n v="-0.66568141213162446"/>
    <n v="1.0000304188481675"/>
    <x v="3"/>
  </r>
  <r>
    <x v="0"/>
    <x v="113"/>
    <n v="286.79000000000002"/>
    <n v="151.56"/>
    <n v="1.52"/>
    <x v="108"/>
    <n v="1.75"/>
    <n v="1.28"/>
    <n v="0.05"/>
    <n v="4.7"/>
    <n v="32.42"/>
    <n v="31.43"/>
    <n v="27.74"/>
    <n v="66.61"/>
    <n v="-0.62442691089879532"/>
    <n v="0.93629314067036162"/>
    <x v="3"/>
  </r>
  <r>
    <x v="2"/>
    <x v="114"/>
    <n v="334"/>
    <n v="481.11"/>
    <n v="6.03"/>
    <x v="109"/>
    <n v="18.89"/>
    <n v="15.91"/>
    <n v="0.22"/>
    <n v="9.36"/>
    <n v="72.510000000000005"/>
    <n v="55.14"/>
    <n v="44.35"/>
    <n v="332.6"/>
    <n v="-6.2270928167225952E-2"/>
    <n v="0.92075162436864755"/>
    <x v="3"/>
  </r>
  <r>
    <x v="4"/>
    <x v="115"/>
    <n v="180"/>
    <n v="72.25"/>
    <n v="0.65"/>
    <x v="110"/>
    <n v="0.02"/>
    <n v="0.02"/>
    <n v="0.02"/>
    <n v="0.01"/>
    <n v="18"/>
    <n v="16.829999999999998"/>
    <n v="0"/>
    <n v="10.8"/>
    <n v="-0.74237843312237095"/>
    <n v="0.88885397923875442"/>
    <x v="3"/>
  </r>
  <r>
    <x v="4"/>
    <x v="116"/>
    <n v="8"/>
    <n v="11.23"/>
    <n v="0.08"/>
    <x v="111"/>
    <n v="23.45"/>
    <n v="0"/>
    <n v="0.01"/>
    <n v="0.08"/>
    <n v="2.63"/>
    <n v="2.33"/>
    <n v="1.64"/>
    <n v="71.05"/>
    <n v="-0.61504320262657397"/>
    <n v="0.64132756010685665"/>
    <x v="3"/>
  </r>
  <r>
    <x v="4"/>
    <x v="117"/>
    <n v="25"/>
    <n v="81.180000000000007"/>
    <n v="0.52"/>
    <x v="112"/>
    <n v="5.57"/>
    <n v="1.78"/>
    <n v="0.47"/>
    <n v="0.28999999999999998"/>
    <n v="7.24"/>
    <n v="6.66"/>
    <n v="4"/>
    <n v="221.32"/>
    <n v="-0.2974554003592973"/>
    <n v="0.41923186006405522"/>
    <x v="3"/>
  </r>
  <r>
    <x v="4"/>
    <x v="118"/>
    <n v="25"/>
    <n v="54.89"/>
    <n v="0.26"/>
    <x v="113"/>
    <n v="0.49"/>
    <n v="0.15"/>
    <n v="0.04"/>
    <n v="0.25"/>
    <n v="12.36"/>
    <n v="7.65"/>
    <n v="2.5"/>
    <n v="113.23"/>
    <n v="-0.52589797404047067"/>
    <n v="0.36044462197121513"/>
    <x v="3"/>
  </r>
  <r>
    <x v="4"/>
    <x v="119"/>
    <n v="10"/>
    <n v="8.07"/>
    <n v="0.03"/>
    <x v="114"/>
    <n v="0.01"/>
    <n v="0.01"/>
    <n v="0.01"/>
    <n v="0.1"/>
    <n v="1.99"/>
    <n v="1.53"/>
    <n v="1.34"/>
    <n v="65.239999999999995"/>
    <n v="-0.62732233439720597"/>
    <n v="0.30650721189591079"/>
    <x v="3"/>
  </r>
  <r>
    <x v="2"/>
    <x v="120"/>
    <n v="236.5"/>
    <n v="94.94"/>
    <n v="0.24"/>
    <x v="115"/>
    <n v="0.16"/>
    <n v="0.16"/>
    <n v="0.16"/>
    <n v="1.57"/>
    <n v="24.17"/>
    <n v="20.75"/>
    <n v="19.940000000000001"/>
    <n v="9.61"/>
    <n v="-0.74489343601515101"/>
    <n v="0.24318123657046553"/>
    <x v="3"/>
  </r>
  <r>
    <x v="2"/>
    <x v="121"/>
    <n v="236.5"/>
    <n v="94.95"/>
    <n v="0.24"/>
    <x v="115"/>
    <n v="0.16"/>
    <n v="0.16"/>
    <n v="0.16"/>
    <n v="1.57"/>
    <n v="24.17"/>
    <n v="21.1"/>
    <n v="20.27"/>
    <n v="9.7200000000000006"/>
    <n v="-0.74466095675615451"/>
    <n v="0.24304461295418639"/>
    <x v="3"/>
  </r>
  <r>
    <x v="2"/>
    <x v="122"/>
    <n v="245"/>
    <n v="121.86"/>
    <n v="0.27"/>
    <x v="116"/>
    <n v="0.17"/>
    <n v="0.17"/>
    <n v="0.17"/>
    <n v="1.65"/>
    <n v="30.59"/>
    <n v="26.53"/>
    <n v="25.6"/>
    <n v="10.26"/>
    <n v="-0.74351969493926284"/>
    <n v="0.21130573116691287"/>
    <x v="3"/>
  </r>
  <r>
    <x v="2"/>
    <x v="123"/>
    <n v="310"/>
    <n v="103.85"/>
    <n v="0.16"/>
    <x v="117"/>
    <n v="0.04"/>
    <n v="0.04"/>
    <n v="0.04"/>
    <n v="0.4"/>
    <n v="25.56"/>
    <n v="21.25"/>
    <n v="20.52"/>
    <n v="23.82"/>
    <n v="-0.71486134264842449"/>
    <n v="0.13024836783822821"/>
    <x v="3"/>
  </r>
  <r>
    <x v="2"/>
    <x v="124"/>
    <n v="310"/>
    <n v="102.38"/>
    <n v="0.14000000000000001"/>
    <x v="118"/>
    <n v="0.04"/>
    <n v="0.04"/>
    <n v="0.04"/>
    <n v="0.4"/>
    <n v="25.18"/>
    <n v="21.06"/>
    <n v="19.28"/>
    <n v="102.68"/>
    <n v="-0.54819484842604183"/>
    <n v="3.4065458097284632E-2"/>
    <x v="3"/>
  </r>
  <r>
    <x v="3"/>
    <x v="125"/>
    <n v="200"/>
    <n v="6.8"/>
    <n v="0"/>
    <x v="0"/>
    <n v="0"/>
    <n v="0"/>
    <n v="0"/>
    <n v="0"/>
    <n v="1.7"/>
    <n v="0"/>
    <n v="0"/>
    <n v="0"/>
    <n v="-0.76520366946020679"/>
    <n v="0"/>
    <x v="3"/>
  </r>
  <r>
    <x v="0"/>
    <x v="126"/>
    <n v="299"/>
    <n v="119.52"/>
    <n v="0"/>
    <x v="0"/>
    <n v="0"/>
    <n v="0"/>
    <n v="0"/>
    <n v="0"/>
    <n v="29.88"/>
    <n v="29.88"/>
    <n v="29.88"/>
    <n v="2.02"/>
    <n v="-0.76093450488590797"/>
    <n v="-2.0200000000000001E-3"/>
    <x v="3"/>
  </r>
  <r>
    <x v="0"/>
    <x v="127"/>
    <n v="394"/>
    <n v="165.12"/>
    <n v="0"/>
    <x v="0"/>
    <n v="0"/>
    <n v="0"/>
    <n v="0"/>
    <n v="0"/>
    <n v="41.28"/>
    <n v="41.28"/>
    <n v="41.28"/>
    <n v="2.79"/>
    <n v="-0.75930715007293248"/>
    <n v="-2.7899999999999999E-3"/>
    <x v="3"/>
  </r>
  <r>
    <x v="0"/>
    <x v="128"/>
    <n v="544"/>
    <n v="237.12"/>
    <n v="0"/>
    <x v="0"/>
    <n v="0"/>
    <n v="0"/>
    <n v="0"/>
    <n v="0"/>
    <n v="59.28"/>
    <n v="59.28"/>
    <n v="59.28"/>
    <n v="4"/>
    <n v="-0.75674987822397133"/>
    <n v="-4.0000000000000001E-3"/>
    <x v="3"/>
  </r>
  <r>
    <x v="2"/>
    <x v="129"/>
    <n v="310"/>
    <n v="128.21"/>
    <n v="7.0000000000000007E-2"/>
    <x v="119"/>
    <n v="0.08"/>
    <n v="0"/>
    <n v="0"/>
    <n v="0"/>
    <n v="31.72"/>
    <n v="28.72"/>
    <n v="28.08"/>
    <n v="66.2"/>
    <n v="-0.62529342450050951"/>
    <n v="-1.16020747211606E-2"/>
    <x v="3"/>
  </r>
  <r>
    <x v="4"/>
    <x v="130"/>
    <n v="30"/>
    <n v="86.4"/>
    <n v="0"/>
    <x v="0"/>
    <n v="0"/>
    <n v="0"/>
    <n v="0"/>
    <n v="0.3"/>
    <n v="21.6"/>
    <n v="16.2"/>
    <n v="5.34"/>
    <n v="15"/>
    <n v="-0.73350195232432369"/>
    <n v="-1.4999999999999999E-2"/>
    <x v="3"/>
  </r>
  <r>
    <x v="0"/>
    <x v="131"/>
    <n v="299"/>
    <n v="109.56"/>
    <n v="0"/>
    <x v="0"/>
    <n v="0"/>
    <n v="0"/>
    <n v="0"/>
    <n v="0"/>
    <n v="27.39"/>
    <n v="27.39"/>
    <n v="27.39"/>
    <n v="21.17"/>
    <n v="-0.7204619793424305"/>
    <n v="-2.1170000000000001E-2"/>
    <x v="3"/>
  </r>
  <r>
    <x v="0"/>
    <x v="132"/>
    <n v="330"/>
    <n v="0.99"/>
    <n v="0"/>
    <x v="0"/>
    <n v="0"/>
    <n v="0"/>
    <n v="0"/>
    <n v="0"/>
    <n v="0"/>
    <n v="0"/>
    <n v="0"/>
    <n v="24.75"/>
    <n v="-0.71289583618599972"/>
    <n v="-2.4750000000000001E-2"/>
    <x v="3"/>
  </r>
  <r>
    <x v="0"/>
    <x v="133"/>
    <n v="299"/>
    <n v="99.6"/>
    <n v="0"/>
    <x v="0"/>
    <n v="0"/>
    <n v="0"/>
    <n v="0"/>
    <n v="0"/>
    <n v="24.9"/>
    <n v="24.9"/>
    <n v="24.9"/>
    <n v="25.15"/>
    <n v="-0.71205045706237624"/>
    <n v="-2.5149999999999999E-2"/>
    <x v="3"/>
  </r>
  <r>
    <x v="0"/>
    <x v="134"/>
    <n v="394"/>
    <n v="151.36000000000001"/>
    <n v="0"/>
    <x v="0"/>
    <n v="0"/>
    <n v="0"/>
    <n v="0"/>
    <n v="0"/>
    <n v="37.840000000000003"/>
    <n v="37.840000000000003"/>
    <n v="37.840000000000003"/>
    <n v="29.24"/>
    <n v="-0.70340645552332537"/>
    <n v="-2.9239999999999999E-2"/>
    <x v="3"/>
  </r>
  <r>
    <x v="0"/>
    <x v="135"/>
    <n v="394"/>
    <n v="137.6"/>
    <n v="0"/>
    <x v="0"/>
    <n v="0"/>
    <n v="0"/>
    <n v="0"/>
    <n v="0"/>
    <n v="34.4"/>
    <n v="34.4"/>
    <n v="34.4"/>
    <n v="34.74"/>
    <n v="-0.69178249257350155"/>
    <n v="-3.474E-2"/>
    <x v="3"/>
  </r>
  <r>
    <x v="0"/>
    <x v="136"/>
    <n v="544"/>
    <n v="217.36"/>
    <n v="0"/>
    <x v="0"/>
    <n v="0"/>
    <n v="0"/>
    <n v="0"/>
    <n v="0"/>
    <n v="54.34"/>
    <n v="54.34"/>
    <n v="54.34"/>
    <n v="41.99"/>
    <n v="-0.6764599959578248"/>
    <n v="-4.199E-2"/>
    <x v="3"/>
  </r>
  <r>
    <x v="0"/>
    <x v="137"/>
    <n v="544"/>
    <n v="197.6"/>
    <n v="0"/>
    <x v="0"/>
    <n v="0"/>
    <n v="0"/>
    <n v="0"/>
    <n v="0"/>
    <n v="49.4"/>
    <n v="49.4"/>
    <n v="49.4"/>
    <n v="49.89"/>
    <n v="-0.65976375826625977"/>
    <n v="-4.9890000000000004E-2"/>
    <x v="3"/>
  </r>
  <r>
    <x v="0"/>
    <x v="138"/>
    <n v="299"/>
    <n v="129.47999999999999"/>
    <n v="0"/>
    <x v="0"/>
    <n v="0"/>
    <n v="0"/>
    <n v="0"/>
    <n v="0"/>
    <n v="32.369999999999997"/>
    <n v="32.369999999999997"/>
    <n v="32.369999999999997"/>
    <n v="55.53"/>
    <n v="-0.64784391262316776"/>
    <n v="-5.5530000000000003E-2"/>
    <x v="3"/>
  </r>
  <r>
    <x v="0"/>
    <x v="139"/>
    <n v="394"/>
    <n v="178.88"/>
    <n v="0"/>
    <x v="0"/>
    <n v="0"/>
    <n v="0"/>
    <n v="0"/>
    <n v="0"/>
    <n v="44.72"/>
    <n v="44.72"/>
    <n v="44.72"/>
    <n v="76.709999999999994"/>
    <n v="-0.60308108802730076"/>
    <n v="-7.671E-2"/>
    <x v="3"/>
  </r>
  <r>
    <x v="0"/>
    <x v="140"/>
    <n v="544"/>
    <n v="256.88"/>
    <n v="0"/>
    <x v="0"/>
    <n v="0"/>
    <n v="0"/>
    <n v="0"/>
    <n v="0"/>
    <n v="64.22"/>
    <n v="64.22"/>
    <n v="64.22"/>
    <n v="110.16"/>
    <n v="-0.53238625881428148"/>
    <n v="-0.11015999999999999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FE5F8E-4136-4165-8B8F-B0AE97CCFCAF}" name="PivotTable1" cacheId="1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B11" firstHeaderRow="1" firstDataRow="1" firstDataCol="1"/>
  <pivotFields count="17">
    <pivotField axis="axisRow" compact="0" outline="0" showAll="0">
      <items count="8">
        <item x="0"/>
        <item x="1"/>
        <item x="4"/>
        <item x="6"/>
        <item x="5"/>
        <item x="2"/>
        <item x="3"/>
        <item t="default"/>
      </items>
    </pivotField>
    <pivotField compact="0" outline="0" showAll="0"/>
    <pivotField compact="0" numFmtId="2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Protein (g)" fld="4" subtotal="average" baseField="0" baseItem="0"/>
  </dataFields>
  <formats count="2">
    <format dxfId="25">
      <pivotArea outline="0" fieldPosition="0">
        <references count="1">
          <reference field="0" count="0" selected="0"/>
        </references>
      </pivotArea>
    </format>
    <format dxfId="26">
      <pivotArea grandRow="1" outline="0" collapsedLevelsAreSubtotals="1" fieldPosition="0"/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54C406-BAFE-4E48-9476-FABF4BFB5F6A}" name="PivotTable1" cacheId="1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7" firstHeaderRow="1" firstDataRow="1" firstDataCol="1"/>
  <pivotFields count="17"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5">
        <item x="2"/>
        <item x="3"/>
        <item x="1"/>
        <item h="1" x="0"/>
        <item t="default"/>
      </items>
    </pivotField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rategic Health Tier" fld="16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9AC566-7E5E-45DD-A002-9C73DF34173E}" name="PivotTable2" cacheId="1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1" firstHeaderRow="1" firstDataRow="1" firstDataCol="1"/>
  <pivotFields count="17">
    <pivotField axis="axisRow" compact="0" outline="0" showAll="0">
      <items count="8">
        <item x="0"/>
        <item x="1"/>
        <item x="4"/>
        <item x="6"/>
        <item x="5"/>
        <item x="2"/>
        <item x="3"/>
        <item t="default"/>
      </items>
    </pivotField>
    <pivotField compact="0" outline="0" showAll="0"/>
    <pivotField compact="0" numFmtId="2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Protein-to-Weight Ratio" fld="5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DC58EB-17BB-4046-9A15-B488BFF9BC19}" name="PivotTable4" cacheId="1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14:D156" firstHeaderRow="1" firstDataRow="1" firstDataCol="1"/>
  <pivotFields count="17">
    <pivotField compact="0" outline="0" showAll="0"/>
    <pivotField axis="axisRow" compact="0" outline="0" showAll="0" sortType="descending">
      <items count="142">
        <item x="8"/>
        <item x="13"/>
        <item x="11"/>
        <item x="20"/>
        <item x="14"/>
        <item x="18"/>
        <item x="45"/>
        <item x="102"/>
        <item x="38"/>
        <item x="62"/>
        <item x="74"/>
        <item x="33"/>
        <item x="34"/>
        <item x="36"/>
        <item x="59"/>
        <item x="118"/>
        <item x="27"/>
        <item x="24"/>
        <item x="21"/>
        <item x="109"/>
        <item x="6"/>
        <item x="52"/>
        <item x="56"/>
        <item x="84"/>
        <item x="75"/>
        <item x="50"/>
        <item x="119"/>
        <item x="114"/>
        <item x="90"/>
        <item x="32"/>
        <item x="111"/>
        <item x="132"/>
        <item x="95"/>
        <item x="53"/>
        <item x="104"/>
        <item x="58"/>
        <item x="31"/>
        <item x="12"/>
        <item x="10"/>
        <item x="9"/>
        <item x="35"/>
        <item x="30"/>
        <item x="113"/>
        <item x="39"/>
        <item x="29"/>
        <item x="26"/>
        <item x="23"/>
        <item x="93"/>
        <item x="120"/>
        <item x="80"/>
        <item x="69"/>
        <item x="108"/>
        <item x="89"/>
        <item x="60"/>
        <item x="64"/>
        <item x="57"/>
        <item x="65"/>
        <item x="67"/>
        <item x="125"/>
        <item x="55"/>
        <item x="136"/>
        <item x="140"/>
        <item x="103"/>
        <item x="128"/>
        <item x="137"/>
        <item x="99"/>
        <item x="28"/>
        <item x="25"/>
        <item x="22"/>
        <item x="122"/>
        <item x="96"/>
        <item x="130"/>
        <item x="49"/>
        <item x="37"/>
        <item x="42"/>
        <item x="40"/>
        <item x="73"/>
        <item x="5"/>
        <item x="44"/>
        <item x="68"/>
        <item x="70"/>
        <item x="81"/>
        <item x="76"/>
        <item x="110"/>
        <item x="134"/>
        <item x="139"/>
        <item x="98"/>
        <item x="92"/>
        <item x="79"/>
        <item x="100"/>
        <item x="127"/>
        <item x="135"/>
        <item x="87"/>
        <item x="123"/>
        <item x="94"/>
        <item x="115"/>
        <item x="46"/>
        <item x="43"/>
        <item x="41"/>
        <item x="105"/>
        <item x="16"/>
        <item x="15"/>
        <item x="17"/>
        <item x="117"/>
        <item x="7"/>
        <item x="106"/>
        <item x="61"/>
        <item x="72"/>
        <item x="54"/>
        <item x="124"/>
        <item x="101"/>
        <item x="91"/>
        <item x="83"/>
        <item x="86"/>
        <item x="77"/>
        <item x="85"/>
        <item x="82"/>
        <item x="19"/>
        <item x="1"/>
        <item x="131"/>
        <item x="138"/>
        <item x="78"/>
        <item x="126"/>
        <item x="133"/>
        <item x="66"/>
        <item x="51"/>
        <item x="47"/>
        <item x="71"/>
        <item x="112"/>
        <item x="2"/>
        <item x="3"/>
        <item x="4"/>
        <item x="121"/>
        <item x="97"/>
        <item x="48"/>
        <item x="129"/>
        <item x="116"/>
        <item x="107"/>
        <item x="0"/>
        <item x="88"/>
        <item x="6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"/>
  </rowFields>
  <rowItems count="142">
    <i>
      <x v="47"/>
    </i>
    <i>
      <x v="29"/>
    </i>
    <i>
      <x v="25"/>
    </i>
    <i>
      <x v="23"/>
    </i>
    <i>
      <x v="78"/>
    </i>
    <i>
      <x v="139"/>
    </i>
    <i>
      <x v="79"/>
    </i>
    <i>
      <x v="8"/>
    </i>
    <i>
      <x v="3"/>
    </i>
    <i>
      <x v="9"/>
    </i>
    <i>
      <x v="105"/>
    </i>
    <i>
      <x v="19"/>
    </i>
    <i>
      <x v="125"/>
    </i>
    <i>
      <x v="6"/>
    </i>
    <i>
      <x v="127"/>
    </i>
    <i>
      <x v="80"/>
    </i>
    <i>
      <x v="10"/>
    </i>
    <i>
      <x v="75"/>
    </i>
    <i>
      <x v="77"/>
    </i>
    <i>
      <x v="140"/>
    </i>
    <i>
      <x v="118"/>
    </i>
    <i>
      <x v="126"/>
    </i>
    <i>
      <x v="72"/>
    </i>
    <i>
      <x v="74"/>
    </i>
    <i>
      <x v="117"/>
    </i>
    <i>
      <x v="1"/>
    </i>
    <i>
      <x v="82"/>
    </i>
    <i>
      <x v="5"/>
    </i>
    <i>
      <x v="65"/>
    </i>
    <i>
      <x v="22"/>
    </i>
    <i>
      <x v="33"/>
    </i>
    <i>
      <x v="52"/>
    </i>
    <i>
      <x v="49"/>
    </i>
    <i>
      <x v="24"/>
    </i>
    <i>
      <x v="76"/>
    </i>
    <i>
      <x v="43"/>
    </i>
    <i>
      <x v="36"/>
    </i>
    <i>
      <x v="92"/>
    </i>
    <i>
      <x/>
    </i>
    <i>
      <x v="4"/>
    </i>
    <i>
      <x v="21"/>
    </i>
    <i>
      <x v="106"/>
    </i>
    <i>
      <x v="50"/>
    </i>
    <i>
      <x v="73"/>
    </i>
    <i>
      <x v="107"/>
    </i>
    <i>
      <x v="116"/>
    </i>
    <i>
      <x v="27"/>
    </i>
    <i>
      <x v="2"/>
    </i>
    <i>
      <x v="34"/>
    </i>
    <i>
      <x v="62"/>
    </i>
    <i>
      <x v="51"/>
    </i>
    <i>
      <x v="53"/>
    </i>
    <i>
      <x v="137"/>
    </i>
    <i>
      <x v="99"/>
    </i>
    <i>
      <x v="103"/>
    </i>
    <i>
      <x v="86"/>
    </i>
    <i>
      <x v="96"/>
    </i>
    <i>
      <x v="54"/>
    </i>
    <i>
      <x v="32"/>
    </i>
    <i>
      <x v="83"/>
    </i>
    <i>
      <x v="7"/>
    </i>
    <i>
      <x v="44"/>
    </i>
    <i>
      <x v="20"/>
    </i>
    <i>
      <x v="28"/>
    </i>
    <i>
      <x v="97"/>
    </i>
    <i>
      <x v="55"/>
    </i>
    <i>
      <x v="66"/>
    </i>
    <i>
      <x v="16"/>
    </i>
    <i>
      <x v="45"/>
    </i>
    <i>
      <x v="111"/>
    </i>
    <i>
      <x v="112"/>
    </i>
    <i>
      <x v="87"/>
    </i>
    <i>
      <x v="133"/>
    </i>
    <i>
      <x v="67"/>
    </i>
    <i>
      <x v="98"/>
    </i>
    <i>
      <x v="17"/>
    </i>
    <i>
      <x v="46"/>
    </i>
    <i>
      <x v="15"/>
    </i>
    <i>
      <x v="88"/>
    </i>
    <i>
      <x v="61"/>
    </i>
    <i>
      <x v="68"/>
    </i>
    <i>
      <x v="110"/>
    </i>
    <i>
      <x v="109"/>
    </i>
    <i>
      <x v="113"/>
    </i>
    <i>
      <x v="14"/>
    </i>
    <i>
      <x v="94"/>
    </i>
    <i>
      <x v="18"/>
    </i>
    <i>
      <x v="70"/>
    </i>
    <i>
      <x v="121"/>
    </i>
    <i>
      <x v="57"/>
    </i>
    <i>
      <x v="85"/>
    </i>
    <i>
      <x v="136"/>
    </i>
    <i>
      <x v="35"/>
    </i>
    <i>
      <x v="108"/>
    </i>
    <i>
      <x v="42"/>
    </i>
    <i>
      <x v="135"/>
    </i>
    <i>
      <x v="114"/>
    </i>
    <i>
      <x v="26"/>
    </i>
    <i>
      <x v="56"/>
    </i>
    <i>
      <x v="120"/>
    </i>
    <i>
      <x v="81"/>
    </i>
    <i>
      <x v="64"/>
    </i>
    <i>
      <x v="89"/>
    </i>
    <i>
      <x v="128"/>
    </i>
    <i>
      <x v="30"/>
    </i>
    <i>
      <x v="60"/>
    </i>
    <i>
      <x v="124"/>
    </i>
    <i>
      <x v="91"/>
    </i>
    <i>
      <x v="115"/>
    </i>
    <i>
      <x v="84"/>
    </i>
    <i>
      <x v="41"/>
    </i>
    <i>
      <x v="123"/>
    </i>
    <i>
      <x v="31"/>
    </i>
    <i>
      <x v="100"/>
    </i>
    <i>
      <x v="93"/>
    </i>
    <i>
      <x v="129"/>
    </i>
    <i>
      <x v="37"/>
    </i>
    <i>
      <x v="119"/>
    </i>
    <i>
      <x v="101"/>
    </i>
    <i>
      <x v="130"/>
    </i>
    <i>
      <x v="38"/>
    </i>
    <i>
      <x v="71"/>
    </i>
    <i>
      <x v="102"/>
    </i>
    <i>
      <x v="131"/>
    </i>
    <i>
      <x v="59"/>
    </i>
    <i>
      <x v="39"/>
    </i>
    <i>
      <x v="95"/>
    </i>
    <i>
      <x v="69"/>
    </i>
    <i>
      <x v="132"/>
    </i>
    <i>
      <x v="48"/>
    </i>
    <i>
      <x v="63"/>
    </i>
    <i>
      <x v="138"/>
    </i>
    <i>
      <x v="90"/>
    </i>
    <i>
      <x v="122"/>
    </i>
    <i>
      <x v="11"/>
    </i>
    <i>
      <x v="12"/>
    </i>
    <i>
      <x v="40"/>
    </i>
    <i>
      <x v="13"/>
    </i>
    <i>
      <x v="134"/>
    </i>
    <i>
      <x v="104"/>
    </i>
    <i>
      <x v="58"/>
    </i>
    <i t="grand">
      <x/>
    </i>
  </rowItems>
  <colItems count="1">
    <i/>
  </colItems>
  <dataFields count="1">
    <dataField name="Sodium_Z-Score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DCC24A-C3E5-4E13-96EB-6032B3BFDF51}" name="Table2" displayName="Table2" ref="A1:Q142" totalsRowShown="0">
  <autoFilter ref="A1:Q142" xr:uid="{35DCC24A-C3E5-4E13-96EB-6032B3BFDF51}"/>
  <tableColumns count="17">
    <tableColumn id="1" xr3:uid="{2AFCA6E7-D560-4828-BA38-32452B988177}" name="Menu Category"/>
    <tableColumn id="2" xr3:uid="{4F4F327A-89AC-472E-8FF8-AB6C9C5B1667}" name="Menu Items"/>
    <tableColumn id="14" xr3:uid="{5AF6A4CE-3569-4401-96AC-4EE1E9B71035}" name="Sodium Z-Score" dataDxfId="20">
      <calculatedColumnFormula>(O2-$K$147)/($K$150)</calculatedColumnFormula>
    </tableColumn>
    <tableColumn id="3" xr3:uid="{0995A13A-7A52-4AD5-9EC2-8E8D9F9DD04B}" name="Per Serve Size" dataDxfId="19"/>
    <tableColumn id="4" xr3:uid="{47627A7D-54FB-4199-A7A0-7EFE102245FE}" name="Energy (kCal)"/>
    <tableColumn id="5" xr3:uid="{7591CD89-B07B-4680-A75F-FC4E5DD4BD42}" name="Protein (g)"/>
    <tableColumn id="15" xr3:uid="{0F64DCBC-F329-4FDA-B88E-EC68670974F1}" name="Protein-to-Weight Ratio" dataDxfId="18">
      <calculatedColumnFormula>Table2[[#This Row],[Protein (g)]]/Table2[[#This Row],[Per Serve Size]]</calculatedColumnFormula>
    </tableColumn>
    <tableColumn id="6" xr3:uid="{45287E60-0DFD-474E-A8DE-DF4E2B8B225D}" name="Total fat (g)"/>
    <tableColumn id="7" xr3:uid="{37DF6212-DBB9-46C9-AB67-C62A72B7F273}" name="Sat Fat (g)"/>
    <tableColumn id="8" xr3:uid="{4C90D294-BBFA-4FD0-B0CC-7AEB17E2808E}" name="Trans fat (g)"/>
    <tableColumn id="9" xr3:uid="{5D2BEF6B-E21E-4E17-BF8F-C236529CC2D3}" name="Cholesterols (mg)"/>
    <tableColumn id="10" xr3:uid="{4A2DAC59-4B01-4D49-9E6C-D84D4B64BBC6}" name="Total carbohydrate (g)"/>
    <tableColumn id="11" xr3:uid="{A81FE914-2EDF-443A-9882-D9418FE6C1F7}" name="Total Sugars (g)"/>
    <tableColumn id="12" xr3:uid="{6F0E8C67-A2D5-4397-9550-4575A97C153C}" name="Added Sugars (g)"/>
    <tableColumn id="13" xr3:uid="{BCAC574A-29F9-4731-8AB7-220E507B45A0}" name="Sodium (mg)"/>
    <tableColumn id="16" xr3:uid="{1CCE3D65-CA43-4494-ADD3-C913A85AC6B3}" name="Nutrient-Density Index (NDI" dataDxfId="17">
      <calculatedColumnFormula>(Table2[[#This Row],[Protein (g)]]/Table2[[#This Row],[Energy (kCal)]])*100-(Table2[[#This Row],[Sodium (mg)]]/1000)</calculatedColumnFormula>
    </tableColumn>
    <tableColumn id="17" xr3:uid="{36CA775D-BBA2-4800-BC1E-0BECCC99526C}" name="Strategic Health Tier" dataDxfId="16">
      <calculatedColumnFormula>IF(P2 &gt; 5, "Premium Health", IF(P2 &gt; 3, "Balanced", "High-Risk"))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94F6B1-86CC-4843-A576-416DC0B3129A}" name="Table3" displayName="Table3" ref="A2:D45" totalsRowShown="0" dataDxfId="15" tableBorderDxfId="14">
  <autoFilter ref="A2:D45" xr:uid="{8594F6B1-86CC-4843-A576-416DC0B3129A}"/>
  <tableColumns count="4">
    <tableColumn id="1" xr3:uid="{1791D2BA-7528-47DF-BF47-B739139A8209}" name="Menu Category" dataDxfId="13"/>
    <tableColumn id="2" xr3:uid="{9825C423-A8A5-4084-8D20-D43D2D6D41C7}" name="Menu Items" dataDxfId="12"/>
    <tableColumn id="3" xr3:uid="{EA1784AD-34AD-4DA0-97BE-7128503A460E}" name="Energy (kCal)" dataDxfId="11"/>
    <tableColumn id="4" xr3:uid="{E2202324-AB38-486B-AF03-82BCA43B3632}" name="Protein (g)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B1FEEA-74EC-40BD-AA11-D94E5920B21E}" name="Table4" displayName="Table4" ref="G2:J79" totalsRowShown="0" dataDxfId="9" tableBorderDxfId="8">
  <autoFilter ref="G2:J79" xr:uid="{1DB1FEEA-74EC-40BD-AA11-D94E5920B21E}"/>
  <tableColumns count="4">
    <tableColumn id="1" xr3:uid="{9D026338-39FA-445D-9856-0FBFAD96AC1C}" name="Menu Category" dataDxfId="7"/>
    <tableColumn id="2" xr3:uid="{C8D1C347-B54C-41D3-83CE-CD529D9D1104}" name="Menu Items" dataDxfId="6"/>
    <tableColumn id="3" xr3:uid="{0404A893-4B5C-4DD8-8586-BCB5C7022FE1}" name="Energy (kCal)" dataDxfId="5"/>
    <tableColumn id="4" xr3:uid="{DDCA9A95-9656-4B7E-A4A2-E075D6FD98BA}" name="Protein (g)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542618-63A4-40B9-9DE4-A55E50E72B2C}" name="Table1" displayName="Table1" ref="E3:H11" totalsRowShown="0" headerRowDxfId="1">
  <autoFilter ref="E3:H11" xr:uid="{25542618-63A4-40B9-9DE4-A55E50E72B2C}"/>
  <tableColumns count="4">
    <tableColumn id="1" xr3:uid="{2E453F1E-CC97-406F-8B7D-B36A79AD5926}" name="Statistic " dataDxfId="0"/>
    <tableColumn id="2" xr3:uid="{8E504A7C-93D2-4ED8-A68D-78C4BFCFBC92}" name="Energy (kCal) "/>
    <tableColumn id="3" xr3:uid="{4632C2DD-1A3A-4F2E-94F5-2BE90233F914}" name="Protein (g) "/>
    <tableColumn id="4" xr3:uid="{C286D289-1915-449E-8215-1F22D20A2E37}" name="Sodium (mg) 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ED54C-AF03-43C3-8D17-167716B7EE73}">
  <dimension ref="A1:Q156"/>
  <sheetViews>
    <sheetView workbookViewId="0">
      <selection activeCell="M1" sqref="M1"/>
    </sheetView>
  </sheetViews>
  <sheetFormatPr defaultRowHeight="14.45"/>
  <cols>
    <col min="1" max="1" width="17" customWidth="1"/>
    <col min="2" max="2" width="41.85546875" customWidth="1"/>
    <col min="3" max="3" width="19.140625" bestFit="1" customWidth="1"/>
    <col min="4" max="4" width="16.28515625" customWidth="1"/>
    <col min="5" max="5" width="16.7109375" customWidth="1"/>
    <col min="6" max="6" width="15.28515625" customWidth="1"/>
    <col min="7" max="7" width="28.5703125" customWidth="1"/>
    <col min="8" max="8" width="14.7109375" customWidth="1"/>
    <col min="9" max="9" width="24.140625" customWidth="1"/>
    <col min="10" max="10" width="20" customWidth="1"/>
    <col min="11" max="12" width="23" customWidth="1"/>
    <col min="13" max="14" width="18.140625" customWidth="1"/>
    <col min="15" max="15" width="20.5703125" customWidth="1"/>
    <col min="16" max="16" width="28" bestFit="1" customWidth="1"/>
    <col min="17" max="17" width="24" customWidth="1"/>
  </cols>
  <sheetData>
    <row r="1" spans="1:17">
      <c r="A1" s="35" t="s">
        <v>0</v>
      </c>
      <c r="B1" s="35" t="s">
        <v>1</v>
      </c>
      <c r="C1" s="9" t="s">
        <v>2</v>
      </c>
      <c r="D1" s="35" t="s">
        <v>3</v>
      </c>
      <c r="E1" s="35" t="s">
        <v>4</v>
      </c>
      <c r="F1" s="35" t="s">
        <v>5</v>
      </c>
      <c r="G1" s="36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6" t="s">
        <v>16</v>
      </c>
    </row>
    <row r="2" spans="1:17" ht="18.75" customHeight="1">
      <c r="A2" s="35" t="s">
        <v>17</v>
      </c>
      <c r="B2" s="35" t="s">
        <v>18</v>
      </c>
      <c r="C2" s="36">
        <f t="shared" ref="C2:C33" si="0">(O2-$K$147)/($K$150)</f>
        <v>4.3059932138984651</v>
      </c>
      <c r="D2" s="8">
        <v>325</v>
      </c>
      <c r="E2" s="35">
        <v>720.3</v>
      </c>
      <c r="F2" s="35">
        <v>26.91</v>
      </c>
      <c r="G2" s="35">
        <f>Table2[[#This Row],[Protein (g)]]/Table2[[#This Row],[Per Serve Size]]</f>
        <v>8.2799999999999999E-2</v>
      </c>
      <c r="H2" s="35">
        <v>29.2</v>
      </c>
      <c r="I2" s="35">
        <v>5.08</v>
      </c>
      <c r="J2" s="35">
        <v>0.3</v>
      </c>
      <c r="K2" s="35">
        <v>31.32</v>
      </c>
      <c r="L2" s="35">
        <v>77.47</v>
      </c>
      <c r="M2" s="35">
        <v>3.28</v>
      </c>
      <c r="N2" s="35">
        <v>0.35</v>
      </c>
      <c r="O2" s="35">
        <v>2399.4899999999998</v>
      </c>
      <c r="P2" s="35">
        <f>(Table2[[#This Row],[Protein (g)]]/Table2[[#This Row],[Energy (kCal)]])*100-(Table2[[#This Row],[Sodium (mg)]]/1000)</f>
        <v>1.3364533569346113</v>
      </c>
      <c r="Q2" s="35" t="str">
        <f t="shared" ref="Q2:Q33" si="1">IF(P2 &gt; 5, "Premium Health", IF(P2 &gt; 3, "Balanced", "High-Risk"))</f>
        <v>High-Risk</v>
      </c>
    </row>
    <row r="3" spans="1:17">
      <c r="A3" s="35" t="s">
        <v>19</v>
      </c>
      <c r="B3" s="35" t="s">
        <v>20</v>
      </c>
      <c r="C3" s="36">
        <f t="shared" si="0"/>
        <v>3.2635984855144491</v>
      </c>
      <c r="D3" s="8">
        <v>301</v>
      </c>
      <c r="E3" s="35">
        <v>641.36</v>
      </c>
      <c r="F3" s="35">
        <v>39.47</v>
      </c>
      <c r="G3" s="35">
        <f>Table2[[#This Row],[Protein (g)]]/Table2[[#This Row],[Per Serve Size]]</f>
        <v>0.13112956810631229</v>
      </c>
      <c r="H3" s="35">
        <v>31.51</v>
      </c>
      <c r="I3" s="35">
        <v>9.5399999999999991</v>
      </c>
      <c r="J3" s="35">
        <v>0.26</v>
      </c>
      <c r="K3" s="35">
        <v>110.37</v>
      </c>
      <c r="L3" s="35">
        <v>46.24</v>
      </c>
      <c r="M3" s="35">
        <v>9.16</v>
      </c>
      <c r="N3" s="35">
        <v>6.32</v>
      </c>
      <c r="O3" s="35">
        <v>1906.27</v>
      </c>
      <c r="P3" s="35">
        <f>(Table2[[#This Row],[Protein (g)]]/Table2[[#This Row],[Energy (kCal)]])*100-(Table2[[#This Row],[Sodium (mg)]]/1000)</f>
        <v>4.2478400162155419</v>
      </c>
      <c r="Q3" s="35" t="str">
        <f t="shared" si="1"/>
        <v>Balanced</v>
      </c>
    </row>
    <row r="4" spans="1:17">
      <c r="A4" s="35" t="s">
        <v>17</v>
      </c>
      <c r="B4" s="35" t="s">
        <v>21</v>
      </c>
      <c r="C4" s="36">
        <f t="shared" si="0"/>
        <v>3.1546291164793736</v>
      </c>
      <c r="D4" s="8">
        <v>296</v>
      </c>
      <c r="E4" s="35">
        <v>689.12</v>
      </c>
      <c r="F4" s="35">
        <v>34</v>
      </c>
      <c r="G4" s="35">
        <f>Table2[[#This Row],[Protein (g)]]/Table2[[#This Row],[Per Serve Size]]</f>
        <v>0.11486486486486487</v>
      </c>
      <c r="H4" s="35">
        <v>36.69</v>
      </c>
      <c r="I4" s="35">
        <v>10.33</v>
      </c>
      <c r="J4" s="35">
        <v>0.25</v>
      </c>
      <c r="K4" s="35">
        <v>81.489999999999995</v>
      </c>
      <c r="L4" s="35">
        <v>55.39</v>
      </c>
      <c r="M4" s="35">
        <v>8.92</v>
      </c>
      <c r="N4" s="35">
        <v>6.14</v>
      </c>
      <c r="O4" s="35">
        <v>1854.71</v>
      </c>
      <c r="P4" s="35">
        <f>(Table2[[#This Row],[Protein (g)]]/Table2[[#This Row],[Energy (kCal)]])*100-(Table2[[#This Row],[Sodium (mg)]]/1000)</f>
        <v>3.0791186510332018</v>
      </c>
      <c r="Q4" s="35" t="str">
        <f t="shared" si="1"/>
        <v>Balanced</v>
      </c>
    </row>
    <row r="5" spans="1:17">
      <c r="A5" s="35" t="s">
        <v>19</v>
      </c>
      <c r="B5" s="35" t="s">
        <v>22</v>
      </c>
      <c r="C5" s="36">
        <f t="shared" si="0"/>
        <v>2.9228472952598872</v>
      </c>
      <c r="D5" s="8">
        <v>307</v>
      </c>
      <c r="E5" s="35">
        <v>834.36</v>
      </c>
      <c r="F5" s="35">
        <v>27.37</v>
      </c>
      <c r="G5" s="35">
        <f>Table2[[#This Row],[Protein (g)]]/Table2[[#This Row],[Per Serve Size]]</f>
        <v>8.9153094462540716E-2</v>
      </c>
      <c r="H5" s="35">
        <v>45.18</v>
      </c>
      <c r="I5" s="35">
        <v>17</v>
      </c>
      <c r="J5" s="35">
        <v>0.27</v>
      </c>
      <c r="K5" s="35">
        <v>73.11</v>
      </c>
      <c r="L5" s="35">
        <v>76.03</v>
      </c>
      <c r="M5" s="35">
        <v>16.75</v>
      </c>
      <c r="N5" s="35">
        <v>10.01</v>
      </c>
      <c r="O5" s="35">
        <v>1745.04</v>
      </c>
      <c r="P5" s="35">
        <f>(Table2[[#This Row],[Protein (g)]]/Table2[[#This Row],[Energy (kCal)]])*100-(Table2[[#This Row],[Sodium (mg)]]/1000)</f>
        <v>1.535318598207009</v>
      </c>
      <c r="Q5" s="35" t="str">
        <f t="shared" si="1"/>
        <v>High-Risk</v>
      </c>
    </row>
    <row r="6" spans="1:17">
      <c r="A6" s="35" t="s">
        <v>19</v>
      </c>
      <c r="B6" s="35" t="s">
        <v>23</v>
      </c>
      <c r="C6" s="36">
        <f t="shared" si="0"/>
        <v>2.6477609284327848</v>
      </c>
      <c r="D6" s="8">
        <v>264.5</v>
      </c>
      <c r="E6" s="35">
        <v>622.25</v>
      </c>
      <c r="F6" s="35">
        <v>31.49</v>
      </c>
      <c r="G6" s="35">
        <f>Table2[[#This Row],[Protein (g)]]/Table2[[#This Row],[Per Serve Size]]</f>
        <v>0.11905482041587902</v>
      </c>
      <c r="H6" s="35">
        <v>34.65</v>
      </c>
      <c r="I6" s="35">
        <v>15.55</v>
      </c>
      <c r="J6" s="35">
        <v>0.24</v>
      </c>
      <c r="K6" s="35">
        <v>302.61</v>
      </c>
      <c r="L6" s="35">
        <v>43.6</v>
      </c>
      <c r="M6" s="35">
        <v>6.07</v>
      </c>
      <c r="N6" s="35">
        <v>2.64</v>
      </c>
      <c r="O6" s="35">
        <v>1614.88</v>
      </c>
      <c r="P6" s="35">
        <f>(Table2[[#This Row],[Protein (g)]]/Table2[[#This Row],[Energy (kCal)]])*100-(Table2[[#This Row],[Sodium (mg)]]/1000)</f>
        <v>3.445786934511851</v>
      </c>
      <c r="Q6" s="35" t="str">
        <f t="shared" si="1"/>
        <v>Balanced</v>
      </c>
    </row>
    <row r="7" spans="1:17">
      <c r="A7" s="35" t="s">
        <v>17</v>
      </c>
      <c r="B7" s="35" t="s">
        <v>24</v>
      </c>
      <c r="C7" s="36">
        <f t="shared" si="0"/>
        <v>2.4667229891088014</v>
      </c>
      <c r="D7" s="8">
        <v>306</v>
      </c>
      <c r="E7" s="35">
        <v>832.67</v>
      </c>
      <c r="F7" s="35">
        <v>24.17</v>
      </c>
      <c r="G7" s="35">
        <f>Table2[[#This Row],[Protein (g)]]/Table2[[#This Row],[Per Serve Size]]</f>
        <v>7.8986928104575166E-2</v>
      </c>
      <c r="H7" s="35">
        <v>37.94</v>
      </c>
      <c r="I7" s="35">
        <v>16.829999999999998</v>
      </c>
      <c r="J7" s="35">
        <v>0.28000000000000003</v>
      </c>
      <c r="K7" s="35">
        <v>36.19</v>
      </c>
      <c r="L7" s="35">
        <v>93.84</v>
      </c>
      <c r="M7" s="35">
        <v>11.52</v>
      </c>
      <c r="N7" s="35">
        <v>6.92</v>
      </c>
      <c r="O7" s="35">
        <v>1529.22</v>
      </c>
      <c r="P7" s="35">
        <f>(Table2[[#This Row],[Protein (g)]]/Table2[[#This Row],[Energy (kCal)]])*100-(Table2[[#This Row],[Sodium (mg)]]/1000)</f>
        <v>1.3734905576038532</v>
      </c>
      <c r="Q7" s="35" t="str">
        <f t="shared" si="1"/>
        <v>High-Risk</v>
      </c>
    </row>
    <row r="8" spans="1:17">
      <c r="A8" s="35" t="s">
        <v>19</v>
      </c>
      <c r="B8" s="35" t="s">
        <v>25</v>
      </c>
      <c r="C8" s="36">
        <f t="shared" si="0"/>
        <v>2.2926805620328032</v>
      </c>
      <c r="D8" s="8">
        <v>212.5</v>
      </c>
      <c r="E8" s="35">
        <v>634.71</v>
      </c>
      <c r="F8" s="35">
        <v>22.44</v>
      </c>
      <c r="G8" s="35">
        <f>Table2[[#This Row],[Protein (g)]]/Table2[[#This Row],[Per Serve Size]]</f>
        <v>0.1056</v>
      </c>
      <c r="H8" s="35">
        <v>39.21</v>
      </c>
      <c r="I8" s="35">
        <v>20.46</v>
      </c>
      <c r="J8" s="35">
        <v>0.2</v>
      </c>
      <c r="K8" s="35">
        <v>43.68</v>
      </c>
      <c r="L8" s="35">
        <v>46</v>
      </c>
      <c r="M8" s="35">
        <v>7.57</v>
      </c>
      <c r="N8" s="35">
        <v>3.28</v>
      </c>
      <c r="O8" s="35">
        <v>1446.87</v>
      </c>
      <c r="P8" s="35">
        <f>(Table2[[#This Row],[Protein (g)]]/Table2[[#This Row],[Energy (kCal)]])*100-(Table2[[#This Row],[Sodium (mg)]]/1000)</f>
        <v>2.0886028931322969</v>
      </c>
      <c r="Q8" s="35" t="str">
        <f t="shared" si="1"/>
        <v>High-Risk</v>
      </c>
    </row>
    <row r="9" spans="1:17">
      <c r="A9" s="35" t="s">
        <v>19</v>
      </c>
      <c r="B9" s="35" t="s">
        <v>26</v>
      </c>
      <c r="C9" s="36">
        <f t="shared" si="0"/>
        <v>2.1855287581135188</v>
      </c>
      <c r="D9" s="8">
        <v>195</v>
      </c>
      <c r="E9" s="35">
        <v>457.94</v>
      </c>
      <c r="F9" s="35">
        <v>24.43</v>
      </c>
      <c r="G9" s="35">
        <f>Table2[[#This Row],[Protein (g)]]/Table2[[#This Row],[Per Serve Size]]</f>
        <v>0.12528205128205128</v>
      </c>
      <c r="H9" s="35">
        <v>22.65</v>
      </c>
      <c r="I9" s="35">
        <v>11.56</v>
      </c>
      <c r="J9" s="35">
        <v>0.17</v>
      </c>
      <c r="K9" s="35">
        <v>71.23</v>
      </c>
      <c r="L9" s="35">
        <v>37.450000000000003</v>
      </c>
      <c r="M9" s="35">
        <v>7.64</v>
      </c>
      <c r="N9" s="35">
        <v>3.84</v>
      </c>
      <c r="O9" s="35">
        <v>1396.17</v>
      </c>
      <c r="P9" s="35">
        <f>(Table2[[#This Row],[Protein (g)]]/Table2[[#This Row],[Energy (kCal)]])*100-(Table2[[#This Row],[Sodium (mg)]]/1000)</f>
        <v>3.9385900122286759</v>
      </c>
      <c r="Q9" s="35" t="str">
        <f t="shared" si="1"/>
        <v>Balanced</v>
      </c>
    </row>
    <row r="10" spans="1:17">
      <c r="A10" s="35" t="s">
        <v>17</v>
      </c>
      <c r="B10" s="35" t="s">
        <v>27</v>
      </c>
      <c r="C10" s="36">
        <f t="shared" si="0"/>
        <v>1.7562452391374803</v>
      </c>
      <c r="D10" s="8">
        <v>145</v>
      </c>
      <c r="E10" s="35">
        <v>411.09</v>
      </c>
      <c r="F10" s="35">
        <v>25.43</v>
      </c>
      <c r="G10" s="35">
        <f>Table2[[#This Row],[Protein (g)]]/Table2[[#This Row],[Per Serve Size]]</f>
        <v>0.17537931034482759</v>
      </c>
      <c r="H10" s="35">
        <v>28.54</v>
      </c>
      <c r="I10" s="35">
        <v>0.15</v>
      </c>
      <c r="J10" s="35">
        <v>75.260000000000005</v>
      </c>
      <c r="K10" s="35">
        <v>6.7</v>
      </c>
      <c r="L10" s="35">
        <v>0.73</v>
      </c>
      <c r="M10" s="35">
        <v>0.72</v>
      </c>
      <c r="N10" s="35">
        <v>0</v>
      </c>
      <c r="O10" s="35">
        <v>1193.05</v>
      </c>
      <c r="P10" s="35">
        <f>(Table2[[#This Row],[Protein (g)]]/Table2[[#This Row],[Energy (kCal)]])*100-(Table2[[#This Row],[Sodium (mg)]]/1000)</f>
        <v>4.9929433347928676</v>
      </c>
      <c r="Q10" s="35" t="str">
        <f t="shared" si="1"/>
        <v>Balanced</v>
      </c>
    </row>
    <row r="11" spans="1:17">
      <c r="A11" s="35" t="s">
        <v>19</v>
      </c>
      <c r="B11" s="35" t="s">
        <v>28</v>
      </c>
      <c r="C11" s="36">
        <f t="shared" si="0"/>
        <v>1.7165546892833548</v>
      </c>
      <c r="D11" s="8">
        <v>207</v>
      </c>
      <c r="E11" s="35">
        <v>524.69000000000005</v>
      </c>
      <c r="F11" s="35">
        <v>19.54</v>
      </c>
      <c r="G11" s="35">
        <f>Table2[[#This Row],[Protein (g)]]/Table2[[#This Row],[Per Serve Size]]</f>
        <v>9.4396135265700482E-2</v>
      </c>
      <c r="H11" s="35">
        <v>23.16</v>
      </c>
      <c r="I11" s="35">
        <v>14.78</v>
      </c>
      <c r="J11" s="35">
        <v>0.19</v>
      </c>
      <c r="K11" s="35">
        <v>48.74</v>
      </c>
      <c r="L11" s="35">
        <v>56.24</v>
      </c>
      <c r="M11" s="35">
        <v>7.9</v>
      </c>
      <c r="N11" s="35">
        <v>3.84</v>
      </c>
      <c r="O11" s="35">
        <v>1174.27</v>
      </c>
      <c r="P11" s="35">
        <f>(Table2[[#This Row],[Protein (g)]]/Table2[[#This Row],[Energy (kCal)]])*100-(Table2[[#This Row],[Sodium (mg)]]/1000)</f>
        <v>2.5498337565038396</v>
      </c>
      <c r="Q11" s="35" t="str">
        <f t="shared" si="1"/>
        <v>High-Risk</v>
      </c>
    </row>
    <row r="12" spans="1:17">
      <c r="A12" s="35" t="s">
        <v>19</v>
      </c>
      <c r="B12" s="35" t="s">
        <v>29</v>
      </c>
      <c r="C12" s="36">
        <f t="shared" si="0"/>
        <v>1.7094112356887361</v>
      </c>
      <c r="D12" s="8">
        <v>211</v>
      </c>
      <c r="E12" s="35">
        <v>517.98</v>
      </c>
      <c r="F12" s="35">
        <v>11.97</v>
      </c>
      <c r="G12" s="35">
        <f>Table2[[#This Row],[Protein (g)]]/Table2[[#This Row],[Per Serve Size]]</f>
        <v>5.6729857819905215E-2</v>
      </c>
      <c r="H12" s="35">
        <v>24.53</v>
      </c>
      <c r="I12" s="35">
        <v>6.01</v>
      </c>
      <c r="J12" s="35">
        <v>0.18</v>
      </c>
      <c r="K12" s="35">
        <v>8.1</v>
      </c>
      <c r="L12" s="35">
        <v>58.87</v>
      </c>
      <c r="M12" s="35">
        <v>12.87</v>
      </c>
      <c r="N12" s="35">
        <v>6.67</v>
      </c>
      <c r="O12" s="35">
        <v>1170.8900000000001</v>
      </c>
      <c r="P12" s="35">
        <f>(Table2[[#This Row],[Protein (g)]]/Table2[[#This Row],[Energy (kCal)]])*100-(Table2[[#This Row],[Sodium (mg)]]/1000)</f>
        <v>1.1400100347503763</v>
      </c>
      <c r="Q12" s="35" t="str">
        <f t="shared" si="1"/>
        <v>High-Risk</v>
      </c>
    </row>
    <row r="13" spans="1:17">
      <c r="A13" s="35" t="s">
        <v>19</v>
      </c>
      <c r="B13" s="35" t="s">
        <v>30</v>
      </c>
      <c r="C13" s="36">
        <f t="shared" si="0"/>
        <v>1.6736939677156408</v>
      </c>
      <c r="D13" s="8">
        <v>240</v>
      </c>
      <c r="E13" s="35">
        <v>671.06</v>
      </c>
      <c r="F13" s="35">
        <v>14.99</v>
      </c>
      <c r="G13" s="35">
        <f>Table2[[#This Row],[Protein (g)]]/Table2[[#This Row],[Per Serve Size]]</f>
        <v>6.2458333333333331E-2</v>
      </c>
      <c r="H13" s="35">
        <v>33.479999999999997</v>
      </c>
      <c r="I13" s="35">
        <v>14.12</v>
      </c>
      <c r="J13" s="35">
        <v>0.21</v>
      </c>
      <c r="K13" s="35">
        <v>33.21</v>
      </c>
      <c r="L13" s="35">
        <v>74.25</v>
      </c>
      <c r="M13" s="35">
        <v>16.27</v>
      </c>
      <c r="N13" s="35">
        <v>10.01</v>
      </c>
      <c r="O13" s="35">
        <v>1153.99</v>
      </c>
      <c r="P13" s="35">
        <f>(Table2[[#This Row],[Protein (g)]]/Table2[[#This Row],[Energy (kCal)]])*100-(Table2[[#This Row],[Sodium (mg)]]/1000)</f>
        <v>1.0797893937948919</v>
      </c>
      <c r="Q13" s="35" t="str">
        <f t="shared" si="1"/>
        <v>High-Risk</v>
      </c>
    </row>
    <row r="14" spans="1:17">
      <c r="A14" s="35" t="s">
        <v>17</v>
      </c>
      <c r="B14" s="35" t="s">
        <v>31</v>
      </c>
      <c r="C14" s="36">
        <f t="shared" si="0"/>
        <v>1.6702913167430562</v>
      </c>
      <c r="D14" s="8">
        <v>257</v>
      </c>
      <c r="E14" s="35">
        <v>567.19000000000005</v>
      </c>
      <c r="F14" s="35">
        <v>23.74</v>
      </c>
      <c r="G14" s="35">
        <f>Table2[[#This Row],[Protein (g)]]/Table2[[#This Row],[Per Serve Size]]</f>
        <v>9.2373540856031125E-2</v>
      </c>
      <c r="H14" s="35">
        <v>26.89</v>
      </c>
      <c r="I14" s="35">
        <v>12.54</v>
      </c>
      <c r="J14" s="35">
        <v>0.27</v>
      </c>
      <c r="K14" s="35">
        <v>87.63</v>
      </c>
      <c r="L14" s="35">
        <v>57.06</v>
      </c>
      <c r="M14" s="35">
        <v>2.52</v>
      </c>
      <c r="N14" s="35">
        <v>1.08</v>
      </c>
      <c r="O14" s="35">
        <v>1152.3800000000001</v>
      </c>
      <c r="P14" s="35">
        <f>(Table2[[#This Row],[Protein (g)]]/Table2[[#This Row],[Energy (kCal)]])*100-(Table2[[#This Row],[Sodium (mg)]]/1000)</f>
        <v>3.0331662896031304</v>
      </c>
      <c r="Q14" s="35" t="str">
        <f t="shared" si="1"/>
        <v>Balanced</v>
      </c>
    </row>
    <row r="15" spans="1:17">
      <c r="A15" s="35" t="s">
        <v>17</v>
      </c>
      <c r="B15" s="35" t="s">
        <v>32</v>
      </c>
      <c r="C15" s="36">
        <f t="shared" si="0"/>
        <v>1.6278532847371538</v>
      </c>
      <c r="D15" s="8">
        <v>165</v>
      </c>
      <c r="E15" s="35">
        <v>446.95</v>
      </c>
      <c r="F15" s="35">
        <v>20.29</v>
      </c>
      <c r="G15" s="35">
        <f>Table2[[#This Row],[Protein (g)]]/Table2[[#This Row],[Per Serve Size]]</f>
        <v>0.12296969696969696</v>
      </c>
      <c r="H15" s="35">
        <v>22.94</v>
      </c>
      <c r="I15" s="35">
        <v>7.28</v>
      </c>
      <c r="J15" s="35">
        <v>0.15</v>
      </c>
      <c r="K15" s="35">
        <v>47.63</v>
      </c>
      <c r="L15" s="35">
        <v>38.54</v>
      </c>
      <c r="M15" s="35">
        <v>7.48</v>
      </c>
      <c r="N15" s="35">
        <v>4.76</v>
      </c>
      <c r="O15" s="35">
        <v>1132.3</v>
      </c>
      <c r="P15" s="35">
        <f>(Table2[[#This Row],[Protein (g)]]/Table2[[#This Row],[Energy (kCal)]])*100-(Table2[[#This Row],[Sodium (mg)]]/1000)</f>
        <v>3.4073576798299587</v>
      </c>
      <c r="Q15" s="35" t="str">
        <f t="shared" si="1"/>
        <v>Balanced</v>
      </c>
    </row>
    <row r="16" spans="1:17">
      <c r="A16" s="35" t="s">
        <v>17</v>
      </c>
      <c r="B16" s="35" t="s">
        <v>33</v>
      </c>
      <c r="C16" s="36">
        <f t="shared" si="0"/>
        <v>1.5330862849789542</v>
      </c>
      <c r="D16" s="8">
        <v>250</v>
      </c>
      <c r="E16" s="35">
        <v>674.68</v>
      </c>
      <c r="F16" s="35">
        <v>20.96</v>
      </c>
      <c r="G16" s="35">
        <f>Table2[[#This Row],[Protein (g)]]/Table2[[#This Row],[Per Serve Size]]</f>
        <v>8.3839999999999998E-2</v>
      </c>
      <c r="H16" s="35">
        <v>39.1</v>
      </c>
      <c r="I16" s="35">
        <v>19.73</v>
      </c>
      <c r="J16" s="35">
        <v>0.26</v>
      </c>
      <c r="K16" s="35">
        <v>40.93</v>
      </c>
      <c r="L16" s="35">
        <v>59.27</v>
      </c>
      <c r="M16" s="35">
        <v>3.5</v>
      </c>
      <c r="N16" s="35">
        <v>1.08</v>
      </c>
      <c r="O16" s="35">
        <v>1087.46</v>
      </c>
      <c r="P16" s="35">
        <f>(Table2[[#This Row],[Protein (g)]]/Table2[[#This Row],[Energy (kCal)]])*100-(Table2[[#This Row],[Sodium (mg)]]/1000)</f>
        <v>2.0191979711863404</v>
      </c>
      <c r="Q16" s="35" t="str">
        <f t="shared" si="1"/>
        <v>High-Risk</v>
      </c>
    </row>
    <row r="17" spans="1:17">
      <c r="A17" s="35" t="s">
        <v>17</v>
      </c>
      <c r="B17" s="35" t="s">
        <v>34</v>
      </c>
      <c r="C17" s="36">
        <f t="shared" si="0"/>
        <v>1.5058650771982758</v>
      </c>
      <c r="D17" s="8">
        <v>199</v>
      </c>
      <c r="E17" s="35">
        <v>652.76</v>
      </c>
      <c r="F17" s="35">
        <v>20.29</v>
      </c>
      <c r="G17" s="35">
        <f>Table2[[#This Row],[Protein (g)]]/Table2[[#This Row],[Per Serve Size]]</f>
        <v>0.10195979899497487</v>
      </c>
      <c r="H17" s="35">
        <v>39.450000000000003</v>
      </c>
      <c r="I17" s="35">
        <v>17.12</v>
      </c>
      <c r="J17" s="35">
        <v>0.18</v>
      </c>
      <c r="K17" s="35">
        <v>21.85</v>
      </c>
      <c r="L17" s="35">
        <v>52.33</v>
      </c>
      <c r="M17" s="35">
        <v>8.35</v>
      </c>
      <c r="N17" s="35">
        <v>5.27</v>
      </c>
      <c r="O17" s="35">
        <v>1074.58</v>
      </c>
      <c r="P17" s="35">
        <f>(Table2[[#This Row],[Protein (g)]]/Table2[[#This Row],[Energy (kCal)]])*100-(Table2[[#This Row],[Sodium (mg)]]/1000)</f>
        <v>2.0337599718119979</v>
      </c>
      <c r="Q17" s="35" t="str">
        <f t="shared" si="1"/>
        <v>High-Risk</v>
      </c>
    </row>
    <row r="18" spans="1:17">
      <c r="A18" s="35" t="s">
        <v>17</v>
      </c>
      <c r="B18" s="35" t="s">
        <v>35</v>
      </c>
      <c r="C18" s="36">
        <f t="shared" si="0"/>
        <v>1.4565372053348418</v>
      </c>
      <c r="D18" s="8">
        <v>177</v>
      </c>
      <c r="E18" s="35">
        <v>512.16999999999996</v>
      </c>
      <c r="F18" s="35">
        <v>15.3</v>
      </c>
      <c r="G18" s="35">
        <f>Table2[[#This Row],[Protein (g)]]/Table2[[#This Row],[Per Serve Size]]</f>
        <v>8.6440677966101692E-2</v>
      </c>
      <c r="H18" s="35">
        <v>23.45</v>
      </c>
      <c r="I18" s="35">
        <v>10.51</v>
      </c>
      <c r="J18" s="35">
        <v>0.17</v>
      </c>
      <c r="K18" s="35">
        <v>25.24</v>
      </c>
      <c r="L18" s="35">
        <v>56.96</v>
      </c>
      <c r="M18" s="35">
        <v>7.85</v>
      </c>
      <c r="N18" s="35">
        <v>4.76</v>
      </c>
      <c r="O18" s="35">
        <v>1051.24</v>
      </c>
      <c r="P18" s="35">
        <f>(Table2[[#This Row],[Protein (g)]]/Table2[[#This Row],[Energy (kCal)]])*100-(Table2[[#This Row],[Sodium (mg)]]/1000)</f>
        <v>1.9360493765741849</v>
      </c>
      <c r="Q18" s="35" t="str">
        <f t="shared" si="1"/>
        <v>High-Risk</v>
      </c>
    </row>
    <row r="19" spans="1:17">
      <c r="A19" s="35" t="s">
        <v>17</v>
      </c>
      <c r="B19" s="35" t="s">
        <v>36</v>
      </c>
      <c r="C19" s="36">
        <f t="shared" si="0"/>
        <v>1.1971748902071369</v>
      </c>
      <c r="D19" s="8">
        <v>186</v>
      </c>
      <c r="E19" s="35">
        <v>451.92</v>
      </c>
      <c r="F19" s="35">
        <v>21.46</v>
      </c>
      <c r="G19" s="35">
        <f>Table2[[#This Row],[Protein (g)]]/Table2[[#This Row],[Per Serve Size]]</f>
        <v>0.11537634408602152</v>
      </c>
      <c r="H19" s="35">
        <v>19.36</v>
      </c>
      <c r="I19" s="35">
        <v>7.63</v>
      </c>
      <c r="J19" s="35">
        <v>0.18</v>
      </c>
      <c r="K19" s="35">
        <v>66.040000000000006</v>
      </c>
      <c r="L19" s="35">
        <v>46.08</v>
      </c>
      <c r="M19" s="35">
        <v>5.88</v>
      </c>
      <c r="N19" s="35">
        <v>4.49</v>
      </c>
      <c r="O19" s="35">
        <v>928.52</v>
      </c>
      <c r="P19" s="35">
        <f>(Table2[[#This Row],[Protein (g)]]/Table2[[#This Row],[Energy (kCal)]])*100-(Table2[[#This Row],[Sodium (mg)]]/1000)</f>
        <v>3.8201080757656225</v>
      </c>
      <c r="Q19" s="35" t="str">
        <f t="shared" si="1"/>
        <v>Balanced</v>
      </c>
    </row>
    <row r="20" spans="1:17">
      <c r="A20" s="35" t="s">
        <v>17</v>
      </c>
      <c r="B20" s="35" t="s">
        <v>37</v>
      </c>
      <c r="C20" s="36">
        <f t="shared" si="0"/>
        <v>1.0817172363982508</v>
      </c>
      <c r="D20" s="8">
        <v>115</v>
      </c>
      <c r="E20" s="35">
        <v>248.76</v>
      </c>
      <c r="F20" s="35">
        <v>17.329999999999998</v>
      </c>
      <c r="G20" s="35">
        <f>Table2[[#This Row],[Protein (g)]]/Table2[[#This Row],[Per Serve Size]]</f>
        <v>0.15069565217391304</v>
      </c>
      <c r="H20" s="35">
        <v>14.29</v>
      </c>
      <c r="I20" s="35">
        <v>2.82</v>
      </c>
      <c r="J20" s="35">
        <v>0.06</v>
      </c>
      <c r="K20" s="35">
        <v>31.11</v>
      </c>
      <c r="L20" s="35">
        <v>12.7</v>
      </c>
      <c r="M20" s="35">
        <v>0.57999999999999996</v>
      </c>
      <c r="N20" s="35">
        <v>0</v>
      </c>
      <c r="O20" s="35">
        <v>873.89</v>
      </c>
      <c r="P20" s="35">
        <f>(Table2[[#This Row],[Protein (g)]]/Table2[[#This Row],[Energy (kCal)]])*100-(Table2[[#This Row],[Sodium (mg)]]/1000)</f>
        <v>6.0926641083775523</v>
      </c>
      <c r="Q20" s="35" t="str">
        <f t="shared" si="1"/>
        <v>Premium Health</v>
      </c>
    </row>
    <row r="21" spans="1:17">
      <c r="A21" s="35" t="s">
        <v>38</v>
      </c>
      <c r="B21" s="35" t="s">
        <v>39</v>
      </c>
      <c r="C21" s="36">
        <f t="shared" si="0"/>
        <v>0.93533984114283331</v>
      </c>
      <c r="D21" s="8">
        <v>119</v>
      </c>
      <c r="E21" s="35">
        <v>309.35000000000002</v>
      </c>
      <c r="F21" s="35">
        <v>10.220000000000001</v>
      </c>
      <c r="G21" s="35">
        <f>Table2[[#This Row],[Protein (g)]]/Table2[[#This Row],[Per Serve Size]]</f>
        <v>8.5882352941176479E-2</v>
      </c>
      <c r="H21" s="35">
        <v>11.78</v>
      </c>
      <c r="I21" s="35">
        <v>7.29</v>
      </c>
      <c r="J21" s="35">
        <v>0.18</v>
      </c>
      <c r="K21" s="35">
        <v>25.31</v>
      </c>
      <c r="L21" s="35">
        <v>38.86</v>
      </c>
      <c r="M21" s="35">
        <v>3.02</v>
      </c>
      <c r="N21" s="35">
        <v>0.75</v>
      </c>
      <c r="O21" s="35">
        <v>804.63</v>
      </c>
      <c r="P21" s="35">
        <f>(Table2[[#This Row],[Protein (g)]]/Table2[[#This Row],[Energy (kCal)]])*100-(Table2[[#This Row],[Sodium (mg)]]/1000)</f>
        <v>2.4990713091967027</v>
      </c>
      <c r="Q21" s="35" t="str">
        <f t="shared" si="1"/>
        <v>High-Risk</v>
      </c>
    </row>
    <row r="22" spans="1:17">
      <c r="A22" s="35" t="s">
        <v>38</v>
      </c>
      <c r="B22" s="35" t="s">
        <v>40</v>
      </c>
      <c r="C22" s="36">
        <f t="shared" si="0"/>
        <v>0.93409290693548852</v>
      </c>
      <c r="D22" s="8">
        <v>157</v>
      </c>
      <c r="E22" s="35">
        <v>290.42</v>
      </c>
      <c r="F22" s="35">
        <v>22.46</v>
      </c>
      <c r="G22" s="35">
        <f>Table2[[#This Row],[Protein (g)]]/Table2[[#This Row],[Per Serve Size]]</f>
        <v>0.14305732484076433</v>
      </c>
      <c r="H22" s="35">
        <v>15.94</v>
      </c>
      <c r="I22" s="35">
        <v>8.08</v>
      </c>
      <c r="J22" s="35">
        <v>0.22</v>
      </c>
      <c r="K22" s="35">
        <v>264.8</v>
      </c>
      <c r="L22" s="35">
        <v>28.87</v>
      </c>
      <c r="M22" s="35">
        <v>2.61</v>
      </c>
      <c r="N22" s="35">
        <v>0.75</v>
      </c>
      <c r="O22" s="35">
        <v>804.04</v>
      </c>
      <c r="P22" s="35">
        <f>(Table2[[#This Row],[Protein (g)]]/Table2[[#This Row],[Energy (kCal)]])*100-(Table2[[#This Row],[Sodium (mg)]]/1000)</f>
        <v>6.9295871606638659</v>
      </c>
      <c r="Q22" s="35" t="str">
        <f t="shared" si="1"/>
        <v>Premium Health</v>
      </c>
    </row>
    <row r="23" spans="1:17">
      <c r="A23" s="35" t="s">
        <v>38</v>
      </c>
      <c r="B23" s="35" t="s">
        <v>41</v>
      </c>
      <c r="C23" s="36">
        <f t="shared" si="0"/>
        <v>0.86975955562773655</v>
      </c>
      <c r="D23" s="8">
        <v>123.2</v>
      </c>
      <c r="E23" s="35">
        <v>278.27</v>
      </c>
      <c r="F23" s="35">
        <v>11.49</v>
      </c>
      <c r="G23" s="35">
        <f>Table2[[#This Row],[Protein (g)]]/Table2[[#This Row],[Per Serve Size]]</f>
        <v>9.3262987012987006E-2</v>
      </c>
      <c r="H23" s="35">
        <v>11.81</v>
      </c>
      <c r="I23" s="35">
        <v>3.43</v>
      </c>
      <c r="J23" s="35">
        <v>0.11</v>
      </c>
      <c r="K23" s="35">
        <v>212.61</v>
      </c>
      <c r="L23" s="35">
        <v>31.37</v>
      </c>
      <c r="M23" s="35">
        <v>2.63</v>
      </c>
      <c r="N23" s="35">
        <v>1.05</v>
      </c>
      <c r="O23" s="35">
        <v>773.6</v>
      </c>
      <c r="P23" s="35">
        <f>(Table2[[#This Row],[Protein (g)]]/Table2[[#This Row],[Energy (kCal)]])*100-(Table2[[#This Row],[Sodium (mg)]]/1000)</f>
        <v>3.3554832644553851</v>
      </c>
      <c r="Q23" s="35" t="str">
        <f t="shared" si="1"/>
        <v>Balanced</v>
      </c>
    </row>
    <row r="24" spans="1:17">
      <c r="A24" s="35" t="s">
        <v>17</v>
      </c>
      <c r="B24" s="35" t="s">
        <v>42</v>
      </c>
      <c r="C24" s="36">
        <f t="shared" si="0"/>
        <v>0.85439479005587859</v>
      </c>
      <c r="D24" s="8">
        <v>173</v>
      </c>
      <c r="E24" s="35">
        <v>400.8</v>
      </c>
      <c r="F24" s="35">
        <v>15.66</v>
      </c>
      <c r="G24" s="35">
        <f>Table2[[#This Row],[Protein (g)]]/Table2[[#This Row],[Per Serve Size]]</f>
        <v>9.0520231213872829E-2</v>
      </c>
      <c r="H24" s="35">
        <v>15.7</v>
      </c>
      <c r="I24" s="35">
        <v>5.47</v>
      </c>
      <c r="J24" s="35">
        <v>0.16</v>
      </c>
      <c r="K24" s="35">
        <v>31.17</v>
      </c>
      <c r="L24" s="35">
        <v>47.98</v>
      </c>
      <c r="M24" s="35">
        <v>5.53</v>
      </c>
      <c r="N24" s="35">
        <v>4.49</v>
      </c>
      <c r="O24" s="35">
        <v>766.33</v>
      </c>
      <c r="P24" s="35">
        <f>(Table2[[#This Row],[Protein (g)]]/Table2[[#This Row],[Energy (kCal)]])*100-(Table2[[#This Row],[Sodium (mg)]]/1000)</f>
        <v>3.1408556287425147</v>
      </c>
      <c r="Q24" s="35" t="str">
        <f t="shared" si="1"/>
        <v>Balanced</v>
      </c>
    </row>
    <row r="25" spans="1:17">
      <c r="A25" s="35" t="s">
        <v>17</v>
      </c>
      <c r="B25" s="35" t="s">
        <v>43</v>
      </c>
      <c r="C25" s="36">
        <f t="shared" si="0"/>
        <v>0.83659955950360276</v>
      </c>
      <c r="D25" s="8">
        <v>126.2</v>
      </c>
      <c r="E25" s="35">
        <v>290.42</v>
      </c>
      <c r="F25" s="35">
        <v>12.45</v>
      </c>
      <c r="G25" s="35">
        <f>Table2[[#This Row],[Protein (g)]]/Table2[[#This Row],[Per Serve Size]]</f>
        <v>9.8652931854199669E-2</v>
      </c>
      <c r="H25" s="35">
        <v>12.27</v>
      </c>
      <c r="I25" s="35">
        <v>3.64</v>
      </c>
      <c r="J25" s="35">
        <v>0.11</v>
      </c>
      <c r="K25" s="35">
        <v>213.09</v>
      </c>
      <c r="L25" s="35">
        <v>32.89</v>
      </c>
      <c r="M25" s="35">
        <v>4.8899999999999997</v>
      </c>
      <c r="N25" s="35">
        <v>3.64</v>
      </c>
      <c r="O25" s="35">
        <v>757.91</v>
      </c>
      <c r="P25" s="35">
        <f>(Table2[[#This Row],[Protein (g)]]/Table2[[#This Row],[Energy (kCal)]])*100-(Table2[[#This Row],[Sodium (mg)]]/1000)</f>
        <v>3.528984841953033</v>
      </c>
      <c r="Q25" s="35" t="str">
        <f t="shared" si="1"/>
        <v>Balanced</v>
      </c>
    </row>
    <row r="26" spans="1:17">
      <c r="A26" s="35" t="s">
        <v>38</v>
      </c>
      <c r="B26" s="35" t="s">
        <v>44</v>
      </c>
      <c r="C26" s="36">
        <f t="shared" si="0"/>
        <v>0.80424267354691159</v>
      </c>
      <c r="D26" s="8">
        <v>112</v>
      </c>
      <c r="E26" s="35">
        <v>281.44</v>
      </c>
      <c r="F26" s="35">
        <v>16.25</v>
      </c>
      <c r="G26" s="35">
        <f>Table2[[#This Row],[Protein (g)]]/Table2[[#This Row],[Per Serve Size]]</f>
        <v>0.14508928571428573</v>
      </c>
      <c r="H26" s="35">
        <v>10.81</v>
      </c>
      <c r="I26" s="35">
        <v>6.04</v>
      </c>
      <c r="J26" s="35">
        <v>0.17</v>
      </c>
      <c r="K26" s="35">
        <v>53.02</v>
      </c>
      <c r="L26" s="35">
        <v>28.62</v>
      </c>
      <c r="M26" s="35">
        <v>2.38</v>
      </c>
      <c r="N26" s="35">
        <v>0.75</v>
      </c>
      <c r="O26" s="35">
        <v>742.6</v>
      </c>
      <c r="P26" s="35">
        <f>(Table2[[#This Row],[Protein (g)]]/Table2[[#This Row],[Energy (kCal)]])*100-(Table2[[#This Row],[Sodium (mg)]]/1000)</f>
        <v>5.0312772029562245</v>
      </c>
      <c r="Q26" s="35" t="str">
        <f t="shared" si="1"/>
        <v>Premium Health</v>
      </c>
    </row>
    <row r="27" spans="1:17">
      <c r="A27" s="35" t="s">
        <v>17</v>
      </c>
      <c r="B27" s="35" t="s">
        <v>45</v>
      </c>
      <c r="C27" s="36">
        <f t="shared" si="0"/>
        <v>0.74766567569840559</v>
      </c>
      <c r="D27" s="8">
        <v>87</v>
      </c>
      <c r="E27" s="35">
        <v>246.65</v>
      </c>
      <c r="F27" s="35">
        <v>15.26</v>
      </c>
      <c r="G27" s="35">
        <f>Table2[[#This Row],[Protein (g)]]/Table2[[#This Row],[Per Serve Size]]</f>
        <v>0.17540229885057471</v>
      </c>
      <c r="H27" s="35">
        <v>18.57</v>
      </c>
      <c r="I27" s="35">
        <v>17.12</v>
      </c>
      <c r="J27" s="35">
        <v>0.09</v>
      </c>
      <c r="K27" s="35">
        <v>45.15</v>
      </c>
      <c r="L27" s="35">
        <v>4.0199999999999996</v>
      </c>
      <c r="M27" s="35">
        <v>0.44</v>
      </c>
      <c r="N27" s="35">
        <v>0</v>
      </c>
      <c r="O27" s="35">
        <v>715.83</v>
      </c>
      <c r="P27" s="35">
        <f>(Table2[[#This Row],[Protein (g)]]/Table2[[#This Row],[Energy (kCal)]])*100-(Table2[[#This Row],[Sodium (mg)]]/1000)</f>
        <v>5.4710745205757139</v>
      </c>
      <c r="Q27" s="35" t="str">
        <f t="shared" si="1"/>
        <v>Premium Health</v>
      </c>
    </row>
    <row r="28" spans="1:17">
      <c r="A28" s="35" t="s">
        <v>17</v>
      </c>
      <c r="B28" s="35" t="s">
        <v>46</v>
      </c>
      <c r="C28" s="36">
        <f t="shared" si="0"/>
        <v>0.7271652319505344</v>
      </c>
      <c r="D28" s="8">
        <v>168</v>
      </c>
      <c r="E28" s="35">
        <v>402.05</v>
      </c>
      <c r="F28" s="35">
        <v>10.24</v>
      </c>
      <c r="G28" s="35">
        <f>Table2[[#This Row],[Protein (g)]]/Table2[[#This Row],[Per Serve Size]]</f>
        <v>6.0952380952380952E-2</v>
      </c>
      <c r="H28" s="35">
        <v>13.83</v>
      </c>
      <c r="I28" s="35">
        <v>5.34</v>
      </c>
      <c r="J28" s="35">
        <v>0.16</v>
      </c>
      <c r="K28" s="35">
        <v>2.4900000000000002</v>
      </c>
      <c r="L28" s="35">
        <v>56.54</v>
      </c>
      <c r="M28" s="35">
        <v>7.9</v>
      </c>
      <c r="N28" s="35">
        <v>4.49</v>
      </c>
      <c r="O28" s="35">
        <v>706.13</v>
      </c>
      <c r="P28" s="35">
        <f>(Table2[[#This Row],[Protein (g)]]/Table2[[#This Row],[Energy (kCal)]])*100-(Table2[[#This Row],[Sodium (mg)]]/1000)</f>
        <v>1.8408168971520955</v>
      </c>
      <c r="Q28" s="35" t="str">
        <f t="shared" si="1"/>
        <v>High-Risk</v>
      </c>
    </row>
    <row r="29" spans="1:17">
      <c r="A29" s="35" t="s">
        <v>17</v>
      </c>
      <c r="B29" s="35" t="s">
        <v>47</v>
      </c>
      <c r="C29" s="36">
        <f t="shared" si="0"/>
        <v>0.72437548084257664</v>
      </c>
      <c r="D29" s="8">
        <v>144</v>
      </c>
      <c r="E29" s="35">
        <v>381.77</v>
      </c>
      <c r="F29" s="35">
        <v>22.56</v>
      </c>
      <c r="G29" s="35">
        <f>Table2[[#This Row],[Protein (g)]]/Table2[[#This Row],[Per Serve Size]]</f>
        <v>0.15666666666666665</v>
      </c>
      <c r="H29" s="35">
        <v>21.46</v>
      </c>
      <c r="I29" s="35">
        <v>10.02</v>
      </c>
      <c r="J29" s="35">
        <v>0.14000000000000001</v>
      </c>
      <c r="K29" s="35">
        <v>55.48</v>
      </c>
      <c r="L29" s="35">
        <v>23.62</v>
      </c>
      <c r="M29" s="35">
        <v>0.72</v>
      </c>
      <c r="N29" s="35">
        <v>0</v>
      </c>
      <c r="O29" s="35">
        <v>704.81</v>
      </c>
      <c r="P29" s="35">
        <f>(Table2[[#This Row],[Protein (g)]]/Table2[[#This Row],[Energy (kCal)]])*100-(Table2[[#This Row],[Sodium (mg)]]/1000)</f>
        <v>5.2045071281137858</v>
      </c>
      <c r="Q29" s="35" t="str">
        <f t="shared" si="1"/>
        <v>Premium Health</v>
      </c>
    </row>
    <row r="30" spans="1:17">
      <c r="A30" s="35" t="s">
        <v>17</v>
      </c>
      <c r="B30" s="35" t="s">
        <v>48</v>
      </c>
      <c r="C30" s="36">
        <f t="shared" si="0"/>
        <v>0.66211330838770244</v>
      </c>
      <c r="D30" s="8">
        <v>216</v>
      </c>
      <c r="E30" s="35">
        <v>387.76</v>
      </c>
      <c r="F30" s="35">
        <v>7.53</v>
      </c>
      <c r="G30" s="35">
        <f>Table2[[#This Row],[Protein (g)]]/Table2[[#This Row],[Per Serve Size]]</f>
        <v>3.4861111111111114E-2</v>
      </c>
      <c r="H30" s="35">
        <v>13.55</v>
      </c>
      <c r="I30" s="35">
        <v>6.43</v>
      </c>
      <c r="J30" s="35">
        <v>0.18</v>
      </c>
      <c r="K30" s="35">
        <v>1.84</v>
      </c>
      <c r="L30" s="35">
        <v>54.46</v>
      </c>
      <c r="M30" s="35">
        <v>0.92</v>
      </c>
      <c r="N30" s="35">
        <v>0</v>
      </c>
      <c r="O30" s="35">
        <v>675.35</v>
      </c>
      <c r="P30" s="35">
        <f>(Table2[[#This Row],[Protein (g)]]/Table2[[#This Row],[Energy (kCal)]])*100-(Table2[[#This Row],[Sodium (mg)]]/1000)</f>
        <v>1.2665728388694037</v>
      </c>
      <c r="Q30" s="35" t="str">
        <f t="shared" si="1"/>
        <v>High-Risk</v>
      </c>
    </row>
    <row r="31" spans="1:17">
      <c r="A31" s="35" t="s">
        <v>19</v>
      </c>
      <c r="B31" s="35" t="s">
        <v>49</v>
      </c>
      <c r="C31" s="36">
        <f t="shared" si="0"/>
        <v>0.59215818590785374</v>
      </c>
      <c r="D31" s="8">
        <v>135</v>
      </c>
      <c r="E31" s="35">
        <v>378.43</v>
      </c>
      <c r="F31" s="35">
        <v>12.72</v>
      </c>
      <c r="G31" s="35">
        <f>Table2[[#This Row],[Protein (g)]]/Table2[[#This Row],[Per Serve Size]]</f>
        <v>9.4222222222222221E-2</v>
      </c>
      <c r="H31" s="35">
        <v>19.63</v>
      </c>
      <c r="I31" s="35">
        <v>11.3</v>
      </c>
      <c r="J31" s="35">
        <v>0.14000000000000001</v>
      </c>
      <c r="K31" s="35">
        <v>30.05</v>
      </c>
      <c r="L31" s="35">
        <v>35.4</v>
      </c>
      <c r="M31" s="35">
        <v>1.96</v>
      </c>
      <c r="N31" s="35">
        <v>0</v>
      </c>
      <c r="O31" s="35">
        <v>642.25</v>
      </c>
      <c r="P31" s="35">
        <f>(Table2[[#This Row],[Protein (g)]]/Table2[[#This Row],[Energy (kCal)]])*100-(Table2[[#This Row],[Sodium (mg)]]/1000)</f>
        <v>2.7190057143989641</v>
      </c>
      <c r="Q31" s="35" t="str">
        <f t="shared" si="1"/>
        <v>High-Risk</v>
      </c>
    </row>
    <row r="32" spans="1:17">
      <c r="A32" s="35" t="s">
        <v>38</v>
      </c>
      <c r="B32" s="35" t="s">
        <v>50</v>
      </c>
      <c r="C32" s="36">
        <f t="shared" si="0"/>
        <v>0.55136864319301759</v>
      </c>
      <c r="D32" s="8">
        <v>100</v>
      </c>
      <c r="E32" s="35">
        <v>273.77999999999997</v>
      </c>
      <c r="F32" s="35">
        <v>9.58</v>
      </c>
      <c r="G32" s="35">
        <f>Table2[[#This Row],[Protein (g)]]/Table2[[#This Row],[Per Serve Size]]</f>
        <v>9.5799999999999996E-2</v>
      </c>
      <c r="H32" s="35">
        <v>12.82</v>
      </c>
      <c r="I32" s="35">
        <v>8.84</v>
      </c>
      <c r="J32" s="35">
        <v>0.21</v>
      </c>
      <c r="K32" s="35">
        <v>37.75</v>
      </c>
      <c r="L32" s="35">
        <v>29</v>
      </c>
      <c r="M32" s="35">
        <v>2.59</v>
      </c>
      <c r="N32" s="35">
        <v>0.75</v>
      </c>
      <c r="O32" s="35">
        <v>622.95000000000005</v>
      </c>
      <c r="P32" s="35">
        <f>(Table2[[#This Row],[Protein (g)]]/Table2[[#This Row],[Energy (kCal)]])*100-(Table2[[#This Row],[Sodium (mg)]]/1000)</f>
        <v>2.8762099094163203</v>
      </c>
      <c r="Q32" s="35" t="str">
        <f t="shared" si="1"/>
        <v>High-Risk</v>
      </c>
    </row>
    <row r="33" spans="1:17">
      <c r="A33" s="35" t="s">
        <v>38</v>
      </c>
      <c r="B33" s="35" t="s">
        <v>51</v>
      </c>
      <c r="C33" s="36">
        <f t="shared" si="0"/>
        <v>0.53613068448970302</v>
      </c>
      <c r="D33" s="8">
        <v>142</v>
      </c>
      <c r="E33" s="35">
        <v>432.98</v>
      </c>
      <c r="F33" s="35">
        <v>8.6</v>
      </c>
      <c r="G33" s="35">
        <f>Table2[[#This Row],[Protein (g)]]/Table2[[#This Row],[Per Serve Size]]</f>
        <v>6.0563380281690136E-2</v>
      </c>
      <c r="H33" s="35">
        <v>14.02</v>
      </c>
      <c r="I33" s="35">
        <v>7.11</v>
      </c>
      <c r="J33" s="35">
        <v>0.32</v>
      </c>
      <c r="K33" s="35">
        <v>28.14</v>
      </c>
      <c r="L33" s="35">
        <v>68.010000000000005</v>
      </c>
      <c r="M33" s="35">
        <v>25.72</v>
      </c>
      <c r="N33" s="35">
        <v>13.5</v>
      </c>
      <c r="O33" s="35">
        <v>615.74</v>
      </c>
      <c r="P33" s="35">
        <f>(Table2[[#This Row],[Protein (g)]]/Table2[[#This Row],[Energy (kCal)]])*100-(Table2[[#This Row],[Sodium (mg)]]/1000)</f>
        <v>1.3704949300198621</v>
      </c>
      <c r="Q33" s="35" t="str">
        <f t="shared" si="1"/>
        <v>High-Risk</v>
      </c>
    </row>
    <row r="34" spans="1:17">
      <c r="A34" s="35" t="s">
        <v>17</v>
      </c>
      <c r="B34" s="35" t="s">
        <v>52</v>
      </c>
      <c r="C34" s="36">
        <f t="shared" ref="C34:C65" si="2">(O34-$K$147)/($K$150)</f>
        <v>0.45975068067031544</v>
      </c>
      <c r="D34" s="8">
        <v>132</v>
      </c>
      <c r="E34" s="35">
        <v>356.09</v>
      </c>
      <c r="F34" s="35">
        <v>7.91</v>
      </c>
      <c r="G34" s="35">
        <f>Table2[[#This Row],[Protein (g)]]/Table2[[#This Row],[Per Serve Size]]</f>
        <v>5.9924242424242428E-2</v>
      </c>
      <c r="H34" s="35">
        <v>15.08</v>
      </c>
      <c r="I34" s="35">
        <v>6.11</v>
      </c>
      <c r="J34" s="35">
        <v>0.24</v>
      </c>
      <c r="K34" s="35">
        <v>9.4499999999999993</v>
      </c>
      <c r="L34" s="35">
        <v>46.36</v>
      </c>
      <c r="M34" s="35">
        <v>4.53</v>
      </c>
      <c r="N34" s="35">
        <v>1.1499999999999999</v>
      </c>
      <c r="O34" s="35">
        <v>579.6</v>
      </c>
      <c r="P34" s="35">
        <f>(Table2[[#This Row],[Protein (g)]]/Table2[[#This Row],[Energy (kCal)]])*100-(Table2[[#This Row],[Sodium (mg)]]/1000)</f>
        <v>1.6417485354826025</v>
      </c>
      <c r="Q34" s="35" t="str">
        <f t="shared" ref="Q34:Q65" si="3">IF(P34 &gt; 5, "Premium Health", IF(P34 &gt; 3, "Balanced", "High-Risk"))</f>
        <v>High-Risk</v>
      </c>
    </row>
    <row r="35" spans="1:17">
      <c r="A35" s="35" t="s">
        <v>17</v>
      </c>
      <c r="B35" s="35" t="s">
        <v>53</v>
      </c>
      <c r="C35" s="36">
        <f t="shared" si="2"/>
        <v>0.39463535367321145</v>
      </c>
      <c r="D35" s="8">
        <v>138</v>
      </c>
      <c r="E35" s="35">
        <v>357.05</v>
      </c>
      <c r="F35" s="35">
        <v>8.64</v>
      </c>
      <c r="G35" s="35">
        <f>Table2[[#This Row],[Protein (g)]]/Table2[[#This Row],[Per Serve Size]]</f>
        <v>6.2608695652173918E-2</v>
      </c>
      <c r="H35" s="35">
        <v>14.02</v>
      </c>
      <c r="I35" s="35">
        <v>4.84</v>
      </c>
      <c r="J35" s="35">
        <v>0.13</v>
      </c>
      <c r="K35" s="35">
        <v>1.51</v>
      </c>
      <c r="L35" s="35">
        <v>47.9</v>
      </c>
      <c r="M35" s="35">
        <v>5.08</v>
      </c>
      <c r="N35" s="35">
        <v>3.49</v>
      </c>
      <c r="O35" s="35">
        <v>548.79</v>
      </c>
      <c r="P35" s="35">
        <f>(Table2[[#This Row],[Protein (g)]]/Table2[[#This Row],[Energy (kCal)]])*100-(Table2[[#This Row],[Sodium (mg)]]/1000)</f>
        <v>1.8710391555804513</v>
      </c>
      <c r="Q35" s="35" t="str">
        <f t="shared" si="3"/>
        <v>High-Risk</v>
      </c>
    </row>
    <row r="36" spans="1:17">
      <c r="A36" s="35" t="s">
        <v>17</v>
      </c>
      <c r="B36" s="35" t="s">
        <v>54</v>
      </c>
      <c r="C36" s="36">
        <f t="shared" si="2"/>
        <v>0.38734395873195848</v>
      </c>
      <c r="D36" s="8">
        <v>146</v>
      </c>
      <c r="E36" s="35">
        <v>339.52</v>
      </c>
      <c r="F36" s="35">
        <v>8.5</v>
      </c>
      <c r="G36" s="35">
        <f>Table2[[#This Row],[Protein (g)]]/Table2[[#This Row],[Per Serve Size]]</f>
        <v>5.8219178082191778E-2</v>
      </c>
      <c r="H36" s="35">
        <v>11.31</v>
      </c>
      <c r="I36" s="35">
        <v>4.2699999999999996</v>
      </c>
      <c r="J36" s="35">
        <v>0.2</v>
      </c>
      <c r="K36" s="35">
        <v>1.47</v>
      </c>
      <c r="L36" s="35">
        <v>50.27</v>
      </c>
      <c r="M36" s="35">
        <v>7.05</v>
      </c>
      <c r="N36" s="35">
        <v>4.07</v>
      </c>
      <c r="O36" s="35">
        <v>545.34</v>
      </c>
      <c r="P36" s="35">
        <f>(Table2[[#This Row],[Protein (g)]]/Table2[[#This Row],[Energy (kCal)]])*100-(Table2[[#This Row],[Sodium (mg)]]/1000)</f>
        <v>1.9581944015080115</v>
      </c>
      <c r="Q36" s="35" t="str">
        <f t="shared" si="3"/>
        <v>High-Risk</v>
      </c>
    </row>
    <row r="37" spans="1:17">
      <c r="A37" s="35" t="s">
        <v>17</v>
      </c>
      <c r="B37" s="35" t="s">
        <v>55</v>
      </c>
      <c r="C37" s="36">
        <f t="shared" si="2"/>
        <v>0.35606493115788707</v>
      </c>
      <c r="D37" s="8">
        <v>136</v>
      </c>
      <c r="E37" s="35">
        <v>348.11</v>
      </c>
      <c r="F37" s="35">
        <v>15.44</v>
      </c>
      <c r="G37" s="35">
        <f>Table2[[#This Row],[Protein (g)]]/Table2[[#This Row],[Per Serve Size]]</f>
        <v>0.11352941176470588</v>
      </c>
      <c r="H37" s="35">
        <v>14.16</v>
      </c>
      <c r="I37" s="35">
        <v>5.79</v>
      </c>
      <c r="J37" s="35">
        <v>0.21</v>
      </c>
      <c r="K37" s="35">
        <v>32.83</v>
      </c>
      <c r="L37" s="35">
        <v>38.85</v>
      </c>
      <c r="M37" s="35">
        <v>5.58</v>
      </c>
      <c r="N37" s="35">
        <v>3.54</v>
      </c>
      <c r="O37" s="35">
        <v>530.54</v>
      </c>
      <c r="P37" s="35">
        <f>(Table2[[#This Row],[Protein (g)]]/Table2[[#This Row],[Energy (kCal)]])*100-(Table2[[#This Row],[Sodium (mg)]]/1000)</f>
        <v>3.9048396213840446</v>
      </c>
      <c r="Q37" s="35" t="str">
        <f t="shared" si="3"/>
        <v>Balanced</v>
      </c>
    </row>
    <row r="38" spans="1:17">
      <c r="A38" s="35" t="s">
        <v>38</v>
      </c>
      <c r="B38" s="35" t="s">
        <v>56</v>
      </c>
      <c r="C38" s="36">
        <f t="shared" si="2"/>
        <v>0.33233091226215589</v>
      </c>
      <c r="D38" s="8">
        <v>112</v>
      </c>
      <c r="E38" s="35">
        <v>283.45999999999998</v>
      </c>
      <c r="F38" s="35">
        <v>14.05</v>
      </c>
      <c r="G38" s="35">
        <f>Table2[[#This Row],[Protein (g)]]/Table2[[#This Row],[Per Serve Size]]</f>
        <v>0.12544642857142857</v>
      </c>
      <c r="H38" s="35">
        <v>12.31</v>
      </c>
      <c r="I38" s="35">
        <v>6.92</v>
      </c>
      <c r="J38" s="35">
        <v>0.17</v>
      </c>
      <c r="K38" s="35">
        <v>233.3</v>
      </c>
      <c r="L38" s="35">
        <v>28.12</v>
      </c>
      <c r="M38" s="35">
        <v>2.38</v>
      </c>
      <c r="N38" s="35">
        <v>0.75</v>
      </c>
      <c r="O38" s="35">
        <v>519.30999999999995</v>
      </c>
      <c r="P38" s="35">
        <f>(Table2[[#This Row],[Protein (g)]]/Table2[[#This Row],[Energy (kCal)]])*100-(Table2[[#This Row],[Sodium (mg)]]/1000)</f>
        <v>4.4372976342341079</v>
      </c>
      <c r="Q38" s="35" t="str">
        <f t="shared" si="3"/>
        <v>Balanced</v>
      </c>
    </row>
    <row r="39" spans="1:17">
      <c r="A39" s="35" t="s">
        <v>17</v>
      </c>
      <c r="B39" s="35" t="s">
        <v>57</v>
      </c>
      <c r="C39" s="36">
        <f t="shared" si="2"/>
        <v>0.26565163388634855</v>
      </c>
      <c r="D39" s="8">
        <v>156</v>
      </c>
      <c r="E39" s="35">
        <v>280.05</v>
      </c>
      <c r="F39" s="35">
        <v>5.44</v>
      </c>
      <c r="G39" s="35">
        <f>Table2[[#This Row],[Protein (g)]]/Table2[[#This Row],[Per Serve Size]]</f>
        <v>3.4871794871794877E-2</v>
      </c>
      <c r="H39" s="35">
        <v>9.7899999999999991</v>
      </c>
      <c r="I39" s="35">
        <v>4.6399999999999997</v>
      </c>
      <c r="J39" s="35">
        <v>0.13</v>
      </c>
      <c r="K39" s="35">
        <v>1.33</v>
      </c>
      <c r="L39" s="35">
        <v>39.33</v>
      </c>
      <c r="M39" s="35">
        <v>0.66</v>
      </c>
      <c r="N39" s="35">
        <v>0</v>
      </c>
      <c r="O39" s="35">
        <v>487.76</v>
      </c>
      <c r="P39" s="35">
        <f>(Table2[[#This Row],[Protein (g)]]/Table2[[#This Row],[Energy (kCal)]])*100-(Table2[[#This Row],[Sodium (mg)]]/1000)</f>
        <v>1.4547502660239244</v>
      </c>
      <c r="Q39" s="35" t="str">
        <f t="shared" si="3"/>
        <v>High-Risk</v>
      </c>
    </row>
    <row r="40" spans="1:17">
      <c r="A40" s="35" t="s">
        <v>17</v>
      </c>
      <c r="B40" s="35" t="s">
        <v>58</v>
      </c>
      <c r="C40" s="36">
        <f t="shared" si="2"/>
        <v>0.24337589397886814</v>
      </c>
      <c r="D40" s="8">
        <v>58</v>
      </c>
      <c r="E40" s="35">
        <v>164.44</v>
      </c>
      <c r="F40" s="35">
        <v>10.17</v>
      </c>
      <c r="G40" s="35">
        <f>Table2[[#This Row],[Protein (g)]]/Table2[[#This Row],[Per Serve Size]]</f>
        <v>0.1753448275862069</v>
      </c>
      <c r="H40" s="35">
        <v>12.38</v>
      </c>
      <c r="I40" s="35">
        <v>11.41</v>
      </c>
      <c r="J40" s="35">
        <v>0.06</v>
      </c>
      <c r="K40" s="35">
        <v>30.1</v>
      </c>
      <c r="L40" s="35">
        <v>2.68</v>
      </c>
      <c r="M40" s="35">
        <v>0.28999999999999998</v>
      </c>
      <c r="N40" s="35">
        <v>0</v>
      </c>
      <c r="O40" s="35">
        <v>477.22</v>
      </c>
      <c r="P40" s="35">
        <f>(Table2[[#This Row],[Protein (g)]]/Table2[[#This Row],[Energy (kCal)]])*100-(Table2[[#This Row],[Sodium (mg)]]/1000)</f>
        <v>5.7074066115300415</v>
      </c>
      <c r="Q40" s="35" t="str">
        <f t="shared" si="3"/>
        <v>Premium Health</v>
      </c>
    </row>
    <row r="41" spans="1:17">
      <c r="A41" s="35" t="s">
        <v>17</v>
      </c>
      <c r="B41" s="35" t="s">
        <v>59</v>
      </c>
      <c r="C41" s="36">
        <f t="shared" si="2"/>
        <v>0.22784205258228538</v>
      </c>
      <c r="D41" s="8">
        <v>96</v>
      </c>
      <c r="E41" s="35">
        <v>254.52</v>
      </c>
      <c r="F41" s="35">
        <v>15.04</v>
      </c>
      <c r="G41" s="35">
        <f>Table2[[#This Row],[Protein (g)]]/Table2[[#This Row],[Per Serve Size]]</f>
        <v>0.15666666666666665</v>
      </c>
      <c r="H41" s="35">
        <v>14.3</v>
      </c>
      <c r="I41" s="35">
        <v>6.68</v>
      </c>
      <c r="J41" s="35">
        <v>0.1</v>
      </c>
      <c r="K41" s="35">
        <v>36.99</v>
      </c>
      <c r="L41" s="35">
        <v>15.74</v>
      </c>
      <c r="M41" s="35">
        <v>0.48</v>
      </c>
      <c r="N41" s="35">
        <v>0</v>
      </c>
      <c r="O41" s="35">
        <v>469.87</v>
      </c>
      <c r="P41" s="35">
        <f>(Table2[[#This Row],[Protein (g)]]/Table2[[#This Row],[Energy (kCal)]])*100-(Table2[[#This Row],[Sodium (mg)]]/1000)</f>
        <v>5.4392923448059083</v>
      </c>
      <c r="Q41" s="35" t="str">
        <f t="shared" si="3"/>
        <v>Premium Health</v>
      </c>
    </row>
    <row r="42" spans="1:17">
      <c r="A42" s="35" t="s">
        <v>19</v>
      </c>
      <c r="B42" s="35" t="s">
        <v>60</v>
      </c>
      <c r="C42" s="36">
        <f t="shared" si="2"/>
        <v>0.13971127894453042</v>
      </c>
      <c r="D42" s="8">
        <v>90</v>
      </c>
      <c r="E42" s="35">
        <v>252.29</v>
      </c>
      <c r="F42" s="35">
        <v>8.48</v>
      </c>
      <c r="G42" s="35">
        <f>Table2[[#This Row],[Protein (g)]]/Table2[[#This Row],[Per Serve Size]]</f>
        <v>9.4222222222222221E-2</v>
      </c>
      <c r="H42" s="35">
        <v>13.09</v>
      </c>
      <c r="I42" s="35">
        <v>7.53</v>
      </c>
      <c r="J42" s="35">
        <v>0.09</v>
      </c>
      <c r="K42" s="35">
        <v>20.03</v>
      </c>
      <c r="L42" s="35">
        <v>23.6</v>
      </c>
      <c r="M42" s="35">
        <v>1.31</v>
      </c>
      <c r="N42" s="35">
        <v>0</v>
      </c>
      <c r="O42" s="35">
        <v>428.17</v>
      </c>
      <c r="P42" s="35">
        <f>(Table2[[#This Row],[Protein (g)]]/Table2[[#This Row],[Energy (kCal)]])*100-(Table2[[#This Row],[Sodium (mg)]]/1000)</f>
        <v>2.9330413044512267</v>
      </c>
      <c r="Q42" s="35" t="str">
        <f t="shared" si="3"/>
        <v>High-Risk</v>
      </c>
    </row>
    <row r="43" spans="1:17">
      <c r="A43" s="35" t="s">
        <v>61</v>
      </c>
      <c r="B43" s="35" t="s">
        <v>62</v>
      </c>
      <c r="C43" s="36">
        <f t="shared" si="2"/>
        <v>0.11126427143459794</v>
      </c>
      <c r="D43" s="8">
        <v>5</v>
      </c>
      <c r="E43" s="35">
        <v>17.13</v>
      </c>
      <c r="F43" s="35">
        <v>0.51</v>
      </c>
      <c r="G43" s="35">
        <f>Table2[[#This Row],[Protein (g)]]/Table2[[#This Row],[Per Serve Size]]</f>
        <v>0.10200000000000001</v>
      </c>
      <c r="H43" s="35">
        <v>0.36</v>
      </c>
      <c r="I43" s="35">
        <v>0.08</v>
      </c>
      <c r="J43" s="35">
        <v>0.01</v>
      </c>
      <c r="K43" s="35">
        <v>0.05</v>
      </c>
      <c r="L43" s="35">
        <v>2.5</v>
      </c>
      <c r="M43" s="35">
        <v>0.66</v>
      </c>
      <c r="N43" s="35">
        <v>0.4</v>
      </c>
      <c r="O43" s="35">
        <v>414.71</v>
      </c>
      <c r="P43" s="35">
        <f>(Table2[[#This Row],[Protein (g)]]/Table2[[#This Row],[Energy (kCal)]])*100-(Table2[[#This Row],[Sodium (mg)]]/1000)</f>
        <v>2.5625229246935204</v>
      </c>
      <c r="Q43" s="35" t="str">
        <f t="shared" si="3"/>
        <v>High-Risk</v>
      </c>
    </row>
    <row r="44" spans="1:17">
      <c r="A44" s="35" t="s">
        <v>17</v>
      </c>
      <c r="B44" s="35" t="s">
        <v>63</v>
      </c>
      <c r="C44" s="36">
        <f t="shared" si="2"/>
        <v>0.10295842154499656</v>
      </c>
      <c r="D44" s="8">
        <v>138</v>
      </c>
      <c r="E44" s="35">
        <v>230.95</v>
      </c>
      <c r="F44" s="35">
        <v>5.67</v>
      </c>
      <c r="G44" s="35">
        <f>Table2[[#This Row],[Protein (g)]]/Table2[[#This Row],[Per Serve Size]]</f>
        <v>4.1086956521739132E-2</v>
      </c>
      <c r="H44" s="35">
        <v>9.32</v>
      </c>
      <c r="I44" s="35">
        <v>3.27</v>
      </c>
      <c r="J44" s="35">
        <v>0.19</v>
      </c>
      <c r="K44" s="35">
        <v>8.74</v>
      </c>
      <c r="L44" s="35">
        <v>31.06</v>
      </c>
      <c r="M44" s="35">
        <v>3.64</v>
      </c>
      <c r="N44" s="35">
        <v>1.1499999999999999</v>
      </c>
      <c r="O44" s="35">
        <v>410.78</v>
      </c>
      <c r="P44" s="35">
        <f>(Table2[[#This Row],[Protein (g)]]/Table2[[#This Row],[Energy (kCal)]])*100-(Table2[[#This Row],[Sodium (mg)]]/1000)</f>
        <v>2.044296856462438</v>
      </c>
      <c r="Q44" s="35" t="str">
        <f t="shared" si="3"/>
        <v>High-Risk</v>
      </c>
    </row>
    <row r="45" spans="1:17">
      <c r="A45" s="35" t="s">
        <v>17</v>
      </c>
      <c r="B45" s="35" t="s">
        <v>64</v>
      </c>
      <c r="C45" s="36">
        <f t="shared" si="2"/>
        <v>7.8928519955997284E-2</v>
      </c>
      <c r="D45" s="8">
        <v>123</v>
      </c>
      <c r="E45" s="35">
        <v>282.98</v>
      </c>
      <c r="F45" s="35">
        <v>12.29</v>
      </c>
      <c r="G45" s="35">
        <f>Table2[[#This Row],[Protein (g)]]/Table2[[#This Row],[Per Serve Size]]</f>
        <v>9.9918699186991866E-2</v>
      </c>
      <c r="H45" s="35">
        <v>12.21</v>
      </c>
      <c r="I45" s="35">
        <v>3.63</v>
      </c>
      <c r="J45" s="35">
        <v>0.11</v>
      </c>
      <c r="K45" s="35">
        <v>213.09</v>
      </c>
      <c r="L45" s="35">
        <v>31.32</v>
      </c>
      <c r="M45" s="35">
        <v>4.66</v>
      </c>
      <c r="N45" s="35">
        <v>3.64</v>
      </c>
      <c r="O45" s="35">
        <v>399.41</v>
      </c>
      <c r="P45" s="35">
        <f>(Table2[[#This Row],[Protein (g)]]/Table2[[#This Row],[Energy (kCal)]])*100-(Table2[[#This Row],[Sodium (mg)]]/1000)</f>
        <v>3.9436531140009889</v>
      </c>
      <c r="Q45" s="35" t="str">
        <f t="shared" si="3"/>
        <v>Balanced</v>
      </c>
    </row>
    <row r="46" spans="1:17">
      <c r="A46" s="35" t="s">
        <v>17</v>
      </c>
      <c r="B46" s="35" t="s">
        <v>65</v>
      </c>
      <c r="C46" s="36">
        <f t="shared" si="2"/>
        <v>6.060492745145684E-2</v>
      </c>
      <c r="D46" s="8">
        <v>87</v>
      </c>
      <c r="E46" s="35">
        <v>228.21</v>
      </c>
      <c r="F46" s="35">
        <v>5.45</v>
      </c>
      <c r="G46" s="35">
        <f>Table2[[#This Row],[Protein (g)]]/Table2[[#This Row],[Per Serve Size]]</f>
        <v>6.2643678160919536E-2</v>
      </c>
      <c r="H46" s="35">
        <v>11.44</v>
      </c>
      <c r="I46" s="35">
        <v>5.72</v>
      </c>
      <c r="J46" s="35">
        <v>0.09</v>
      </c>
      <c r="K46" s="35">
        <v>5.17</v>
      </c>
      <c r="L46" s="35">
        <v>24.79</v>
      </c>
      <c r="M46" s="35">
        <v>2.73</v>
      </c>
      <c r="N46" s="35">
        <v>0.35</v>
      </c>
      <c r="O46" s="35">
        <v>390.74</v>
      </c>
      <c r="P46" s="35">
        <f>(Table2[[#This Row],[Protein (g)]]/Table2[[#This Row],[Energy (kCal)]])*100-(Table2[[#This Row],[Sodium (mg)]]/1000)</f>
        <v>1.9974112641864945</v>
      </c>
      <c r="Q46" s="35" t="str">
        <f t="shared" si="3"/>
        <v>High-Risk</v>
      </c>
    </row>
    <row r="47" spans="1:17">
      <c r="A47" s="35" t="s">
        <v>17</v>
      </c>
      <c r="B47" s="35" t="s">
        <v>66</v>
      </c>
      <c r="C47" s="36">
        <f t="shared" si="2"/>
        <v>-1.1886332399262496E-2</v>
      </c>
      <c r="D47" s="8">
        <v>114</v>
      </c>
      <c r="E47" s="35">
        <v>204.65</v>
      </c>
      <c r="F47" s="35">
        <v>3.97</v>
      </c>
      <c r="G47" s="35">
        <f>Table2[[#This Row],[Protein (g)]]/Table2[[#This Row],[Per Serve Size]]</f>
        <v>3.4824561403508772E-2</v>
      </c>
      <c r="H47" s="35">
        <v>7.15</v>
      </c>
      <c r="I47" s="35">
        <v>3.39</v>
      </c>
      <c r="J47" s="35">
        <v>0.1</v>
      </c>
      <c r="K47" s="35">
        <v>0.97</v>
      </c>
      <c r="L47" s="35">
        <v>28.74</v>
      </c>
      <c r="M47" s="35">
        <v>0.48</v>
      </c>
      <c r="N47" s="35">
        <v>0</v>
      </c>
      <c r="O47" s="35">
        <v>356.44</v>
      </c>
      <c r="P47" s="35">
        <f>(Table2[[#This Row],[Protein (g)]]/Table2[[#This Row],[Energy (kCal)]])*100-(Table2[[#This Row],[Sodium (mg)]]/1000)</f>
        <v>1.5834573857806009</v>
      </c>
      <c r="Q47" s="35" t="str">
        <f t="shared" si="3"/>
        <v>High-Risk</v>
      </c>
    </row>
    <row r="48" spans="1:17">
      <c r="A48" s="35" t="s">
        <v>67</v>
      </c>
      <c r="B48" s="35" t="s">
        <v>68</v>
      </c>
      <c r="C48" s="36">
        <f t="shared" si="2"/>
        <v>-6.2270928167225952E-2</v>
      </c>
      <c r="D48" s="8">
        <v>334</v>
      </c>
      <c r="E48" s="35">
        <v>481.11</v>
      </c>
      <c r="F48" s="35">
        <v>6.03</v>
      </c>
      <c r="G48" s="35">
        <f>Table2[[#This Row],[Protein (g)]]/Table2[[#This Row],[Per Serve Size]]</f>
        <v>1.8053892215568863E-2</v>
      </c>
      <c r="H48" s="35">
        <v>18.89</v>
      </c>
      <c r="I48" s="35">
        <v>15.91</v>
      </c>
      <c r="J48" s="35">
        <v>0.22</v>
      </c>
      <c r="K48" s="35">
        <v>9.36</v>
      </c>
      <c r="L48" s="35">
        <v>72.510000000000005</v>
      </c>
      <c r="M48" s="35">
        <v>55.14</v>
      </c>
      <c r="N48" s="35">
        <v>44.35</v>
      </c>
      <c r="O48" s="35">
        <v>332.6</v>
      </c>
      <c r="P48" s="35">
        <f>(Table2[[#This Row],[Protein (g)]]/Table2[[#This Row],[Energy (kCal)]])*100-(Table2[[#This Row],[Sodium (mg)]]/1000)</f>
        <v>0.92075162436864755</v>
      </c>
      <c r="Q48" s="35" t="str">
        <f t="shared" si="3"/>
        <v>High-Risk</v>
      </c>
    </row>
    <row r="49" spans="1:17">
      <c r="A49" s="35" t="s">
        <v>17</v>
      </c>
      <c r="B49" s="35" t="s">
        <v>69</v>
      </c>
      <c r="C49" s="36">
        <f t="shared" si="2"/>
        <v>-0.10316614327251517</v>
      </c>
      <c r="D49" s="8">
        <v>64</v>
      </c>
      <c r="E49" s="35">
        <v>169.68</v>
      </c>
      <c r="F49" s="35">
        <v>10.029999999999999</v>
      </c>
      <c r="G49" s="35">
        <f>Table2[[#This Row],[Protein (g)]]/Table2[[#This Row],[Per Serve Size]]</f>
        <v>0.15671874999999999</v>
      </c>
      <c r="H49" s="35">
        <v>9.5399999999999991</v>
      </c>
      <c r="I49" s="35">
        <v>4.45</v>
      </c>
      <c r="J49" s="35">
        <v>0.06</v>
      </c>
      <c r="K49" s="35">
        <v>24.66</v>
      </c>
      <c r="L49" s="35">
        <v>10.5</v>
      </c>
      <c r="M49" s="35">
        <v>0.32</v>
      </c>
      <c r="N49" s="35">
        <v>0</v>
      </c>
      <c r="O49" s="35">
        <v>313.25</v>
      </c>
      <c r="P49" s="35">
        <f>(Table2[[#This Row],[Protein (g)]]/Table2[[#This Row],[Energy (kCal)]])*100-(Table2[[#This Row],[Sodium (mg)]]/1000)</f>
        <v>5.5978768269684105</v>
      </c>
      <c r="Q49" s="35" t="str">
        <f t="shared" si="3"/>
        <v>Premium Health</v>
      </c>
    </row>
    <row r="50" spans="1:17">
      <c r="A50" s="35" t="s">
        <v>17</v>
      </c>
      <c r="B50" s="35" t="s">
        <v>70</v>
      </c>
      <c r="C50" s="36">
        <f t="shared" si="2"/>
        <v>-0.10325068118487757</v>
      </c>
      <c r="D50" s="8">
        <v>80</v>
      </c>
      <c r="E50" s="35">
        <v>341.68</v>
      </c>
      <c r="F50" s="35">
        <v>5.13</v>
      </c>
      <c r="G50" s="35">
        <f>Table2[[#This Row],[Protein (g)]]/Table2[[#This Row],[Per Serve Size]]</f>
        <v>6.4125000000000001E-2</v>
      </c>
      <c r="H50" s="35">
        <v>17.28</v>
      </c>
      <c r="I50" s="35">
        <v>7.14</v>
      </c>
      <c r="J50" s="35">
        <v>0.08</v>
      </c>
      <c r="K50" s="35">
        <v>15.96</v>
      </c>
      <c r="L50" s="35">
        <v>40.130000000000003</v>
      </c>
      <c r="M50" s="35">
        <v>29.44</v>
      </c>
      <c r="N50" s="35">
        <v>0</v>
      </c>
      <c r="O50" s="35">
        <v>313.20999999999998</v>
      </c>
      <c r="P50" s="35">
        <f>(Table2[[#This Row],[Protein (g)]]/Table2[[#This Row],[Energy (kCal)]])*100-(Table2[[#This Row],[Sodium (mg)]]/1000)</f>
        <v>1.1881948232264106</v>
      </c>
      <c r="Q50" s="35" t="str">
        <f t="shared" si="3"/>
        <v>High-Risk</v>
      </c>
    </row>
    <row r="51" spans="1:17">
      <c r="A51" s="35" t="s">
        <v>17</v>
      </c>
      <c r="B51" s="35" t="s">
        <v>71</v>
      </c>
      <c r="C51" s="36">
        <f t="shared" si="2"/>
        <v>-0.11787574002356488</v>
      </c>
      <c r="D51" s="8">
        <v>154</v>
      </c>
      <c r="E51" s="35">
        <v>449.17</v>
      </c>
      <c r="F51" s="35">
        <v>6.76</v>
      </c>
      <c r="G51" s="35">
        <f>Table2[[#This Row],[Protein (g)]]/Table2[[#This Row],[Per Serve Size]]</f>
        <v>4.3896103896103891E-2</v>
      </c>
      <c r="H51" s="35">
        <v>20.77</v>
      </c>
      <c r="I51" s="35">
        <v>9.9499999999999993</v>
      </c>
      <c r="J51" s="35">
        <v>0.15</v>
      </c>
      <c r="K51" s="35">
        <v>1.54</v>
      </c>
      <c r="L51" s="35">
        <v>54.16</v>
      </c>
      <c r="M51" s="35">
        <v>0.77</v>
      </c>
      <c r="N51" s="35">
        <v>0</v>
      </c>
      <c r="O51" s="35">
        <v>306.29000000000002</v>
      </c>
      <c r="P51" s="35">
        <f>(Table2[[#This Row],[Protein (g)]]/Table2[[#This Row],[Energy (kCal)]])*100-(Table2[[#This Row],[Sodium (mg)]]/1000)</f>
        <v>1.1987081076207227</v>
      </c>
      <c r="Q51" s="35" t="str">
        <f t="shared" si="3"/>
        <v>High-Risk</v>
      </c>
    </row>
    <row r="52" spans="1:17">
      <c r="A52" s="35" t="s">
        <v>38</v>
      </c>
      <c r="B52" s="35" t="s">
        <v>72</v>
      </c>
      <c r="C52" s="36">
        <f t="shared" si="2"/>
        <v>-0.18345602553866175</v>
      </c>
      <c r="D52" s="8">
        <v>64</v>
      </c>
      <c r="E52" s="35">
        <v>140.29</v>
      </c>
      <c r="F52" s="35">
        <v>1.93</v>
      </c>
      <c r="G52" s="35">
        <f>Table2[[#This Row],[Protein (g)]]/Table2[[#This Row],[Per Serve Size]]</f>
        <v>3.0156249999999999E-2</v>
      </c>
      <c r="H52" s="35">
        <v>7.32</v>
      </c>
      <c r="I52" s="35">
        <v>3.42</v>
      </c>
      <c r="J52" s="35">
        <v>0.06</v>
      </c>
      <c r="K52" s="35">
        <v>0.64</v>
      </c>
      <c r="L52" s="35">
        <v>15.63</v>
      </c>
      <c r="M52" s="35">
        <v>0.32</v>
      </c>
      <c r="N52" s="35">
        <v>0</v>
      </c>
      <c r="O52" s="35">
        <v>275.26</v>
      </c>
      <c r="P52" s="35">
        <f>(Table2[[#This Row],[Protein (g)]]/Table2[[#This Row],[Energy (kCal)]])*100-(Table2[[#This Row],[Sodium (mg)]]/1000)</f>
        <v>1.1004617192957444</v>
      </c>
      <c r="Q52" s="35" t="str">
        <f t="shared" si="3"/>
        <v>High-Risk</v>
      </c>
    </row>
    <row r="53" spans="1:17">
      <c r="A53" s="35" t="s">
        <v>67</v>
      </c>
      <c r="B53" s="35" t="s">
        <v>73</v>
      </c>
      <c r="C53" s="36">
        <f t="shared" si="2"/>
        <v>-0.1874927108539641</v>
      </c>
      <c r="D53" s="8">
        <v>367</v>
      </c>
      <c r="E53" s="35">
        <v>383.29</v>
      </c>
      <c r="F53" s="35">
        <v>11.01</v>
      </c>
      <c r="G53" s="35">
        <f>Table2[[#This Row],[Protein (g)]]/Table2[[#This Row],[Per Serve Size]]</f>
        <v>0.03</v>
      </c>
      <c r="H53" s="35">
        <v>12.84</v>
      </c>
      <c r="I53" s="35">
        <v>9.09</v>
      </c>
      <c r="J53" s="35">
        <v>0.43</v>
      </c>
      <c r="K53" s="35">
        <v>36.67</v>
      </c>
      <c r="L53" s="35">
        <v>58.43</v>
      </c>
      <c r="M53" s="35">
        <v>47.96</v>
      </c>
      <c r="N53" s="35">
        <v>24.41</v>
      </c>
      <c r="O53" s="35">
        <v>273.35000000000002</v>
      </c>
      <c r="P53" s="35">
        <f>(Table2[[#This Row],[Protein (g)]]/Table2[[#This Row],[Energy (kCal)]])*100-(Table2[[#This Row],[Sodium (mg)]]/1000)</f>
        <v>2.5991486302799442</v>
      </c>
      <c r="Q53" s="35" t="str">
        <f t="shared" si="3"/>
        <v>High-Risk</v>
      </c>
    </row>
    <row r="54" spans="1:17">
      <c r="A54" s="35" t="s">
        <v>17</v>
      </c>
      <c r="B54" s="35" t="s">
        <v>74</v>
      </c>
      <c r="C54" s="36">
        <f t="shared" si="2"/>
        <v>-0.22644355397491919</v>
      </c>
      <c r="D54" s="8">
        <v>80</v>
      </c>
      <c r="E54" s="35">
        <v>329.29</v>
      </c>
      <c r="F54" s="35">
        <v>4.4800000000000004</v>
      </c>
      <c r="G54" s="35">
        <f>Table2[[#This Row],[Protein (g)]]/Table2[[#This Row],[Per Serve Size]]</f>
        <v>5.6000000000000008E-2</v>
      </c>
      <c r="H54" s="35">
        <v>15.46</v>
      </c>
      <c r="I54" s="35">
        <v>7.14</v>
      </c>
      <c r="J54" s="35">
        <v>0.08</v>
      </c>
      <c r="K54" s="35">
        <v>78.52</v>
      </c>
      <c r="L54" s="35">
        <v>40.130000000000003</v>
      </c>
      <c r="M54" s="35">
        <v>29.6</v>
      </c>
      <c r="N54" s="35">
        <v>0</v>
      </c>
      <c r="O54" s="35">
        <v>254.92</v>
      </c>
      <c r="P54" s="35">
        <f>(Table2[[#This Row],[Protein (g)]]/Table2[[#This Row],[Energy (kCal)]])*100-(Table2[[#This Row],[Sodium (mg)]]/1000)</f>
        <v>1.1055829001791735</v>
      </c>
      <c r="Q54" s="35" t="str">
        <f t="shared" si="3"/>
        <v>High-Risk</v>
      </c>
    </row>
    <row r="55" spans="1:17">
      <c r="A55" s="35" t="s">
        <v>67</v>
      </c>
      <c r="B55" s="35" t="s">
        <v>75</v>
      </c>
      <c r="C55" s="36">
        <f t="shared" si="2"/>
        <v>-0.27209402665059085</v>
      </c>
      <c r="D55" s="8">
        <v>320.5</v>
      </c>
      <c r="E55" s="35">
        <v>397.98</v>
      </c>
      <c r="F55" s="35">
        <v>5.49</v>
      </c>
      <c r="G55" s="35">
        <f>Table2[[#This Row],[Protein (g)]]/Table2[[#This Row],[Per Serve Size]]</f>
        <v>1.7129485179407176E-2</v>
      </c>
      <c r="H55" s="35">
        <v>15.01</v>
      </c>
      <c r="I55" s="35">
        <v>14</v>
      </c>
      <c r="J55" s="35">
        <v>0.2</v>
      </c>
      <c r="K55" s="35">
        <v>9.42</v>
      </c>
      <c r="L55" s="35">
        <v>60.93</v>
      </c>
      <c r="M55" s="35">
        <v>47.55</v>
      </c>
      <c r="N55" s="35">
        <v>36.630000000000003</v>
      </c>
      <c r="O55" s="35">
        <v>233.32</v>
      </c>
      <c r="P55" s="35">
        <f>(Table2[[#This Row],[Protein (g)]]/Table2[[#This Row],[Energy (kCal)]])*100-(Table2[[#This Row],[Sodium (mg)]]/1000)</f>
        <v>1.1461463048394391</v>
      </c>
      <c r="Q55" s="35" t="str">
        <f t="shared" si="3"/>
        <v>High-Risk</v>
      </c>
    </row>
    <row r="56" spans="1:17">
      <c r="A56" s="35" t="s">
        <v>61</v>
      </c>
      <c r="B56" s="35" t="s">
        <v>76</v>
      </c>
      <c r="C56" s="36">
        <f t="shared" si="2"/>
        <v>-0.2974554003592973</v>
      </c>
      <c r="D56" s="8">
        <v>25</v>
      </c>
      <c r="E56" s="35">
        <v>81.180000000000007</v>
      </c>
      <c r="F56" s="35">
        <v>0.52</v>
      </c>
      <c r="G56" s="35">
        <f>Table2[[#This Row],[Protein (g)]]/Table2[[#This Row],[Per Serve Size]]</f>
        <v>2.0799999999999999E-2</v>
      </c>
      <c r="H56" s="35">
        <v>5.57</v>
      </c>
      <c r="I56" s="35">
        <v>1.78</v>
      </c>
      <c r="J56" s="35">
        <v>0.47</v>
      </c>
      <c r="K56" s="35">
        <v>0.28999999999999998</v>
      </c>
      <c r="L56" s="35">
        <v>7.24</v>
      </c>
      <c r="M56" s="35">
        <v>6.66</v>
      </c>
      <c r="N56" s="35">
        <v>4</v>
      </c>
      <c r="O56" s="35">
        <v>221.32</v>
      </c>
      <c r="P56" s="35">
        <f>(Table2[[#This Row],[Protein (g)]]/Table2[[#This Row],[Energy (kCal)]])*100-(Table2[[#This Row],[Sodium (mg)]]/1000)</f>
        <v>0.41923186006405522</v>
      </c>
      <c r="Q56" s="35" t="str">
        <f t="shared" si="3"/>
        <v>High-Risk</v>
      </c>
    </row>
    <row r="57" spans="1:17">
      <c r="A57" s="35" t="s">
        <v>17</v>
      </c>
      <c r="B57" s="35" t="s">
        <v>77</v>
      </c>
      <c r="C57" s="36">
        <f t="shared" si="2"/>
        <v>-0.30702931893433399</v>
      </c>
      <c r="D57" s="8">
        <v>109</v>
      </c>
      <c r="E57" s="35">
        <v>317.92</v>
      </c>
      <c r="F57" s="35">
        <v>4.79</v>
      </c>
      <c r="G57" s="35">
        <f>Table2[[#This Row],[Protein (g)]]/Table2[[#This Row],[Per Serve Size]]</f>
        <v>4.3944954128440364E-2</v>
      </c>
      <c r="H57" s="35">
        <v>14.7</v>
      </c>
      <c r="I57" s="35">
        <v>7.04</v>
      </c>
      <c r="J57" s="35">
        <v>0.11</v>
      </c>
      <c r="K57" s="35">
        <v>1.0900000000000001</v>
      </c>
      <c r="L57" s="35">
        <v>38.340000000000003</v>
      </c>
      <c r="M57" s="35">
        <v>0.55000000000000004</v>
      </c>
      <c r="N57" s="35">
        <v>0</v>
      </c>
      <c r="O57" s="35">
        <v>216.79</v>
      </c>
      <c r="P57" s="35">
        <f>(Table2[[#This Row],[Protein (g)]]/Table2[[#This Row],[Energy (kCal)]])*100-(Table2[[#This Row],[Sodium (mg)]]/1000)</f>
        <v>1.2898783442375439</v>
      </c>
      <c r="Q57" s="35" t="str">
        <f t="shared" si="3"/>
        <v>High-Risk</v>
      </c>
    </row>
    <row r="58" spans="1:17">
      <c r="A58" s="35" t="s">
        <v>67</v>
      </c>
      <c r="B58" s="35" t="s">
        <v>78</v>
      </c>
      <c r="C58" s="36">
        <f t="shared" si="2"/>
        <v>-0.32330286706408728</v>
      </c>
      <c r="D58" s="8">
        <v>377</v>
      </c>
      <c r="E58" s="35">
        <v>302.02</v>
      </c>
      <c r="F58" s="35">
        <v>10.88</v>
      </c>
      <c r="G58" s="35">
        <f>Table2[[#This Row],[Protein (g)]]/Table2[[#This Row],[Per Serve Size]]</f>
        <v>2.8859416445623343E-2</v>
      </c>
      <c r="H58" s="35">
        <v>12.01</v>
      </c>
      <c r="I58" s="35">
        <v>8.67</v>
      </c>
      <c r="J58" s="35">
        <v>0.41</v>
      </c>
      <c r="K58" s="35">
        <v>35.67</v>
      </c>
      <c r="L58" s="35">
        <v>40.04</v>
      </c>
      <c r="M58" s="35">
        <v>29.96</v>
      </c>
      <c r="N58" s="35">
        <v>12.16</v>
      </c>
      <c r="O58" s="35">
        <v>209.09</v>
      </c>
      <c r="P58" s="35">
        <f>(Table2[[#This Row],[Protein (g)]]/Table2[[#This Row],[Energy (kCal)]])*100-(Table2[[#This Row],[Sodium (mg)]]/1000)</f>
        <v>3.3933204363949416</v>
      </c>
      <c r="Q58" s="35" t="str">
        <f t="shared" si="3"/>
        <v>Balanced</v>
      </c>
    </row>
    <row r="59" spans="1:17">
      <c r="A59" s="35" t="s">
        <v>67</v>
      </c>
      <c r="B59" s="35" t="s">
        <v>79</v>
      </c>
      <c r="C59" s="36">
        <f t="shared" si="2"/>
        <v>-0.32752976268220502</v>
      </c>
      <c r="D59" s="8">
        <v>259</v>
      </c>
      <c r="E59" s="35">
        <v>296.81</v>
      </c>
      <c r="F59" s="35">
        <v>7.7</v>
      </c>
      <c r="G59" s="35">
        <f>Table2[[#This Row],[Protein (g)]]/Table2[[#This Row],[Per Serve Size]]</f>
        <v>2.9729729729729731E-2</v>
      </c>
      <c r="H59" s="35">
        <v>8.76</v>
      </c>
      <c r="I59" s="35">
        <v>6.13</v>
      </c>
      <c r="J59" s="35">
        <v>0.32</v>
      </c>
      <c r="K59" s="35">
        <v>24.59</v>
      </c>
      <c r="L59" s="35">
        <v>48.41</v>
      </c>
      <c r="M59" s="35">
        <v>39.24</v>
      </c>
      <c r="N59" s="35">
        <v>21.37</v>
      </c>
      <c r="O59" s="35">
        <v>207.09</v>
      </c>
      <c r="P59" s="35">
        <f>(Table2[[#This Row],[Protein (g)]]/Table2[[#This Row],[Energy (kCal)]])*100-(Table2[[#This Row],[Sodium (mg)]]/1000)</f>
        <v>2.387162215221859</v>
      </c>
      <c r="Q59" s="35" t="str">
        <f t="shared" si="3"/>
        <v>High-Risk</v>
      </c>
    </row>
    <row r="60" spans="1:17">
      <c r="A60" s="35" t="s">
        <v>67</v>
      </c>
      <c r="B60" s="35" t="s">
        <v>80</v>
      </c>
      <c r="C60" s="36">
        <f t="shared" si="2"/>
        <v>-0.36590997489471411</v>
      </c>
      <c r="D60" s="8">
        <v>296.5</v>
      </c>
      <c r="E60" s="35">
        <v>331.17</v>
      </c>
      <c r="F60" s="35">
        <v>4.9800000000000004</v>
      </c>
      <c r="G60" s="35">
        <f>Table2[[#This Row],[Protein (g)]]/Table2[[#This Row],[Per Serve Size]]</f>
        <v>1.679595278246206E-2</v>
      </c>
      <c r="H60" s="35">
        <v>14.73</v>
      </c>
      <c r="I60" s="35">
        <v>13.91</v>
      </c>
      <c r="J60" s="35">
        <v>0.16</v>
      </c>
      <c r="K60" s="35">
        <v>9.18</v>
      </c>
      <c r="L60" s="35">
        <v>45.39</v>
      </c>
      <c r="M60" s="35">
        <v>35.57</v>
      </c>
      <c r="N60" s="35">
        <v>27.51</v>
      </c>
      <c r="O60" s="35">
        <v>188.93</v>
      </c>
      <c r="P60" s="35">
        <f>(Table2[[#This Row],[Protein (g)]]/Table2[[#This Row],[Energy (kCal)]])*100-(Table2[[#This Row],[Sodium (mg)]]/1000)</f>
        <v>1.3148293984962407</v>
      </c>
      <c r="Q60" s="35" t="str">
        <f t="shared" si="3"/>
        <v>High-Risk</v>
      </c>
    </row>
    <row r="61" spans="1:17">
      <c r="A61" s="35" t="s">
        <v>67</v>
      </c>
      <c r="B61" s="35" t="s">
        <v>81</v>
      </c>
      <c r="C61" s="36">
        <f t="shared" si="2"/>
        <v>-0.36745279179532714</v>
      </c>
      <c r="D61" s="8">
        <v>200.08</v>
      </c>
      <c r="E61" s="35">
        <v>429.95</v>
      </c>
      <c r="F61" s="35">
        <v>5.42</v>
      </c>
      <c r="G61" s="35">
        <f>Table2[[#This Row],[Protein (g)]]/Table2[[#This Row],[Per Serve Size]]</f>
        <v>2.7089164334266291E-2</v>
      </c>
      <c r="H61" s="35">
        <v>9.76</v>
      </c>
      <c r="I61" s="35">
        <v>6.47</v>
      </c>
      <c r="J61" s="35">
        <v>0.19</v>
      </c>
      <c r="K61" s="35">
        <v>9.23</v>
      </c>
      <c r="L61" s="35">
        <v>79.040000000000006</v>
      </c>
      <c r="M61" s="35">
        <v>48.45</v>
      </c>
      <c r="N61" s="35">
        <v>35.22</v>
      </c>
      <c r="O61" s="35">
        <v>188.2</v>
      </c>
      <c r="P61" s="35">
        <f>(Table2[[#This Row],[Protein (g)]]/Table2[[#This Row],[Energy (kCal)]])*100-(Table2[[#This Row],[Sodium (mg)]]/1000)</f>
        <v>1.0724116990347716</v>
      </c>
      <c r="Q61" s="35" t="str">
        <f t="shared" si="3"/>
        <v>High-Risk</v>
      </c>
    </row>
    <row r="62" spans="1:17">
      <c r="A62" s="35" t="s">
        <v>67</v>
      </c>
      <c r="B62" s="35" t="s">
        <v>82</v>
      </c>
      <c r="C62" s="36">
        <f t="shared" si="2"/>
        <v>-0.37267300788370256</v>
      </c>
      <c r="D62" s="8">
        <v>317</v>
      </c>
      <c r="E62" s="35">
        <v>398.19</v>
      </c>
      <c r="F62" s="35">
        <v>5.67</v>
      </c>
      <c r="G62" s="35">
        <f>Table2[[#This Row],[Protein (g)]]/Table2[[#This Row],[Per Serve Size]]</f>
        <v>1.7886435331230285E-2</v>
      </c>
      <c r="H62" s="35">
        <v>12.77</v>
      </c>
      <c r="I62" s="35">
        <v>11.38</v>
      </c>
      <c r="J62" s="35">
        <v>0.2</v>
      </c>
      <c r="K62" s="35">
        <v>10.89</v>
      </c>
      <c r="L62" s="35">
        <v>64.75</v>
      </c>
      <c r="M62" s="35">
        <v>53.4</v>
      </c>
      <c r="N62" s="35">
        <v>34.35</v>
      </c>
      <c r="O62" s="35">
        <v>185.73</v>
      </c>
      <c r="P62" s="35">
        <f>(Table2[[#This Row],[Protein (g)]]/Table2[[#This Row],[Energy (kCal)]])*100-(Table2[[#This Row],[Sodium (mg)]]/1000)</f>
        <v>1.2382133436299254</v>
      </c>
      <c r="Q62" s="35" t="str">
        <f t="shared" si="3"/>
        <v>High-Risk</v>
      </c>
    </row>
    <row r="63" spans="1:17">
      <c r="A63" s="35" t="s">
        <v>67</v>
      </c>
      <c r="B63" s="35" t="s">
        <v>83</v>
      </c>
      <c r="C63" s="36">
        <f t="shared" si="2"/>
        <v>-0.38309230558236274</v>
      </c>
      <c r="D63" s="8">
        <v>405</v>
      </c>
      <c r="E63" s="35">
        <v>251.47</v>
      </c>
      <c r="F63" s="35">
        <v>12.08</v>
      </c>
      <c r="G63" s="35">
        <f>Table2[[#This Row],[Protein (g)]]/Table2[[#This Row],[Per Serve Size]]</f>
        <v>2.9827160493827162E-2</v>
      </c>
      <c r="H63" s="35">
        <v>14.02</v>
      </c>
      <c r="I63" s="35">
        <v>10.31</v>
      </c>
      <c r="J63" s="35">
        <v>0.41</v>
      </c>
      <c r="K63" s="35">
        <v>42.55</v>
      </c>
      <c r="L63" s="35">
        <v>22.22</v>
      </c>
      <c r="M63" s="35">
        <v>16.809999999999999</v>
      </c>
      <c r="N63" s="35">
        <v>0</v>
      </c>
      <c r="O63" s="35">
        <v>180.8</v>
      </c>
      <c r="P63" s="35">
        <f>(Table2[[#This Row],[Protein (g)]]/Table2[[#This Row],[Energy (kCal)]])*100-(Table2[[#This Row],[Sodium (mg)]]/1000)</f>
        <v>4.622953926909771</v>
      </c>
      <c r="Q63" s="35" t="str">
        <f t="shared" si="3"/>
        <v>Balanced</v>
      </c>
    </row>
    <row r="64" spans="1:17">
      <c r="A64" s="35" t="s">
        <v>61</v>
      </c>
      <c r="B64" s="35" t="s">
        <v>84</v>
      </c>
      <c r="C64" s="36">
        <f t="shared" si="2"/>
        <v>-0.38700218402912168</v>
      </c>
      <c r="D64" s="8">
        <v>14</v>
      </c>
      <c r="E64" s="35">
        <v>51.03</v>
      </c>
      <c r="F64" s="35">
        <v>3.06</v>
      </c>
      <c r="G64" s="35">
        <f>Table2[[#This Row],[Protein (g)]]/Table2[[#This Row],[Per Serve Size]]</f>
        <v>0.21857142857142858</v>
      </c>
      <c r="H64" s="35">
        <v>3.99</v>
      </c>
      <c r="I64" s="35">
        <v>2.89</v>
      </c>
      <c r="J64" s="35">
        <v>0.01</v>
      </c>
      <c r="K64" s="35">
        <v>13.43</v>
      </c>
      <c r="L64" s="35">
        <v>0.72</v>
      </c>
      <c r="M64" s="35">
        <v>0.54</v>
      </c>
      <c r="N64" s="35">
        <v>0</v>
      </c>
      <c r="O64" s="35">
        <v>178.95</v>
      </c>
      <c r="P64" s="35">
        <f>(Table2[[#This Row],[Protein (g)]]/Table2[[#This Row],[Energy (kCal)]])*100-(Table2[[#This Row],[Sodium (mg)]]/1000)</f>
        <v>5.8175226631393286</v>
      </c>
      <c r="Q64" s="35" t="str">
        <f t="shared" si="3"/>
        <v>Premium Health</v>
      </c>
    </row>
    <row r="65" spans="1:17">
      <c r="A65" s="35" t="s">
        <v>67</v>
      </c>
      <c r="B65" s="35" t="s">
        <v>85</v>
      </c>
      <c r="C65" s="36">
        <f t="shared" si="2"/>
        <v>-0.38803777345556051</v>
      </c>
      <c r="D65" s="8">
        <v>259</v>
      </c>
      <c r="E65" s="35">
        <v>270.89999999999998</v>
      </c>
      <c r="F65" s="35">
        <v>4.16</v>
      </c>
      <c r="G65" s="35">
        <f>Table2[[#This Row],[Protein (g)]]/Table2[[#This Row],[Per Serve Size]]</f>
        <v>1.6061776061776063E-2</v>
      </c>
      <c r="H65" s="35">
        <v>7.7</v>
      </c>
      <c r="I65" s="35">
        <v>6.74</v>
      </c>
      <c r="J65" s="35">
        <v>0.14000000000000001</v>
      </c>
      <c r="K65" s="35">
        <v>8.39</v>
      </c>
      <c r="L65" s="35">
        <v>46.76</v>
      </c>
      <c r="M65" s="35">
        <v>37.78</v>
      </c>
      <c r="N65" s="35">
        <v>27.88</v>
      </c>
      <c r="O65" s="35">
        <v>178.46</v>
      </c>
      <c r="P65" s="35">
        <f>(Table2[[#This Row],[Protein (g)]]/Table2[[#This Row],[Energy (kCal)]])*100-(Table2[[#This Row],[Sodium (mg)]]/1000)</f>
        <v>1.3571620007382799</v>
      </c>
      <c r="Q65" s="35" t="str">
        <f t="shared" si="3"/>
        <v>High-Risk</v>
      </c>
    </row>
    <row r="66" spans="1:17">
      <c r="A66" s="35" t="s">
        <v>67</v>
      </c>
      <c r="B66" s="35" t="s">
        <v>86</v>
      </c>
      <c r="C66" s="36">
        <f t="shared" ref="C66:C97" si="4">(O66-$K$147)/($K$150)</f>
        <v>-0.40915111706805868</v>
      </c>
      <c r="D66" s="8">
        <v>311.5</v>
      </c>
      <c r="E66" s="35">
        <v>244</v>
      </c>
      <c r="F66" s="35">
        <v>8.99</v>
      </c>
      <c r="G66" s="35">
        <f>Table2[[#This Row],[Protein (g)]]/Table2[[#This Row],[Per Serve Size]]</f>
        <v>2.8860353130016052E-2</v>
      </c>
      <c r="H66" s="35">
        <v>9.91</v>
      </c>
      <c r="I66" s="35">
        <v>7.17</v>
      </c>
      <c r="J66" s="35">
        <v>0.34</v>
      </c>
      <c r="K66" s="35">
        <v>29.52</v>
      </c>
      <c r="L66" s="35">
        <v>31.72</v>
      </c>
      <c r="M66" s="35">
        <v>23.56</v>
      </c>
      <c r="N66" s="35">
        <v>9.1199999999999992</v>
      </c>
      <c r="O66" s="35">
        <v>168.47</v>
      </c>
      <c r="P66" s="35">
        <f>(Table2[[#This Row],[Protein (g)]]/Table2[[#This Row],[Energy (kCal)]])*100-(Table2[[#This Row],[Sodium (mg)]]/1000)</f>
        <v>3.5159562295081965</v>
      </c>
      <c r="Q66" s="35" t="str">
        <f t="shared" ref="Q66:Q97" si="5">IF(P66 &gt; 5, "Premium Health", IF(P66 &gt; 3, "Balanced", "High-Risk"))</f>
        <v>Balanced</v>
      </c>
    </row>
    <row r="67" spans="1:17">
      <c r="A67" s="35" t="s">
        <v>67</v>
      </c>
      <c r="B67" s="35" t="s">
        <v>87</v>
      </c>
      <c r="C67" s="36">
        <f t="shared" si="4"/>
        <v>-0.41181406130747283</v>
      </c>
      <c r="D67" s="8">
        <v>223</v>
      </c>
      <c r="E67" s="35">
        <v>239.42</v>
      </c>
      <c r="F67" s="35">
        <v>6.73</v>
      </c>
      <c r="G67" s="35">
        <f>Table2[[#This Row],[Protein (g)]]/Table2[[#This Row],[Per Serve Size]]</f>
        <v>3.0179372197309418E-2</v>
      </c>
      <c r="H67" s="35">
        <v>7.77</v>
      </c>
      <c r="I67" s="35">
        <v>5.49</v>
      </c>
      <c r="J67" s="35">
        <v>0.26</v>
      </c>
      <c r="K67" s="35">
        <v>22.03</v>
      </c>
      <c r="L67" s="35">
        <v>37.08</v>
      </c>
      <c r="M67" s="35">
        <v>30.31</v>
      </c>
      <c r="N67" s="35">
        <v>15.29</v>
      </c>
      <c r="O67" s="35">
        <v>167.21</v>
      </c>
      <c r="P67" s="35">
        <f>(Table2[[#This Row],[Protein (g)]]/Table2[[#This Row],[Energy (kCal)]])*100-(Table2[[#This Row],[Sodium (mg)]]/1000)</f>
        <v>2.6437498195639466</v>
      </c>
      <c r="Q67" s="35" t="str">
        <f t="shared" si="5"/>
        <v>High-Risk</v>
      </c>
    </row>
    <row r="68" spans="1:17">
      <c r="A68" s="35" t="s">
        <v>67</v>
      </c>
      <c r="B68" s="35" t="s">
        <v>88</v>
      </c>
      <c r="C68" s="36">
        <f t="shared" si="4"/>
        <v>-0.41572393975423172</v>
      </c>
      <c r="D68" s="8">
        <v>375</v>
      </c>
      <c r="E68" s="35">
        <v>232.2</v>
      </c>
      <c r="F68" s="35">
        <v>11.14</v>
      </c>
      <c r="G68" s="35">
        <f>Table2[[#This Row],[Protein (g)]]/Table2[[#This Row],[Per Serve Size]]</f>
        <v>2.9706666666666669E-2</v>
      </c>
      <c r="H68" s="35">
        <v>12.82</v>
      </c>
      <c r="I68" s="35">
        <v>9.43</v>
      </c>
      <c r="J68" s="35">
        <v>0.38</v>
      </c>
      <c r="K68" s="35">
        <v>38.950000000000003</v>
      </c>
      <c r="L68" s="35">
        <v>20.77</v>
      </c>
      <c r="M68" s="35">
        <v>15.4</v>
      </c>
      <c r="N68" s="35">
        <v>0</v>
      </c>
      <c r="O68" s="35">
        <v>165.36</v>
      </c>
      <c r="P68" s="35">
        <f>(Table2[[#This Row],[Protein (g)]]/Table2[[#This Row],[Energy (kCal)]])*100-(Table2[[#This Row],[Sodium (mg)]]/1000)</f>
        <v>4.6322282859603794</v>
      </c>
      <c r="Q68" s="35" t="str">
        <f t="shared" si="5"/>
        <v>Balanced</v>
      </c>
    </row>
    <row r="69" spans="1:17">
      <c r="A69" s="35" t="s">
        <v>67</v>
      </c>
      <c r="B69" s="35" t="s">
        <v>89</v>
      </c>
      <c r="C69" s="36">
        <f t="shared" si="4"/>
        <v>-0.43749245218753813</v>
      </c>
      <c r="D69" s="8">
        <v>355</v>
      </c>
      <c r="E69" s="35">
        <v>219.36</v>
      </c>
      <c r="F69" s="35">
        <v>10.51</v>
      </c>
      <c r="G69" s="35">
        <f>Table2[[#This Row],[Protein (g)]]/Table2[[#This Row],[Per Serve Size]]</f>
        <v>2.9605633802816902E-2</v>
      </c>
      <c r="H69" s="35">
        <v>12.03</v>
      </c>
      <c r="I69" s="35">
        <v>8.85</v>
      </c>
      <c r="J69" s="35">
        <v>0.36</v>
      </c>
      <c r="K69" s="35">
        <v>36.549999999999997</v>
      </c>
      <c r="L69" s="35">
        <v>19.809999999999999</v>
      </c>
      <c r="M69" s="35">
        <v>14.45</v>
      </c>
      <c r="N69" s="35">
        <v>0</v>
      </c>
      <c r="O69" s="35">
        <v>155.06</v>
      </c>
      <c r="P69" s="35">
        <f>(Table2[[#This Row],[Protein (g)]]/Table2[[#This Row],[Energy (kCal)]])*100-(Table2[[#This Row],[Sodium (mg)]]/1000)</f>
        <v>4.6361507950401162</v>
      </c>
      <c r="Q69" s="35" t="str">
        <f t="shared" si="5"/>
        <v>Balanced</v>
      </c>
    </row>
    <row r="70" spans="1:17">
      <c r="A70" s="35" t="s">
        <v>67</v>
      </c>
      <c r="B70" s="35" t="s">
        <v>90</v>
      </c>
      <c r="C70" s="36">
        <f t="shared" si="4"/>
        <v>-0.43766152801226288</v>
      </c>
      <c r="D70" s="8">
        <v>347.5</v>
      </c>
      <c r="E70" s="35">
        <v>215.72</v>
      </c>
      <c r="F70" s="35">
        <v>10.36</v>
      </c>
      <c r="G70" s="35">
        <f>Table2[[#This Row],[Protein (g)]]/Table2[[#This Row],[Per Serve Size]]</f>
        <v>2.9812949640287769E-2</v>
      </c>
      <c r="H70" s="35">
        <v>12.02</v>
      </c>
      <c r="I70" s="35">
        <v>8.84</v>
      </c>
      <c r="J70" s="35">
        <v>0.35</v>
      </c>
      <c r="K70" s="35">
        <v>36.479999999999997</v>
      </c>
      <c r="L70" s="35">
        <v>19.079999999999998</v>
      </c>
      <c r="M70" s="35">
        <v>14.41</v>
      </c>
      <c r="N70" s="35">
        <v>0</v>
      </c>
      <c r="O70" s="35">
        <v>154.97999999999999</v>
      </c>
      <c r="P70" s="35">
        <f>(Table2[[#This Row],[Protein (g)]]/Table2[[#This Row],[Energy (kCal)]])*100-(Table2[[#This Row],[Sodium (mg)]]/1000)</f>
        <v>4.6475417875023171</v>
      </c>
      <c r="Q70" s="35" t="str">
        <f t="shared" si="5"/>
        <v>Balanced</v>
      </c>
    </row>
    <row r="71" spans="1:17">
      <c r="A71" s="35" t="s">
        <v>17</v>
      </c>
      <c r="B71" s="35" t="s">
        <v>91</v>
      </c>
      <c r="C71" s="36">
        <f t="shared" si="4"/>
        <v>-0.44152913750284056</v>
      </c>
      <c r="D71" s="8">
        <v>77</v>
      </c>
      <c r="E71" s="35">
        <v>224.59</v>
      </c>
      <c r="F71" s="35">
        <v>3.38</v>
      </c>
      <c r="G71" s="35">
        <f>Table2[[#This Row],[Protein (g)]]/Table2[[#This Row],[Per Serve Size]]</f>
        <v>4.3896103896103891E-2</v>
      </c>
      <c r="H71" s="35">
        <v>10.39</v>
      </c>
      <c r="I71" s="35">
        <v>4.97</v>
      </c>
      <c r="J71" s="35">
        <v>0.08</v>
      </c>
      <c r="K71" s="35">
        <v>0.77</v>
      </c>
      <c r="L71" s="35">
        <v>27.08</v>
      </c>
      <c r="M71" s="35">
        <v>0.39</v>
      </c>
      <c r="N71" s="35">
        <v>0</v>
      </c>
      <c r="O71" s="35">
        <v>153.15</v>
      </c>
      <c r="P71" s="35">
        <f>(Table2[[#This Row],[Protein (g)]]/Table2[[#This Row],[Energy (kCal)]])*100-(Table2[[#This Row],[Sodium (mg)]]/1000)</f>
        <v>1.3518146021639432</v>
      </c>
      <c r="Q71" s="35" t="str">
        <f t="shared" si="5"/>
        <v>High-Risk</v>
      </c>
    </row>
    <row r="72" spans="1:17">
      <c r="A72" s="35" t="s">
        <v>92</v>
      </c>
      <c r="B72" s="35" t="s">
        <v>93</v>
      </c>
      <c r="C72" s="36">
        <f t="shared" si="4"/>
        <v>-0.44628439507322304</v>
      </c>
      <c r="D72" s="8">
        <v>147.38</v>
      </c>
      <c r="E72" s="35">
        <v>209.39</v>
      </c>
      <c r="F72" s="35">
        <v>3.58</v>
      </c>
      <c r="G72" s="35">
        <f>Table2[[#This Row],[Protein (g)]]/Table2[[#This Row],[Per Serve Size]]</f>
        <v>2.4290948568326774E-2</v>
      </c>
      <c r="H72" s="35">
        <v>6.81</v>
      </c>
      <c r="I72" s="35">
        <v>4.07</v>
      </c>
      <c r="J72" s="35">
        <v>0.12</v>
      </c>
      <c r="K72" s="35">
        <v>8</v>
      </c>
      <c r="L72" s="35">
        <v>33.42</v>
      </c>
      <c r="M72" s="35">
        <v>25.35</v>
      </c>
      <c r="N72" s="35">
        <v>19.23</v>
      </c>
      <c r="O72" s="35">
        <v>150.9</v>
      </c>
      <c r="P72" s="35">
        <f>(Table2[[#This Row],[Protein (g)]]/Table2[[#This Row],[Energy (kCal)]])*100-(Table2[[#This Row],[Sodium (mg)]]/1000)</f>
        <v>1.5588282582740343</v>
      </c>
      <c r="Q72" s="35" t="str">
        <f t="shared" si="5"/>
        <v>High-Risk</v>
      </c>
    </row>
    <row r="73" spans="1:17">
      <c r="A73" s="35" t="s">
        <v>67</v>
      </c>
      <c r="B73" s="35" t="s">
        <v>94</v>
      </c>
      <c r="C73" s="36">
        <f t="shared" si="4"/>
        <v>-0.45579491021398794</v>
      </c>
      <c r="D73" s="8">
        <v>155.08000000000001</v>
      </c>
      <c r="E73" s="35">
        <v>311.39</v>
      </c>
      <c r="F73" s="35">
        <v>4.6500000000000004</v>
      </c>
      <c r="G73" s="35">
        <f>Table2[[#This Row],[Protein (g)]]/Table2[[#This Row],[Per Serve Size]]</f>
        <v>2.9984524116584987E-2</v>
      </c>
      <c r="H73" s="35">
        <v>7.46</v>
      </c>
      <c r="I73" s="35">
        <v>4.71</v>
      </c>
      <c r="J73" s="35">
        <v>0.13</v>
      </c>
      <c r="K73" s="35">
        <v>7.78</v>
      </c>
      <c r="L73" s="35">
        <v>55.24</v>
      </c>
      <c r="M73" s="35">
        <v>27.94</v>
      </c>
      <c r="N73" s="35">
        <v>20.28</v>
      </c>
      <c r="O73" s="35">
        <v>146.4</v>
      </c>
      <c r="P73" s="35">
        <f>(Table2[[#This Row],[Protein (g)]]/Table2[[#This Row],[Energy (kCal)]])*100-(Table2[[#This Row],[Sodium (mg)]]/1000)</f>
        <v>1.3469042165772827</v>
      </c>
      <c r="Q73" s="35" t="str">
        <f t="shared" si="5"/>
        <v>High-Risk</v>
      </c>
    </row>
    <row r="74" spans="1:17">
      <c r="A74" s="35" t="s">
        <v>67</v>
      </c>
      <c r="B74" s="35" t="s">
        <v>95</v>
      </c>
      <c r="C74" s="36">
        <f t="shared" si="4"/>
        <v>-0.46938437962623653</v>
      </c>
      <c r="D74" s="8">
        <v>259</v>
      </c>
      <c r="E74" s="35">
        <v>255.51</v>
      </c>
      <c r="F74" s="35">
        <v>3.67</v>
      </c>
      <c r="G74" s="35">
        <f>Table2[[#This Row],[Protein (g)]]/Table2[[#This Row],[Per Serve Size]]</f>
        <v>1.416988416988417E-2</v>
      </c>
      <c r="H74" s="35">
        <v>7.44</v>
      </c>
      <c r="I74" s="35">
        <v>6.68</v>
      </c>
      <c r="J74" s="35">
        <v>0.12</v>
      </c>
      <c r="K74" s="35">
        <v>8.39</v>
      </c>
      <c r="L74" s="35">
        <v>44.07</v>
      </c>
      <c r="M74" s="35">
        <v>37.42</v>
      </c>
      <c r="N74" s="35">
        <v>29.8</v>
      </c>
      <c r="O74" s="35">
        <v>139.97</v>
      </c>
      <c r="P74" s="35">
        <f>(Table2[[#This Row],[Protein (g)]]/Table2[[#This Row],[Energy (kCal)]])*100-(Table2[[#This Row],[Sodium (mg)]]/1000)</f>
        <v>1.296373000273962</v>
      </c>
      <c r="Q74" s="35" t="str">
        <f t="shared" si="5"/>
        <v>High-Risk</v>
      </c>
    </row>
    <row r="75" spans="1:17">
      <c r="A75" s="35" t="s">
        <v>67</v>
      </c>
      <c r="B75" s="35" t="s">
        <v>96</v>
      </c>
      <c r="C75" s="36">
        <f t="shared" si="4"/>
        <v>-0.48117741840078504</v>
      </c>
      <c r="D75" s="8">
        <v>307.5</v>
      </c>
      <c r="E75" s="35">
        <v>190.03</v>
      </c>
      <c r="F75" s="35">
        <v>9.1</v>
      </c>
      <c r="G75" s="35">
        <f>Table2[[#This Row],[Protein (g)]]/Table2[[#This Row],[Per Serve Size]]</f>
        <v>2.9593495934959347E-2</v>
      </c>
      <c r="H75" s="35">
        <v>10.42</v>
      </c>
      <c r="I75" s="35">
        <v>7.67</v>
      </c>
      <c r="J75" s="35">
        <v>0.31</v>
      </c>
      <c r="K75" s="35">
        <v>31.68</v>
      </c>
      <c r="L75" s="35">
        <v>17.149999999999999</v>
      </c>
      <c r="M75" s="35">
        <v>12.52</v>
      </c>
      <c r="N75" s="35">
        <v>0</v>
      </c>
      <c r="O75" s="35">
        <v>134.38999999999999</v>
      </c>
      <c r="P75" s="35">
        <f>(Table2[[#This Row],[Protein (g)]]/Table2[[#This Row],[Energy (kCal)]])*100-(Table2[[#This Row],[Sodium (mg)]]/1000)</f>
        <v>4.6543275709098566</v>
      </c>
      <c r="Q75" s="35" t="str">
        <f t="shared" si="5"/>
        <v>Balanced</v>
      </c>
    </row>
    <row r="76" spans="1:17">
      <c r="A76" s="35" t="s">
        <v>67</v>
      </c>
      <c r="B76" s="35" t="s">
        <v>97</v>
      </c>
      <c r="C76" s="36">
        <f t="shared" si="4"/>
        <v>-0.48445326250482623</v>
      </c>
      <c r="D76" s="8">
        <v>242.5</v>
      </c>
      <c r="E76" s="35">
        <v>185.85</v>
      </c>
      <c r="F76" s="35">
        <v>7.15</v>
      </c>
      <c r="G76" s="35">
        <f>Table2[[#This Row],[Protein (g)]]/Table2[[#This Row],[Per Serve Size]]</f>
        <v>2.9484536082474228E-2</v>
      </c>
      <c r="H76" s="35">
        <v>8.1999999999999993</v>
      </c>
      <c r="I76" s="35">
        <v>5.94</v>
      </c>
      <c r="J76" s="35">
        <v>0.26</v>
      </c>
      <c r="K76" s="35">
        <v>24.43</v>
      </c>
      <c r="L76" s="35">
        <v>22.59</v>
      </c>
      <c r="M76" s="35">
        <v>17.57</v>
      </c>
      <c r="N76" s="35">
        <v>6.08</v>
      </c>
      <c r="O76" s="35">
        <v>132.84</v>
      </c>
      <c r="P76" s="35">
        <f>(Table2[[#This Row],[Protein (g)]]/Table2[[#This Row],[Energy (kCal)]])*100-(Table2[[#This Row],[Sodium (mg)]]/1000)</f>
        <v>3.7143485929513056</v>
      </c>
      <c r="Q76" s="35" t="str">
        <f t="shared" si="5"/>
        <v>Balanced</v>
      </c>
    </row>
    <row r="77" spans="1:17">
      <c r="A77" s="35" t="s">
        <v>38</v>
      </c>
      <c r="B77" s="35" t="s">
        <v>98</v>
      </c>
      <c r="C77" s="36">
        <f t="shared" si="4"/>
        <v>-0.49206167461743816</v>
      </c>
      <c r="D77" s="8">
        <v>297.5</v>
      </c>
      <c r="E77" s="35">
        <v>183.61</v>
      </c>
      <c r="F77" s="35">
        <v>8.7899999999999991</v>
      </c>
      <c r="G77" s="35">
        <f>Table2[[#This Row],[Protein (g)]]/Table2[[#This Row],[Per Serve Size]]</f>
        <v>2.9546218487394957E-2</v>
      </c>
      <c r="H77" s="35">
        <v>10.02</v>
      </c>
      <c r="I77" s="35">
        <v>7.37</v>
      </c>
      <c r="J77" s="35">
        <v>0.3</v>
      </c>
      <c r="K77" s="35">
        <v>30.48</v>
      </c>
      <c r="L77" s="35">
        <v>16.670000000000002</v>
      </c>
      <c r="M77" s="35">
        <v>12.05</v>
      </c>
      <c r="N77" s="35">
        <v>0</v>
      </c>
      <c r="O77" s="35">
        <v>129.24</v>
      </c>
      <c r="P77" s="35">
        <f>(Table2[[#This Row],[Protein (g)]]/Table2[[#This Row],[Energy (kCal)]])*100-(Table2[[#This Row],[Sodium (mg)]]/1000)</f>
        <v>4.6580809520178628</v>
      </c>
      <c r="Q77" s="35" t="str">
        <f t="shared" si="5"/>
        <v>Balanced</v>
      </c>
    </row>
    <row r="78" spans="1:17">
      <c r="A78" s="35" t="s">
        <v>67</v>
      </c>
      <c r="B78" s="35" t="s">
        <v>99</v>
      </c>
      <c r="C78" s="36">
        <f t="shared" si="4"/>
        <v>-0.50347429278635614</v>
      </c>
      <c r="D78" s="8">
        <v>266.5</v>
      </c>
      <c r="E78" s="35">
        <v>166.99</v>
      </c>
      <c r="F78" s="35">
        <v>8.06</v>
      </c>
      <c r="G78" s="35">
        <f>Table2[[#This Row],[Protein (g)]]/Table2[[#This Row],[Per Serve Size]]</f>
        <v>3.0243902439024393E-2</v>
      </c>
      <c r="H78" s="35">
        <v>9.6</v>
      </c>
      <c r="I78" s="35">
        <v>7.06</v>
      </c>
      <c r="J78" s="35">
        <v>0.27</v>
      </c>
      <c r="K78" s="35">
        <v>29.07</v>
      </c>
      <c r="L78" s="35">
        <v>14.16</v>
      </c>
      <c r="M78" s="35">
        <v>11.47</v>
      </c>
      <c r="N78" s="35">
        <v>0</v>
      </c>
      <c r="O78" s="35">
        <v>123.84</v>
      </c>
      <c r="P78" s="35">
        <f>(Table2[[#This Row],[Protein (g)]]/Table2[[#This Row],[Energy (kCal)]])*100-(Table2[[#This Row],[Sodium (mg)]]/1000)</f>
        <v>4.7027963255284746</v>
      </c>
      <c r="Q78" s="35" t="str">
        <f t="shared" si="5"/>
        <v>Balanced</v>
      </c>
    </row>
    <row r="79" spans="1:17">
      <c r="A79" s="35" t="s">
        <v>61</v>
      </c>
      <c r="B79" s="35" t="s">
        <v>100</v>
      </c>
      <c r="C79" s="36">
        <f t="shared" si="4"/>
        <v>-0.52589797404047067</v>
      </c>
      <c r="D79" s="8">
        <v>25</v>
      </c>
      <c r="E79" s="35">
        <v>54.89</v>
      </c>
      <c r="F79" s="35">
        <v>0.26</v>
      </c>
      <c r="G79" s="35">
        <f>Table2[[#This Row],[Protein (g)]]/Table2[[#This Row],[Per Serve Size]]</f>
        <v>1.04E-2</v>
      </c>
      <c r="H79" s="35">
        <v>0.49</v>
      </c>
      <c r="I79" s="35">
        <v>0.15</v>
      </c>
      <c r="J79" s="35">
        <v>0.04</v>
      </c>
      <c r="K79" s="35">
        <v>0.25</v>
      </c>
      <c r="L79" s="35">
        <v>12.36</v>
      </c>
      <c r="M79" s="35">
        <v>7.65</v>
      </c>
      <c r="N79" s="35">
        <v>2.5</v>
      </c>
      <c r="O79" s="35">
        <v>113.23</v>
      </c>
      <c r="P79" s="35">
        <f>(Table2[[#This Row],[Protein (g)]]/Table2[[#This Row],[Energy (kCal)]])*100-(Table2[[#This Row],[Sodium (mg)]]/1000)</f>
        <v>0.36044462197121513</v>
      </c>
      <c r="Q79" s="35" t="str">
        <f t="shared" si="5"/>
        <v>High-Risk</v>
      </c>
    </row>
    <row r="80" spans="1:17">
      <c r="A80" s="35" t="s">
        <v>67</v>
      </c>
      <c r="B80" s="35" t="s">
        <v>101</v>
      </c>
      <c r="C80" s="36">
        <f t="shared" si="4"/>
        <v>-0.53190016581819799</v>
      </c>
      <c r="D80" s="8">
        <v>132.08000000000001</v>
      </c>
      <c r="E80" s="35">
        <v>197.45</v>
      </c>
      <c r="F80" s="35">
        <v>3.49</v>
      </c>
      <c r="G80" s="35">
        <f>Table2[[#This Row],[Protein (g)]]/Table2[[#This Row],[Per Serve Size]]</f>
        <v>2.6423379769836462E-2</v>
      </c>
      <c r="H80" s="35">
        <v>6.87</v>
      </c>
      <c r="I80" s="35">
        <v>5.16</v>
      </c>
      <c r="J80" s="35">
        <v>0.13</v>
      </c>
      <c r="K80" s="35">
        <v>8.5500000000000007</v>
      </c>
      <c r="L80" s="35">
        <v>30.42</v>
      </c>
      <c r="M80" s="35">
        <v>27.01</v>
      </c>
      <c r="N80" s="35">
        <v>16.899999999999999</v>
      </c>
      <c r="O80" s="35">
        <v>110.39</v>
      </c>
      <c r="P80" s="35">
        <f>(Table2[[#This Row],[Protein (g)]]/Table2[[#This Row],[Energy (kCal)]])*100-(Table2[[#This Row],[Sodium (mg)]]/1000)</f>
        <v>1.6571460850848316</v>
      </c>
      <c r="Q80" s="35" t="str">
        <f t="shared" si="5"/>
        <v>High-Risk</v>
      </c>
    </row>
    <row r="81" spans="1:17">
      <c r="A81" s="35" t="s">
        <v>102</v>
      </c>
      <c r="B81" s="35" t="s">
        <v>103</v>
      </c>
      <c r="C81" s="36">
        <f t="shared" si="4"/>
        <v>-0.53238625881428148</v>
      </c>
      <c r="D81" s="8">
        <v>544</v>
      </c>
      <c r="E81" s="35">
        <v>256.88</v>
      </c>
      <c r="F81" s="35">
        <v>0</v>
      </c>
      <c r="G81" s="35">
        <f>Table2[[#This Row],[Protein (g)]]/Table2[[#This Row],[Per Serve Size]]</f>
        <v>0</v>
      </c>
      <c r="H81" s="35">
        <v>0</v>
      </c>
      <c r="I81" s="35">
        <v>0</v>
      </c>
      <c r="J81" s="35">
        <v>0</v>
      </c>
      <c r="K81" s="35">
        <v>0</v>
      </c>
      <c r="L81" s="35">
        <v>64.22</v>
      </c>
      <c r="M81" s="35">
        <v>64.22</v>
      </c>
      <c r="N81" s="35">
        <v>64.22</v>
      </c>
      <c r="O81" s="35">
        <v>110.16</v>
      </c>
      <c r="P81" s="35">
        <f>(Table2[[#This Row],[Protein (g)]]/Table2[[#This Row],[Energy (kCal)]])*100-(Table2[[#This Row],[Sodium (mg)]]/1000)</f>
        <v>-0.11015999999999999</v>
      </c>
      <c r="Q81" s="35" t="str">
        <f t="shared" si="5"/>
        <v>High-Risk</v>
      </c>
    </row>
    <row r="82" spans="1:17">
      <c r="A82" s="35" t="s">
        <v>67</v>
      </c>
      <c r="B82" s="35" t="s">
        <v>104</v>
      </c>
      <c r="C82" s="36">
        <f t="shared" si="4"/>
        <v>-0.53610592695822512</v>
      </c>
      <c r="D82" s="8">
        <v>236.5</v>
      </c>
      <c r="E82" s="35">
        <v>147.72</v>
      </c>
      <c r="F82" s="35">
        <v>7.12</v>
      </c>
      <c r="G82" s="35">
        <f>Table2[[#This Row],[Protein (g)]]/Table2[[#This Row],[Per Serve Size]]</f>
        <v>3.010570824524313E-2</v>
      </c>
      <c r="H82" s="35">
        <v>8.41</v>
      </c>
      <c r="I82" s="35">
        <v>6.18</v>
      </c>
      <c r="J82" s="35">
        <v>0.24</v>
      </c>
      <c r="K82" s="35">
        <v>25.47</v>
      </c>
      <c r="L82" s="35">
        <v>12.71</v>
      </c>
      <c r="M82" s="35">
        <v>10.06</v>
      </c>
      <c r="N82" s="35">
        <v>0</v>
      </c>
      <c r="O82" s="35">
        <v>108.4</v>
      </c>
      <c r="P82" s="35">
        <f>(Table2[[#This Row],[Protein (g)]]/Table2[[#This Row],[Energy (kCal)]])*100-(Table2[[#This Row],[Sodium (mg)]]/1000)</f>
        <v>4.7115295965339836</v>
      </c>
      <c r="Q82" s="35" t="str">
        <f t="shared" si="5"/>
        <v>Balanced</v>
      </c>
    </row>
    <row r="83" spans="1:17">
      <c r="A83" s="35" t="s">
        <v>67</v>
      </c>
      <c r="B83" s="35" t="s">
        <v>105</v>
      </c>
      <c r="C83" s="36">
        <f t="shared" si="4"/>
        <v>-0.54441177684782638</v>
      </c>
      <c r="D83" s="8">
        <v>125.79</v>
      </c>
      <c r="E83" s="35">
        <v>237.89</v>
      </c>
      <c r="F83" s="35">
        <v>3.22</v>
      </c>
      <c r="G83" s="35">
        <f>Table2[[#This Row],[Protein (g)]]/Table2[[#This Row],[Per Serve Size]]</f>
        <v>2.5598219254312743E-2</v>
      </c>
      <c r="H83" s="35">
        <v>5.47</v>
      </c>
      <c r="I83" s="35">
        <v>3.66</v>
      </c>
      <c r="J83" s="35">
        <v>0.11</v>
      </c>
      <c r="K83" s="35">
        <v>6.19</v>
      </c>
      <c r="L83" s="35">
        <v>43.42</v>
      </c>
      <c r="M83" s="35">
        <v>27.79</v>
      </c>
      <c r="N83" s="35">
        <v>19.940000000000001</v>
      </c>
      <c r="O83" s="35">
        <v>104.47</v>
      </c>
      <c r="P83" s="35">
        <f>(Table2[[#This Row],[Protein (g)]]/Table2[[#This Row],[Energy (kCal)]])*100-(Table2[[#This Row],[Sodium (mg)]]/1000)</f>
        <v>1.2490967745596704</v>
      </c>
      <c r="Q83" s="35" t="str">
        <f t="shared" si="5"/>
        <v>High-Risk</v>
      </c>
    </row>
    <row r="84" spans="1:17">
      <c r="A84" s="35" t="s">
        <v>67</v>
      </c>
      <c r="B84" s="35" t="s">
        <v>106</v>
      </c>
      <c r="C84" s="36">
        <f t="shared" si="4"/>
        <v>-0.54819484842604183</v>
      </c>
      <c r="D84" s="8">
        <v>310</v>
      </c>
      <c r="E84" s="35">
        <v>102.38</v>
      </c>
      <c r="F84" s="35">
        <v>0.14000000000000001</v>
      </c>
      <c r="G84" s="35">
        <f>Table2[[#This Row],[Protein (g)]]/Table2[[#This Row],[Per Serve Size]]</f>
        <v>4.5161290322580648E-4</v>
      </c>
      <c r="H84" s="35">
        <v>0.04</v>
      </c>
      <c r="I84" s="35">
        <v>0.04</v>
      </c>
      <c r="J84" s="35">
        <v>0.04</v>
      </c>
      <c r="K84" s="35">
        <v>0.4</v>
      </c>
      <c r="L84" s="35">
        <v>25.18</v>
      </c>
      <c r="M84" s="35">
        <v>21.06</v>
      </c>
      <c r="N84" s="35">
        <v>19.28</v>
      </c>
      <c r="O84" s="35">
        <v>102.68</v>
      </c>
      <c r="P84" s="35">
        <f>(Table2[[#This Row],[Protein (g)]]/Table2[[#This Row],[Energy (kCal)]])*100-(Table2[[#This Row],[Sodium (mg)]]/1000)</f>
        <v>3.4065458097284632E-2</v>
      </c>
      <c r="Q84" s="35" t="str">
        <f t="shared" si="5"/>
        <v>High-Risk</v>
      </c>
    </row>
    <row r="85" spans="1:17">
      <c r="A85" s="35" t="s">
        <v>67</v>
      </c>
      <c r="B85" s="35" t="s">
        <v>107</v>
      </c>
      <c r="C85" s="36">
        <f t="shared" si="4"/>
        <v>-0.55197792000425727</v>
      </c>
      <c r="D85" s="8">
        <v>110.79</v>
      </c>
      <c r="E85" s="35">
        <v>205.26</v>
      </c>
      <c r="F85" s="35">
        <v>3.2</v>
      </c>
      <c r="G85" s="35">
        <f>Table2[[#This Row],[Protein (g)]]/Table2[[#This Row],[Per Serve Size]]</f>
        <v>2.8883473237656828E-2</v>
      </c>
      <c r="H85" s="35">
        <v>5.45</v>
      </c>
      <c r="I85" s="35">
        <v>3.65</v>
      </c>
      <c r="J85" s="35">
        <v>0.1</v>
      </c>
      <c r="K85" s="35">
        <v>6.04</v>
      </c>
      <c r="L85" s="35">
        <v>35.26</v>
      </c>
      <c r="M85" s="35">
        <v>20.75</v>
      </c>
      <c r="N85" s="35">
        <v>14.39</v>
      </c>
      <c r="O85" s="35">
        <v>100.89</v>
      </c>
      <c r="P85" s="35">
        <f>(Table2[[#This Row],[Protein (g)]]/Table2[[#This Row],[Energy (kCal)]])*100-(Table2[[#This Row],[Sodium (mg)]]/1000)</f>
        <v>1.4581083435642603</v>
      </c>
      <c r="Q85" s="35" t="str">
        <f t="shared" si="5"/>
        <v>High-Risk</v>
      </c>
    </row>
    <row r="86" spans="1:17">
      <c r="A86" s="35" t="s">
        <v>67</v>
      </c>
      <c r="B86" s="35" t="s">
        <v>108</v>
      </c>
      <c r="C86" s="36">
        <f t="shared" si="4"/>
        <v>-0.56138276275456922</v>
      </c>
      <c r="D86" s="8">
        <v>127</v>
      </c>
      <c r="E86" s="35">
        <v>143.5</v>
      </c>
      <c r="F86" s="35">
        <v>3.87</v>
      </c>
      <c r="G86" s="35">
        <f>Table2[[#This Row],[Protein (g)]]/Table2[[#This Row],[Per Serve Size]]</f>
        <v>3.0472440944881891E-2</v>
      </c>
      <c r="H86" s="35">
        <v>4.38</v>
      </c>
      <c r="I86" s="35">
        <v>3.08</v>
      </c>
      <c r="J86" s="35">
        <v>0.15</v>
      </c>
      <c r="K86" s="35">
        <v>12.27</v>
      </c>
      <c r="L86" s="35">
        <v>22.85</v>
      </c>
      <c r="M86" s="35">
        <v>18.53</v>
      </c>
      <c r="N86" s="35">
        <v>9.2100000000000009</v>
      </c>
      <c r="O86" s="35">
        <v>96.44</v>
      </c>
      <c r="P86" s="35">
        <f>(Table2[[#This Row],[Protein (g)]]/Table2[[#This Row],[Energy (kCal)]])*100-(Table2[[#This Row],[Sodium (mg)]]/1000)</f>
        <v>2.600424111498258</v>
      </c>
      <c r="Q86" s="35" t="str">
        <f t="shared" si="5"/>
        <v>High-Risk</v>
      </c>
    </row>
    <row r="87" spans="1:17">
      <c r="A87" s="35" t="s">
        <v>67</v>
      </c>
      <c r="B87" s="35" t="s">
        <v>109</v>
      </c>
      <c r="C87" s="36">
        <f t="shared" si="4"/>
        <v>-0.57061852968015647</v>
      </c>
      <c r="D87" s="8">
        <v>290</v>
      </c>
      <c r="E87" s="35">
        <v>235.43</v>
      </c>
      <c r="F87" s="35">
        <v>3.33</v>
      </c>
      <c r="G87" s="35">
        <f>Table2[[#This Row],[Protein (g)]]/Table2[[#This Row],[Per Serve Size]]</f>
        <v>1.1482758620689655E-2</v>
      </c>
      <c r="H87" s="35">
        <v>3.59</v>
      </c>
      <c r="I87" s="35">
        <v>2.64</v>
      </c>
      <c r="J87" s="35">
        <v>0.15</v>
      </c>
      <c r="K87" s="35">
        <v>9.99</v>
      </c>
      <c r="L87" s="35">
        <v>47.16</v>
      </c>
      <c r="M87" s="35">
        <v>43</v>
      </c>
      <c r="N87" s="35">
        <v>33.65</v>
      </c>
      <c r="O87" s="35">
        <v>92.07</v>
      </c>
      <c r="P87" s="35">
        <f>(Table2[[#This Row],[Protein (g)]]/Table2[[#This Row],[Energy (kCal)]])*100-(Table2[[#This Row],[Sodium (mg)]]/1000)</f>
        <v>1.3223631648473007</v>
      </c>
      <c r="Q87" s="35" t="str">
        <f t="shared" si="5"/>
        <v>High-Risk</v>
      </c>
    </row>
    <row r="88" spans="1:17">
      <c r="A88" s="35" t="s">
        <v>38</v>
      </c>
      <c r="B88" s="35" t="s">
        <v>110</v>
      </c>
      <c r="C88" s="36">
        <f t="shared" si="4"/>
        <v>-0.57416912199937542</v>
      </c>
      <c r="D88" s="8">
        <v>201.5</v>
      </c>
      <c r="E88" s="35">
        <v>125.25</v>
      </c>
      <c r="F88" s="35">
        <v>6.02</v>
      </c>
      <c r="G88" s="35">
        <f>Table2[[#This Row],[Protein (g)]]/Table2[[#This Row],[Per Serve Size]]</f>
        <v>2.9875930521091811E-2</v>
      </c>
      <c r="H88" s="35">
        <v>7.01</v>
      </c>
      <c r="I88" s="35">
        <v>5.15</v>
      </c>
      <c r="J88" s="35">
        <v>0.2</v>
      </c>
      <c r="K88" s="35">
        <v>21.27</v>
      </c>
      <c r="L88" s="35">
        <v>11.02</v>
      </c>
      <c r="M88" s="35">
        <v>8.4</v>
      </c>
      <c r="N88" s="35">
        <v>0</v>
      </c>
      <c r="O88" s="35">
        <v>90.39</v>
      </c>
      <c r="P88" s="35">
        <f>(Table2[[#This Row],[Protein (g)]]/Table2[[#This Row],[Energy (kCal)]])*100-(Table2[[#This Row],[Sodium (mg)]]/1000)</f>
        <v>4.715997225548902</v>
      </c>
      <c r="Q88" s="35" t="str">
        <f t="shared" si="5"/>
        <v>Balanced</v>
      </c>
    </row>
    <row r="89" spans="1:17">
      <c r="A89" s="35" t="s">
        <v>67</v>
      </c>
      <c r="B89" s="35" t="s">
        <v>111</v>
      </c>
      <c r="C89" s="36">
        <f t="shared" si="4"/>
        <v>-0.58460955417612626</v>
      </c>
      <c r="D89" s="8">
        <v>280</v>
      </c>
      <c r="E89" s="35">
        <v>231.44</v>
      </c>
      <c r="F89" s="35">
        <v>3.21</v>
      </c>
      <c r="G89" s="35">
        <f>Table2[[#This Row],[Protein (g)]]/Table2[[#This Row],[Per Serve Size]]</f>
        <v>1.1464285714285713E-2</v>
      </c>
      <c r="H89" s="35">
        <v>3.63</v>
      </c>
      <c r="I89" s="35">
        <v>2.65</v>
      </c>
      <c r="J89" s="35">
        <v>0.14000000000000001</v>
      </c>
      <c r="K89" s="35">
        <v>9.89</v>
      </c>
      <c r="L89" s="35">
        <v>46.25</v>
      </c>
      <c r="M89" s="35">
        <v>38.869999999999997</v>
      </c>
      <c r="N89" s="35">
        <v>29.72</v>
      </c>
      <c r="O89" s="35">
        <v>85.45</v>
      </c>
      <c r="P89" s="35">
        <f>(Table2[[#This Row],[Protein (g)]]/Table2[[#This Row],[Energy (kCal)]])*100-(Table2[[#This Row],[Sodium (mg)]]/1000)</f>
        <v>1.3015185447632216</v>
      </c>
      <c r="Q89" s="35" t="str">
        <f t="shared" si="5"/>
        <v>High-Risk</v>
      </c>
    </row>
    <row r="90" spans="1:17">
      <c r="A90" s="35" t="s">
        <v>92</v>
      </c>
      <c r="B90" s="35" t="s">
        <v>112</v>
      </c>
      <c r="C90" s="36">
        <f t="shared" si="4"/>
        <v>-0.59458502783488409</v>
      </c>
      <c r="D90" s="8">
        <v>86.79</v>
      </c>
      <c r="E90" s="35">
        <v>116.36</v>
      </c>
      <c r="F90" s="35">
        <v>2.0499999999999998</v>
      </c>
      <c r="G90" s="35">
        <f>Table2[[#This Row],[Protein (g)]]/Table2[[#This Row],[Per Serve Size]]</f>
        <v>2.3620232745708028E-2</v>
      </c>
      <c r="H90" s="35">
        <v>3.7</v>
      </c>
      <c r="I90" s="35">
        <v>2.25</v>
      </c>
      <c r="J90" s="35">
        <v>7.0000000000000007E-2</v>
      </c>
      <c r="K90" s="35">
        <v>4.8</v>
      </c>
      <c r="L90" s="35">
        <v>18.690000000000001</v>
      </c>
      <c r="M90" s="35">
        <v>14.49</v>
      </c>
      <c r="N90" s="35">
        <v>10.8</v>
      </c>
      <c r="O90" s="35">
        <v>80.73</v>
      </c>
      <c r="P90" s="35">
        <f>(Table2[[#This Row],[Protein (g)]]/Table2[[#This Row],[Energy (kCal)]])*100-(Table2[[#This Row],[Sodium (mg)]]/1000)</f>
        <v>1.6810438054314196</v>
      </c>
      <c r="Q90" s="35" t="str">
        <f t="shared" si="5"/>
        <v>High-Risk</v>
      </c>
    </row>
    <row r="91" spans="1:17">
      <c r="A91" s="35" t="s">
        <v>67</v>
      </c>
      <c r="B91" s="35" t="s">
        <v>113</v>
      </c>
      <c r="C91" s="36">
        <f t="shared" si="4"/>
        <v>-0.5996150336204441</v>
      </c>
      <c r="D91" s="8">
        <v>291.5</v>
      </c>
      <c r="E91" s="35">
        <v>185.34</v>
      </c>
      <c r="F91" s="35">
        <v>4.3600000000000003</v>
      </c>
      <c r="G91" s="35">
        <f>Table2[[#This Row],[Protein (g)]]/Table2[[#This Row],[Per Serve Size]]</f>
        <v>1.495711835334477E-2</v>
      </c>
      <c r="H91" s="35">
        <v>4.45</v>
      </c>
      <c r="I91" s="35">
        <v>3.26</v>
      </c>
      <c r="J91" s="35">
        <v>0.15</v>
      </c>
      <c r="K91" s="35">
        <v>12.13</v>
      </c>
      <c r="L91" s="35">
        <v>31.88</v>
      </c>
      <c r="M91" s="35">
        <v>26.95</v>
      </c>
      <c r="N91" s="35">
        <v>17.5</v>
      </c>
      <c r="O91" s="35">
        <v>78.349999999999994</v>
      </c>
      <c r="P91" s="35">
        <f>(Table2[[#This Row],[Protein (g)]]/Table2[[#This Row],[Energy (kCal)]])*100-(Table2[[#This Row],[Sodium (mg)]]/1000)</f>
        <v>2.2740833657062698</v>
      </c>
      <c r="Q91" s="35" t="str">
        <f t="shared" si="5"/>
        <v>High-Risk</v>
      </c>
    </row>
    <row r="92" spans="1:17">
      <c r="A92" s="35" t="s">
        <v>102</v>
      </c>
      <c r="B92" s="35" t="s">
        <v>114</v>
      </c>
      <c r="C92" s="36">
        <f t="shared" si="4"/>
        <v>-0.60308108802730076</v>
      </c>
      <c r="D92" s="8">
        <v>394</v>
      </c>
      <c r="E92" s="35">
        <v>178.88</v>
      </c>
      <c r="F92" s="35">
        <v>0</v>
      </c>
      <c r="G92" s="35">
        <f>Table2[[#This Row],[Protein (g)]]/Table2[[#This Row],[Per Serve Size]]</f>
        <v>0</v>
      </c>
      <c r="H92" s="35">
        <v>0</v>
      </c>
      <c r="I92" s="35">
        <v>0</v>
      </c>
      <c r="J92" s="35">
        <v>0</v>
      </c>
      <c r="K92" s="35">
        <v>0</v>
      </c>
      <c r="L92" s="35">
        <v>44.72</v>
      </c>
      <c r="M92" s="35">
        <v>44.72</v>
      </c>
      <c r="N92" s="35">
        <v>44.72</v>
      </c>
      <c r="O92" s="35">
        <v>76.709999999999994</v>
      </c>
      <c r="P92" s="35">
        <f>(Table2[[#This Row],[Protein (g)]]/Table2[[#This Row],[Energy (kCal)]])*100-(Table2[[#This Row],[Sodium (mg)]]/1000)</f>
        <v>-7.671E-2</v>
      </c>
      <c r="Q92" s="35" t="str">
        <f t="shared" si="5"/>
        <v>High-Risk</v>
      </c>
    </row>
    <row r="93" spans="1:17">
      <c r="A93" s="35" t="s">
        <v>61</v>
      </c>
      <c r="B93" s="35" t="s">
        <v>115</v>
      </c>
      <c r="C93" s="36">
        <f t="shared" si="4"/>
        <v>-0.61504320262657397</v>
      </c>
      <c r="D93" s="8">
        <v>8</v>
      </c>
      <c r="E93" s="35">
        <v>11.23</v>
      </c>
      <c r="F93" s="35">
        <v>0.08</v>
      </c>
      <c r="G93" s="35">
        <f>Table2[[#This Row],[Protein (g)]]/Table2[[#This Row],[Per Serve Size]]</f>
        <v>0.01</v>
      </c>
      <c r="H93" s="35">
        <v>23.45</v>
      </c>
      <c r="I93" s="35">
        <v>0</v>
      </c>
      <c r="J93" s="35">
        <v>0.01</v>
      </c>
      <c r="K93" s="35">
        <v>0.08</v>
      </c>
      <c r="L93" s="35">
        <v>2.63</v>
      </c>
      <c r="M93" s="35">
        <v>2.33</v>
      </c>
      <c r="N93" s="35">
        <v>1.64</v>
      </c>
      <c r="O93" s="35">
        <v>71.05</v>
      </c>
      <c r="P93" s="35">
        <f>(Table2[[#This Row],[Protein (g)]]/Table2[[#This Row],[Energy (kCal)]])*100-(Table2[[#This Row],[Sodium (mg)]]/1000)</f>
        <v>0.64132756010685665</v>
      </c>
      <c r="Q93" s="35" t="str">
        <f t="shared" si="5"/>
        <v>High-Risk</v>
      </c>
    </row>
    <row r="94" spans="1:17">
      <c r="A94" s="35" t="s">
        <v>67</v>
      </c>
      <c r="B94" s="35" t="s">
        <v>116</v>
      </c>
      <c r="C94" s="36">
        <f t="shared" si="4"/>
        <v>-0.61671282639573044</v>
      </c>
      <c r="D94" s="8">
        <v>163</v>
      </c>
      <c r="E94" s="35">
        <v>255.78</v>
      </c>
      <c r="F94" s="35">
        <v>6.87</v>
      </c>
      <c r="G94" s="35">
        <f>Table2[[#This Row],[Protein (g)]]/Table2[[#This Row],[Per Serve Size]]</f>
        <v>4.2147239263803683E-2</v>
      </c>
      <c r="H94" s="35">
        <v>6.32</v>
      </c>
      <c r="I94" s="35">
        <v>4.49</v>
      </c>
      <c r="J94" s="35">
        <v>0.16</v>
      </c>
      <c r="K94" s="35">
        <v>14.83</v>
      </c>
      <c r="L94" s="35">
        <v>41.29</v>
      </c>
      <c r="M94" s="35">
        <v>31.81</v>
      </c>
      <c r="N94" s="35">
        <v>1.35</v>
      </c>
      <c r="O94" s="35">
        <v>70.260000000000005</v>
      </c>
      <c r="P94" s="35">
        <f>(Table2[[#This Row],[Protein (g)]]/Table2[[#This Row],[Energy (kCal)]])*100-(Table2[[#This Row],[Sodium (mg)]]/1000)</f>
        <v>2.6156419469856904</v>
      </c>
      <c r="Q94" s="35" t="str">
        <f t="shared" si="5"/>
        <v>High-Risk</v>
      </c>
    </row>
    <row r="95" spans="1:17">
      <c r="A95" s="35" t="s">
        <v>67</v>
      </c>
      <c r="B95" s="35" t="s">
        <v>117</v>
      </c>
      <c r="C95" s="36">
        <f t="shared" si="4"/>
        <v>-0.62089745305766708</v>
      </c>
      <c r="D95" s="8">
        <v>153</v>
      </c>
      <c r="E95" s="35">
        <v>214.21</v>
      </c>
      <c r="F95" s="35">
        <v>6.15</v>
      </c>
      <c r="G95" s="35">
        <f>Table2[[#This Row],[Protein (g)]]/Table2[[#This Row],[Per Serve Size]]</f>
        <v>4.0196078431372552E-2</v>
      </c>
      <c r="H95" s="35">
        <v>5.96</v>
      </c>
      <c r="I95" s="35">
        <v>4.2699999999999996</v>
      </c>
      <c r="J95" s="35">
        <v>0.15</v>
      </c>
      <c r="K95" s="35">
        <v>14.73</v>
      </c>
      <c r="L95" s="35">
        <v>33.04</v>
      </c>
      <c r="M95" s="35">
        <v>25.73</v>
      </c>
      <c r="N95" s="35">
        <v>1.04</v>
      </c>
      <c r="O95" s="35">
        <v>68.28</v>
      </c>
      <c r="P95" s="35">
        <f>(Table2[[#This Row],[Protein (g)]]/Table2[[#This Row],[Energy (kCal)]])*100-(Table2[[#This Row],[Sodium (mg)]]/1000)</f>
        <v>2.8027344250968675</v>
      </c>
      <c r="Q95" s="35" t="str">
        <f t="shared" si="5"/>
        <v>High-Risk</v>
      </c>
    </row>
    <row r="96" spans="1:17">
      <c r="A96" s="35" t="s">
        <v>102</v>
      </c>
      <c r="B96" s="35" t="s">
        <v>118</v>
      </c>
      <c r="C96" s="36">
        <f t="shared" si="4"/>
        <v>-0.62442691089879532</v>
      </c>
      <c r="D96" s="8">
        <v>286.79000000000002</v>
      </c>
      <c r="E96" s="35">
        <v>151.56</v>
      </c>
      <c r="F96" s="35">
        <v>1.52</v>
      </c>
      <c r="G96" s="35">
        <f>Table2[[#This Row],[Protein (g)]]/Table2[[#This Row],[Per Serve Size]]</f>
        <v>5.3000453293350529E-3</v>
      </c>
      <c r="H96" s="35">
        <v>1.75</v>
      </c>
      <c r="I96" s="35">
        <v>1.28</v>
      </c>
      <c r="J96" s="35">
        <v>0.05</v>
      </c>
      <c r="K96" s="35">
        <v>4.7</v>
      </c>
      <c r="L96" s="35">
        <v>32.42</v>
      </c>
      <c r="M96" s="35">
        <v>31.43</v>
      </c>
      <c r="N96" s="35">
        <v>27.74</v>
      </c>
      <c r="O96" s="35">
        <v>66.61</v>
      </c>
      <c r="P96" s="35">
        <f>(Table2[[#This Row],[Protein (g)]]/Table2[[#This Row],[Energy (kCal)]])*100-(Table2[[#This Row],[Sodium (mg)]]/1000)</f>
        <v>0.93629314067036162</v>
      </c>
      <c r="Q96" s="35" t="str">
        <f t="shared" si="5"/>
        <v>High-Risk</v>
      </c>
    </row>
    <row r="97" spans="1:17">
      <c r="A97" s="35" t="s">
        <v>67</v>
      </c>
      <c r="B97" s="35" t="s">
        <v>119</v>
      </c>
      <c r="C97" s="36">
        <f t="shared" si="4"/>
        <v>-0.62529342450050951</v>
      </c>
      <c r="D97" s="8">
        <v>310</v>
      </c>
      <c r="E97" s="35">
        <v>128.21</v>
      </c>
      <c r="F97" s="35">
        <v>7.0000000000000007E-2</v>
      </c>
      <c r="G97" s="35">
        <f>Table2[[#This Row],[Protein (g)]]/Table2[[#This Row],[Per Serve Size]]</f>
        <v>2.2580645161290324E-4</v>
      </c>
      <c r="H97" s="35">
        <v>0.08</v>
      </c>
      <c r="I97" s="35">
        <v>0</v>
      </c>
      <c r="J97" s="35">
        <v>0</v>
      </c>
      <c r="K97" s="35">
        <v>0</v>
      </c>
      <c r="L97" s="35">
        <v>31.72</v>
      </c>
      <c r="M97" s="35">
        <v>28.72</v>
      </c>
      <c r="N97" s="35">
        <v>28.08</v>
      </c>
      <c r="O97" s="35">
        <v>66.2</v>
      </c>
      <c r="P97" s="35">
        <f>(Table2[[#This Row],[Protein (g)]]/Table2[[#This Row],[Energy (kCal)]])*100-(Table2[[#This Row],[Sodium (mg)]]/1000)</f>
        <v>-1.16020747211606E-2</v>
      </c>
      <c r="Q97" s="35" t="str">
        <f t="shared" si="5"/>
        <v>High-Risk</v>
      </c>
    </row>
    <row r="98" spans="1:17">
      <c r="A98" s="35" t="s">
        <v>67</v>
      </c>
      <c r="B98" s="35" t="s">
        <v>120</v>
      </c>
      <c r="C98" s="36">
        <f t="shared" ref="C98:C129" si="6">(O98-$K$147)/($K$150)</f>
        <v>-0.62664603109830719</v>
      </c>
      <c r="D98" s="8">
        <v>91.79</v>
      </c>
      <c r="E98" s="35">
        <v>121.64</v>
      </c>
      <c r="F98" s="35">
        <v>2.25</v>
      </c>
      <c r="G98" s="35">
        <f>Table2[[#This Row],[Protein (g)]]/Table2[[#This Row],[Per Serve Size]]</f>
        <v>2.4512474125721755E-2</v>
      </c>
      <c r="H98" s="35">
        <v>4.0199999999999996</v>
      </c>
      <c r="I98" s="35">
        <v>3.01</v>
      </c>
      <c r="J98" s="35">
        <v>0.08</v>
      </c>
      <c r="K98" s="35">
        <v>5.85</v>
      </c>
      <c r="L98" s="35">
        <v>19.11</v>
      </c>
      <c r="M98" s="35">
        <v>17.07</v>
      </c>
      <c r="N98" s="35">
        <v>10.78</v>
      </c>
      <c r="O98" s="35">
        <v>65.56</v>
      </c>
      <c r="P98" s="35">
        <f>(Table2[[#This Row],[Protein (g)]]/Table2[[#This Row],[Energy (kCal)]])*100-(Table2[[#This Row],[Sodium (mg)]]/1000)</f>
        <v>1.7841604866820124</v>
      </c>
      <c r="Q98" s="35" t="str">
        <f t="shared" ref="Q98:Q129" si="7">IF(P98 &gt; 5, "Premium Health", IF(P98 &gt; 3, "Balanced", "High-Risk"))</f>
        <v>High-Risk</v>
      </c>
    </row>
    <row r="99" spans="1:17">
      <c r="A99" s="35" t="s">
        <v>61</v>
      </c>
      <c r="B99" s="35" t="s">
        <v>121</v>
      </c>
      <c r="C99" s="36">
        <f t="shared" si="6"/>
        <v>-0.62732233439720597</v>
      </c>
      <c r="D99" s="8">
        <v>10</v>
      </c>
      <c r="E99" s="35">
        <v>8.07</v>
      </c>
      <c r="F99" s="35">
        <v>0.03</v>
      </c>
      <c r="G99" s="35">
        <f>Table2[[#This Row],[Protein (g)]]/Table2[[#This Row],[Per Serve Size]]</f>
        <v>3.0000000000000001E-3</v>
      </c>
      <c r="H99" s="35">
        <v>0.01</v>
      </c>
      <c r="I99" s="35">
        <v>0.01</v>
      </c>
      <c r="J99" s="35">
        <v>0.01</v>
      </c>
      <c r="K99" s="35">
        <v>0.1</v>
      </c>
      <c r="L99" s="35">
        <v>1.99</v>
      </c>
      <c r="M99" s="35">
        <v>1.53</v>
      </c>
      <c r="N99" s="35">
        <v>1.34</v>
      </c>
      <c r="O99" s="35">
        <v>65.239999999999995</v>
      </c>
      <c r="P99" s="35">
        <f>(Table2[[#This Row],[Protein (g)]]/Table2[[#This Row],[Energy (kCal)]])*100-(Table2[[#This Row],[Sodium (mg)]]/1000)</f>
        <v>0.30650721189591079</v>
      </c>
      <c r="Q99" s="35" t="str">
        <f t="shared" si="7"/>
        <v>High-Risk</v>
      </c>
    </row>
    <row r="100" spans="1:17">
      <c r="A100" s="35" t="s">
        <v>67</v>
      </c>
      <c r="B100" s="35" t="s">
        <v>122</v>
      </c>
      <c r="C100" s="36">
        <f t="shared" si="6"/>
        <v>-0.63258481944176259</v>
      </c>
      <c r="D100" s="8">
        <v>266.5</v>
      </c>
      <c r="E100" s="35">
        <v>150.85</v>
      </c>
      <c r="F100" s="35">
        <v>3.59</v>
      </c>
      <c r="G100" s="35">
        <f>Table2[[#This Row],[Protein (g)]]/Table2[[#This Row],[Per Serve Size]]</f>
        <v>1.3470919324577861E-2</v>
      </c>
      <c r="H100" s="35">
        <v>3.57</v>
      </c>
      <c r="I100" s="35">
        <v>2.62</v>
      </c>
      <c r="J100" s="35">
        <v>0.13</v>
      </c>
      <c r="K100" s="35">
        <v>9.76</v>
      </c>
      <c r="L100" s="35">
        <v>26.01</v>
      </c>
      <c r="M100" s="35">
        <v>21.58</v>
      </c>
      <c r="N100" s="35">
        <v>14</v>
      </c>
      <c r="O100" s="35">
        <v>62.75</v>
      </c>
      <c r="P100" s="35">
        <f>(Table2[[#This Row],[Protein (g)]]/Table2[[#This Row],[Energy (kCal)]])*100-(Table2[[#This Row],[Sodium (mg)]]/1000)</f>
        <v>2.3170975306595958</v>
      </c>
      <c r="Q100" s="35" t="str">
        <f t="shared" si="7"/>
        <v>High-Risk</v>
      </c>
    </row>
    <row r="101" spans="1:17">
      <c r="A101" s="35" t="s">
        <v>102</v>
      </c>
      <c r="B101" s="35" t="s">
        <v>123</v>
      </c>
      <c r="C101" s="36">
        <f t="shared" si="6"/>
        <v>-0.64784391262316776</v>
      </c>
      <c r="D101" s="8">
        <v>299</v>
      </c>
      <c r="E101" s="35">
        <v>129.47999999999999</v>
      </c>
      <c r="F101" s="35">
        <v>0</v>
      </c>
      <c r="G101" s="35">
        <f>Table2[[#This Row],[Protein (g)]]/Table2[[#This Row],[Per Serve Size]]</f>
        <v>0</v>
      </c>
      <c r="H101" s="35">
        <v>0</v>
      </c>
      <c r="I101" s="35">
        <v>0</v>
      </c>
      <c r="J101" s="35">
        <v>0</v>
      </c>
      <c r="K101" s="35">
        <v>0</v>
      </c>
      <c r="L101" s="35">
        <v>32.369999999999997</v>
      </c>
      <c r="M101" s="35">
        <v>32.369999999999997</v>
      </c>
      <c r="N101" s="35">
        <v>32.369999999999997</v>
      </c>
      <c r="O101" s="35">
        <v>55.53</v>
      </c>
      <c r="P101" s="35">
        <f>(Table2[[#This Row],[Protein (g)]]/Table2[[#This Row],[Energy (kCal)]])*100-(Table2[[#This Row],[Sodium (mg)]]/1000)</f>
        <v>-5.5530000000000003E-2</v>
      </c>
      <c r="Q101" s="35" t="str">
        <f t="shared" si="7"/>
        <v>High-Risk</v>
      </c>
    </row>
    <row r="102" spans="1:17">
      <c r="A102" s="35" t="s">
        <v>67</v>
      </c>
      <c r="B102" s="35" t="s">
        <v>124</v>
      </c>
      <c r="C102" s="36">
        <f t="shared" si="6"/>
        <v>-0.65676266237739611</v>
      </c>
      <c r="D102" s="8">
        <v>93.29</v>
      </c>
      <c r="E102" s="35">
        <v>160.13999999999999</v>
      </c>
      <c r="F102" s="35">
        <v>2.71</v>
      </c>
      <c r="G102" s="35">
        <f>Table2[[#This Row],[Protein (g)]]/Table2[[#This Row],[Per Serve Size]]</f>
        <v>2.904920141494265E-2</v>
      </c>
      <c r="H102" s="35">
        <v>7.14</v>
      </c>
      <c r="I102" s="35">
        <v>5.25</v>
      </c>
      <c r="J102" s="35">
        <v>7.0000000000000007E-2</v>
      </c>
      <c r="K102" s="35">
        <v>5.71</v>
      </c>
      <c r="L102" s="35">
        <v>20.92</v>
      </c>
      <c r="M102" s="35">
        <v>15.39</v>
      </c>
      <c r="N102" s="35">
        <v>11.31</v>
      </c>
      <c r="O102" s="35">
        <v>51.31</v>
      </c>
      <c r="P102" s="35">
        <f>(Table2[[#This Row],[Protein (g)]]/Table2[[#This Row],[Energy (kCal)]])*100-(Table2[[#This Row],[Sodium (mg)]]/1000)</f>
        <v>1.6409592643936557</v>
      </c>
      <c r="Q102" s="35" t="str">
        <f t="shared" si="7"/>
        <v>High-Risk</v>
      </c>
    </row>
    <row r="103" spans="1:17">
      <c r="A103" s="35" t="s">
        <v>102</v>
      </c>
      <c r="B103" s="35" t="s">
        <v>125</v>
      </c>
      <c r="C103" s="36">
        <f t="shared" si="6"/>
        <v>-0.65976375826625977</v>
      </c>
      <c r="D103" s="8">
        <v>544</v>
      </c>
      <c r="E103" s="35">
        <v>197.6</v>
      </c>
      <c r="F103" s="35">
        <v>0</v>
      </c>
      <c r="G103" s="35">
        <f>Table2[[#This Row],[Protein (g)]]/Table2[[#This Row],[Per Serve Size]]</f>
        <v>0</v>
      </c>
      <c r="H103" s="35">
        <v>0</v>
      </c>
      <c r="I103" s="35">
        <v>0</v>
      </c>
      <c r="J103" s="35">
        <v>0</v>
      </c>
      <c r="K103" s="35">
        <v>0</v>
      </c>
      <c r="L103" s="35">
        <v>49.4</v>
      </c>
      <c r="M103" s="35">
        <v>49.4</v>
      </c>
      <c r="N103" s="35">
        <v>49.4</v>
      </c>
      <c r="O103" s="35">
        <v>49.89</v>
      </c>
      <c r="P103" s="35">
        <f>(Table2[[#This Row],[Protein (g)]]/Table2[[#This Row],[Energy (kCal)]])*100-(Table2[[#This Row],[Sodium (mg)]]/1000)</f>
        <v>-4.9890000000000004E-2</v>
      </c>
      <c r="Q103" s="35" t="str">
        <f t="shared" si="7"/>
        <v>High-Risk</v>
      </c>
    </row>
    <row r="104" spans="1:17">
      <c r="A104" s="35" t="s">
        <v>67</v>
      </c>
      <c r="B104" s="35" t="s">
        <v>126</v>
      </c>
      <c r="C104" s="36">
        <f t="shared" si="6"/>
        <v>-0.66316640923884451</v>
      </c>
      <c r="D104" s="8">
        <v>132.08000000000001</v>
      </c>
      <c r="E104" s="35">
        <v>156.13999999999999</v>
      </c>
      <c r="F104" s="35">
        <v>2.0499999999999998</v>
      </c>
      <c r="G104" s="35">
        <f>Table2[[#This Row],[Protein (g)]]/Table2[[#This Row],[Per Serve Size]]</f>
        <v>1.5520896426408234E-2</v>
      </c>
      <c r="H104" s="35">
        <v>2.36</v>
      </c>
      <c r="I104" s="35">
        <v>1.74</v>
      </c>
      <c r="J104" s="35">
        <v>0.1</v>
      </c>
      <c r="K104" s="35">
        <v>6.55</v>
      </c>
      <c r="L104" s="35">
        <v>31.77</v>
      </c>
      <c r="M104" s="35">
        <v>28.2</v>
      </c>
      <c r="N104" s="35">
        <v>20.32</v>
      </c>
      <c r="O104" s="35">
        <v>48.28</v>
      </c>
      <c r="P104" s="35">
        <f>(Table2[[#This Row],[Protein (g)]]/Table2[[#This Row],[Energy (kCal)]])*100-(Table2[[#This Row],[Sodium (mg)]]/1000)</f>
        <v>1.2646442987062891</v>
      </c>
      <c r="Q104" s="35" t="str">
        <f t="shared" si="7"/>
        <v>High-Risk</v>
      </c>
    </row>
    <row r="105" spans="1:17">
      <c r="A105" s="35" t="s">
        <v>102</v>
      </c>
      <c r="B105" s="35" t="s">
        <v>127</v>
      </c>
      <c r="C105" s="36">
        <f t="shared" si="6"/>
        <v>-0.66568141213162446</v>
      </c>
      <c r="D105" s="8">
        <v>286.79000000000002</v>
      </c>
      <c r="E105" s="35">
        <v>145.16</v>
      </c>
      <c r="F105" s="35">
        <v>1.52</v>
      </c>
      <c r="G105" s="35">
        <f>Table2[[#This Row],[Protein (g)]]/Table2[[#This Row],[Per Serve Size]]</f>
        <v>5.3000453293350529E-3</v>
      </c>
      <c r="H105" s="35">
        <v>1.75</v>
      </c>
      <c r="I105" s="35">
        <v>1.28</v>
      </c>
      <c r="J105" s="35">
        <v>0.05</v>
      </c>
      <c r="K105" s="35">
        <v>4.7</v>
      </c>
      <c r="L105" s="35">
        <v>30.82</v>
      </c>
      <c r="M105" s="35">
        <v>29.83</v>
      </c>
      <c r="N105" s="35">
        <v>26.14</v>
      </c>
      <c r="O105" s="35">
        <v>47.09</v>
      </c>
      <c r="P105" s="35">
        <f>(Table2[[#This Row],[Protein (g)]]/Table2[[#This Row],[Energy (kCal)]])*100-(Table2[[#This Row],[Sodium (mg)]]/1000)</f>
        <v>1.0000304188481675</v>
      </c>
      <c r="Q105" s="35" t="str">
        <f t="shared" si="7"/>
        <v>High-Risk</v>
      </c>
    </row>
    <row r="106" spans="1:17">
      <c r="A106" s="35" t="s">
        <v>102</v>
      </c>
      <c r="B106" s="35" t="s">
        <v>128</v>
      </c>
      <c r="C106" s="36">
        <f t="shared" si="6"/>
        <v>-0.67109183852281529</v>
      </c>
      <c r="D106" s="8">
        <v>286.79000000000002</v>
      </c>
      <c r="E106" s="35">
        <v>138.76</v>
      </c>
      <c r="F106" s="35">
        <v>1.52</v>
      </c>
      <c r="G106" s="35">
        <f>Table2[[#This Row],[Protein (g)]]/Table2[[#This Row],[Per Serve Size]]</f>
        <v>5.3000453293350529E-3</v>
      </c>
      <c r="H106" s="35">
        <v>1.75</v>
      </c>
      <c r="I106" s="35">
        <v>1.28</v>
      </c>
      <c r="J106" s="35">
        <v>0.05</v>
      </c>
      <c r="K106" s="35">
        <v>4.7</v>
      </c>
      <c r="L106" s="35">
        <v>29.22</v>
      </c>
      <c r="M106" s="35">
        <v>28.23</v>
      </c>
      <c r="N106" s="35">
        <v>24.54</v>
      </c>
      <c r="O106" s="35">
        <v>44.53</v>
      </c>
      <c r="P106" s="35">
        <f>(Table2[[#This Row],[Protein (g)]]/Table2[[#This Row],[Energy (kCal)]])*100-(Table2[[#This Row],[Sodium (mg)]]/1000)</f>
        <v>1.0508865465552033</v>
      </c>
      <c r="Q106" s="35" t="str">
        <f t="shared" si="7"/>
        <v>High-Risk</v>
      </c>
    </row>
    <row r="107" spans="1:17">
      <c r="A107" s="35" t="s">
        <v>102</v>
      </c>
      <c r="B107" s="35" t="s">
        <v>129</v>
      </c>
      <c r="C107" s="36">
        <f t="shared" si="6"/>
        <v>-0.6764599959578248</v>
      </c>
      <c r="D107" s="8">
        <v>544</v>
      </c>
      <c r="E107" s="35">
        <v>217.36</v>
      </c>
      <c r="F107" s="35">
        <v>0</v>
      </c>
      <c r="G107" s="35">
        <f>Table2[[#This Row],[Protein (g)]]/Table2[[#This Row],[Per Serve Size]]</f>
        <v>0</v>
      </c>
      <c r="H107" s="35">
        <v>0</v>
      </c>
      <c r="I107" s="35">
        <v>0</v>
      </c>
      <c r="J107" s="35">
        <v>0</v>
      </c>
      <c r="K107" s="35">
        <v>0</v>
      </c>
      <c r="L107" s="35">
        <v>54.34</v>
      </c>
      <c r="M107" s="35">
        <v>54.34</v>
      </c>
      <c r="N107" s="35">
        <v>54.34</v>
      </c>
      <c r="O107" s="35">
        <v>41.99</v>
      </c>
      <c r="P107" s="35">
        <f>(Table2[[#This Row],[Protein (g)]]/Table2[[#This Row],[Energy (kCal)]])*100-(Table2[[#This Row],[Sodium (mg)]]/1000)</f>
        <v>-4.199E-2</v>
      </c>
      <c r="Q107" s="35" t="str">
        <f t="shared" si="7"/>
        <v>High-Risk</v>
      </c>
    </row>
    <row r="108" spans="1:17">
      <c r="A108" s="35" t="s">
        <v>67</v>
      </c>
      <c r="B108" s="35" t="s">
        <v>130</v>
      </c>
      <c r="C108" s="36">
        <f t="shared" si="6"/>
        <v>-0.67901726780678606</v>
      </c>
      <c r="D108" s="8">
        <v>81.290000000000006</v>
      </c>
      <c r="E108" s="35">
        <v>85.73</v>
      </c>
      <c r="F108" s="35">
        <v>1.99</v>
      </c>
      <c r="G108" s="35">
        <f>Table2[[#This Row],[Protein (g)]]/Table2[[#This Row],[Per Serve Size]]</f>
        <v>2.4480255874031243E-2</v>
      </c>
      <c r="H108" s="35">
        <v>1.82</v>
      </c>
      <c r="I108" s="35">
        <v>1.31</v>
      </c>
      <c r="J108" s="35">
        <v>0.05</v>
      </c>
      <c r="K108" s="35">
        <v>4.75</v>
      </c>
      <c r="L108" s="35">
        <v>15.23</v>
      </c>
      <c r="M108" s="35">
        <v>10.68</v>
      </c>
      <c r="N108" s="35">
        <v>6.99</v>
      </c>
      <c r="O108" s="35">
        <v>40.78</v>
      </c>
      <c r="P108" s="35">
        <f>(Table2[[#This Row],[Protein (g)]]/Table2[[#This Row],[Energy (kCal)]])*100-(Table2[[#This Row],[Sodium (mg)]]/1000)</f>
        <v>2.2804611057972708</v>
      </c>
      <c r="Q108" s="35" t="str">
        <f t="shared" si="7"/>
        <v>High-Risk</v>
      </c>
    </row>
    <row r="109" spans="1:17">
      <c r="A109" s="35" t="s">
        <v>102</v>
      </c>
      <c r="B109" s="35" t="s">
        <v>131</v>
      </c>
      <c r="C109" s="36">
        <f t="shared" si="6"/>
        <v>-0.69178249257350155</v>
      </c>
      <c r="D109" s="8">
        <v>394</v>
      </c>
      <c r="E109" s="35">
        <v>137.6</v>
      </c>
      <c r="F109" s="35">
        <v>0</v>
      </c>
      <c r="G109" s="35">
        <f>Table2[[#This Row],[Protein (g)]]/Table2[[#This Row],[Per Serve Size]]</f>
        <v>0</v>
      </c>
      <c r="H109" s="35">
        <v>0</v>
      </c>
      <c r="I109" s="35">
        <v>0</v>
      </c>
      <c r="J109" s="35">
        <v>0</v>
      </c>
      <c r="K109" s="35">
        <v>0</v>
      </c>
      <c r="L109" s="35">
        <v>34.4</v>
      </c>
      <c r="M109" s="35">
        <v>34.4</v>
      </c>
      <c r="N109" s="35">
        <v>34.4</v>
      </c>
      <c r="O109" s="35">
        <v>34.74</v>
      </c>
      <c r="P109" s="35">
        <f>(Table2[[#This Row],[Protein (g)]]/Table2[[#This Row],[Energy (kCal)]])*100-(Table2[[#This Row],[Sodium (mg)]]/1000)</f>
        <v>-3.474E-2</v>
      </c>
      <c r="Q109" s="35" t="str">
        <f t="shared" si="7"/>
        <v>High-Risk</v>
      </c>
    </row>
    <row r="110" spans="1:17">
      <c r="A110" s="35" t="s">
        <v>67</v>
      </c>
      <c r="B110" s="35" t="s">
        <v>132</v>
      </c>
      <c r="C110" s="36">
        <f t="shared" si="6"/>
        <v>-0.69226858556958515</v>
      </c>
      <c r="D110" s="8">
        <v>91.79</v>
      </c>
      <c r="E110" s="35">
        <v>100.99</v>
      </c>
      <c r="F110" s="35">
        <v>1.54</v>
      </c>
      <c r="G110" s="35">
        <f>Table2[[#This Row],[Protein (g)]]/Table2[[#This Row],[Per Serve Size]]</f>
        <v>1.6777426734938445E-2</v>
      </c>
      <c r="H110" s="35">
        <v>1.77</v>
      </c>
      <c r="I110" s="35">
        <v>1.3</v>
      </c>
      <c r="J110" s="35">
        <v>0.06</v>
      </c>
      <c r="K110" s="35">
        <v>4.8499999999999996</v>
      </c>
      <c r="L110" s="35">
        <v>19.78</v>
      </c>
      <c r="M110" s="35">
        <v>17.66</v>
      </c>
      <c r="N110" s="35">
        <v>12.49</v>
      </c>
      <c r="O110" s="35">
        <v>34.51</v>
      </c>
      <c r="P110" s="35">
        <f>(Table2[[#This Row],[Protein (g)]]/Table2[[#This Row],[Energy (kCal)]])*100-(Table2[[#This Row],[Sodium (mg)]]/1000)</f>
        <v>1.4903934557877019</v>
      </c>
      <c r="Q110" s="35" t="str">
        <f t="shared" si="7"/>
        <v>High-Risk</v>
      </c>
    </row>
    <row r="111" spans="1:17">
      <c r="A111" s="35" t="s">
        <v>102</v>
      </c>
      <c r="B111" s="35" t="s">
        <v>133</v>
      </c>
      <c r="C111" s="36">
        <f t="shared" si="6"/>
        <v>-0.70340645552332537</v>
      </c>
      <c r="D111" s="8">
        <v>394</v>
      </c>
      <c r="E111" s="35">
        <v>151.36000000000001</v>
      </c>
      <c r="F111" s="35">
        <v>0</v>
      </c>
      <c r="G111" s="35">
        <f>Table2[[#This Row],[Protein (g)]]/Table2[[#This Row],[Per Serve Size]]</f>
        <v>0</v>
      </c>
      <c r="H111" s="35">
        <v>0</v>
      </c>
      <c r="I111" s="35">
        <v>0</v>
      </c>
      <c r="J111" s="35">
        <v>0</v>
      </c>
      <c r="K111" s="35">
        <v>0</v>
      </c>
      <c r="L111" s="35">
        <v>37.840000000000003</v>
      </c>
      <c r="M111" s="35">
        <v>37.840000000000003</v>
      </c>
      <c r="N111" s="35">
        <v>37.840000000000003</v>
      </c>
      <c r="O111" s="35">
        <v>29.24</v>
      </c>
      <c r="P111" s="35">
        <f>(Table2[[#This Row],[Protein (g)]]/Table2[[#This Row],[Energy (kCal)]])*100-(Table2[[#This Row],[Sodium (mg)]]/1000)</f>
        <v>-2.9239999999999999E-2</v>
      </c>
      <c r="Q111" s="35" t="str">
        <f t="shared" si="7"/>
        <v>High-Risk</v>
      </c>
    </row>
    <row r="112" spans="1:17">
      <c r="A112" s="35" t="s">
        <v>38</v>
      </c>
      <c r="B112" s="35" t="s">
        <v>134</v>
      </c>
      <c r="C112" s="36">
        <f t="shared" si="6"/>
        <v>-0.71014835403422316</v>
      </c>
      <c r="D112" s="8">
        <v>76.5</v>
      </c>
      <c r="E112" s="35">
        <v>44.98</v>
      </c>
      <c r="F112" s="35">
        <v>2.09</v>
      </c>
      <c r="G112" s="35">
        <f>Table2[[#This Row],[Protein (g)]]/Table2[[#This Row],[Per Serve Size]]</f>
        <v>2.7320261437908496E-2</v>
      </c>
      <c r="H112" s="35">
        <v>2.02</v>
      </c>
      <c r="I112" s="35">
        <v>1.49</v>
      </c>
      <c r="J112" s="35">
        <v>0.08</v>
      </c>
      <c r="K112" s="35">
        <v>6.27</v>
      </c>
      <c r="L112" s="35">
        <v>4.97</v>
      </c>
      <c r="M112" s="35">
        <v>2.5</v>
      </c>
      <c r="N112" s="35">
        <v>0</v>
      </c>
      <c r="O112" s="35">
        <v>26.05</v>
      </c>
      <c r="P112" s="35">
        <f>(Table2[[#This Row],[Protein (g)]]/Table2[[#This Row],[Energy (kCal)]])*100-(Table2[[#This Row],[Sodium (mg)]]/1000)</f>
        <v>4.6204595598043579</v>
      </c>
      <c r="Q112" s="35" t="str">
        <f t="shared" si="7"/>
        <v>Balanced</v>
      </c>
    </row>
    <row r="113" spans="1:17">
      <c r="A113" s="35" t="s">
        <v>102</v>
      </c>
      <c r="B113" s="35" t="s">
        <v>135</v>
      </c>
      <c r="C113" s="36">
        <f t="shared" si="6"/>
        <v>-0.71205045706237624</v>
      </c>
      <c r="D113" s="8">
        <v>299</v>
      </c>
      <c r="E113" s="35">
        <v>99.6</v>
      </c>
      <c r="F113" s="35">
        <v>0</v>
      </c>
      <c r="G113" s="35">
        <f>Table2[[#This Row],[Protein (g)]]/Table2[[#This Row],[Per Serve Size]]</f>
        <v>0</v>
      </c>
      <c r="H113" s="35">
        <v>0</v>
      </c>
      <c r="I113" s="35">
        <v>0</v>
      </c>
      <c r="J113" s="35">
        <v>0</v>
      </c>
      <c r="K113" s="35">
        <v>0</v>
      </c>
      <c r="L113" s="35">
        <v>24.9</v>
      </c>
      <c r="M113" s="35">
        <v>24.9</v>
      </c>
      <c r="N113" s="35">
        <v>24.9</v>
      </c>
      <c r="O113" s="35">
        <v>25.15</v>
      </c>
      <c r="P113" s="35">
        <f>(Table2[[#This Row],[Protein (g)]]/Table2[[#This Row],[Energy (kCal)]])*100-(Table2[[#This Row],[Sodium (mg)]]/1000)</f>
        <v>-2.5149999999999999E-2</v>
      </c>
      <c r="Q113" s="35" t="str">
        <f t="shared" si="7"/>
        <v>High-Risk</v>
      </c>
    </row>
    <row r="114" spans="1:17">
      <c r="A114" s="35" t="s">
        <v>102</v>
      </c>
      <c r="B114" s="35" t="s">
        <v>136</v>
      </c>
      <c r="C114" s="36">
        <f t="shared" si="6"/>
        <v>-0.71289583618599972</v>
      </c>
      <c r="D114" s="8">
        <v>330</v>
      </c>
      <c r="E114" s="35">
        <v>0.99</v>
      </c>
      <c r="F114" s="35">
        <v>0</v>
      </c>
      <c r="G114" s="35">
        <f>Table2[[#This Row],[Protein (g)]]/Table2[[#This Row],[Per Serve Size]]</f>
        <v>0</v>
      </c>
      <c r="H114" s="35">
        <v>0</v>
      </c>
      <c r="I114" s="35">
        <v>0</v>
      </c>
      <c r="J114" s="35">
        <v>0</v>
      </c>
      <c r="K114" s="35">
        <v>0</v>
      </c>
      <c r="L114" s="35">
        <v>0</v>
      </c>
      <c r="M114" s="35">
        <v>0</v>
      </c>
      <c r="N114" s="35">
        <v>0</v>
      </c>
      <c r="O114" s="35">
        <v>24.75</v>
      </c>
      <c r="P114" s="35">
        <f>(Table2[[#This Row],[Protein (g)]]/Table2[[#This Row],[Energy (kCal)]])*100-(Table2[[#This Row],[Sodium (mg)]]/1000)</f>
        <v>-2.4750000000000001E-2</v>
      </c>
      <c r="Q114" s="35" t="str">
        <f t="shared" si="7"/>
        <v>High-Risk</v>
      </c>
    </row>
    <row r="115" spans="1:17">
      <c r="A115" s="35" t="s">
        <v>67</v>
      </c>
      <c r="B115" s="35" t="s">
        <v>137</v>
      </c>
      <c r="C115" s="36">
        <f t="shared" si="6"/>
        <v>-0.71355100500680801</v>
      </c>
      <c r="D115" s="8">
        <v>456</v>
      </c>
      <c r="E115" s="35">
        <v>10.210000000000001</v>
      </c>
      <c r="F115" s="35">
        <v>0.55000000000000004</v>
      </c>
      <c r="G115" s="35">
        <f>Table2[[#This Row],[Protein (g)]]/Table2[[#This Row],[Per Serve Size]]</f>
        <v>1.206140350877193E-3</v>
      </c>
      <c r="H115" s="35">
        <v>0.46</v>
      </c>
      <c r="I115" s="35">
        <v>0.46</v>
      </c>
      <c r="J115" s="35">
        <v>0.46</v>
      </c>
      <c r="K115" s="35">
        <v>4.5599999999999996</v>
      </c>
      <c r="L115" s="35">
        <v>4.5599999999999996</v>
      </c>
      <c r="M115" s="35">
        <v>2.2799999999999998</v>
      </c>
      <c r="N115" s="35">
        <v>0</v>
      </c>
      <c r="O115" s="35">
        <v>24.44</v>
      </c>
      <c r="P115" s="35">
        <f>(Table2[[#This Row],[Protein (g)]]/Table2[[#This Row],[Energy (kCal)]])*100-(Table2[[#This Row],[Sodium (mg)]]/1000)</f>
        <v>5.3624356121449557</v>
      </c>
      <c r="Q115" s="35" t="str">
        <f t="shared" si="7"/>
        <v>Premium Health</v>
      </c>
    </row>
    <row r="116" spans="1:17">
      <c r="A116" s="35" t="s">
        <v>67</v>
      </c>
      <c r="B116" s="35" t="s">
        <v>138</v>
      </c>
      <c r="C116" s="36">
        <f t="shared" si="6"/>
        <v>-0.71486134264842449</v>
      </c>
      <c r="D116" s="8">
        <v>310</v>
      </c>
      <c r="E116" s="35">
        <v>103.85</v>
      </c>
      <c r="F116" s="35">
        <v>0.16</v>
      </c>
      <c r="G116" s="35">
        <f>Table2[[#This Row],[Protein (g)]]/Table2[[#This Row],[Per Serve Size]]</f>
        <v>5.1612903225806454E-4</v>
      </c>
      <c r="H116" s="35">
        <v>0.04</v>
      </c>
      <c r="I116" s="35">
        <v>0.04</v>
      </c>
      <c r="J116" s="35">
        <v>0.04</v>
      </c>
      <c r="K116" s="35">
        <v>0.4</v>
      </c>
      <c r="L116" s="35">
        <v>25.56</v>
      </c>
      <c r="M116" s="35">
        <v>21.25</v>
      </c>
      <c r="N116" s="35">
        <v>20.52</v>
      </c>
      <c r="O116" s="35">
        <v>23.82</v>
      </c>
      <c r="P116" s="35">
        <f>(Table2[[#This Row],[Protein (g)]]/Table2[[#This Row],[Energy (kCal)]])*100-(Table2[[#This Row],[Sodium (mg)]]/1000)</f>
        <v>0.13024836783822821</v>
      </c>
      <c r="Q116" s="35" t="str">
        <f t="shared" si="7"/>
        <v>High-Risk</v>
      </c>
    </row>
    <row r="117" spans="1:17">
      <c r="A117" s="35" t="s">
        <v>67</v>
      </c>
      <c r="B117" s="35" t="s">
        <v>139</v>
      </c>
      <c r="C117" s="36">
        <f t="shared" si="6"/>
        <v>-0.71498814951696799</v>
      </c>
      <c r="D117" s="8">
        <v>456</v>
      </c>
      <c r="E117" s="35">
        <v>11.49</v>
      </c>
      <c r="F117" s="35">
        <v>0.78</v>
      </c>
      <c r="G117" s="35">
        <f>Table2[[#This Row],[Protein (g)]]/Table2[[#This Row],[Per Serve Size]]</f>
        <v>1.7105263157894738E-3</v>
      </c>
      <c r="H117" s="35">
        <v>0.46</v>
      </c>
      <c r="I117" s="35">
        <v>0.46</v>
      </c>
      <c r="J117" s="35">
        <v>0.46</v>
      </c>
      <c r="K117" s="35">
        <v>4.5599999999999996</v>
      </c>
      <c r="L117" s="35">
        <v>4.5599999999999996</v>
      </c>
      <c r="M117" s="35">
        <v>2.2799999999999998</v>
      </c>
      <c r="N117" s="35">
        <v>0</v>
      </c>
      <c r="O117" s="35">
        <v>23.76</v>
      </c>
      <c r="P117" s="35">
        <f>(Table2[[#This Row],[Protein (g)]]/Table2[[#This Row],[Energy (kCal)]])*100-(Table2[[#This Row],[Sodium (mg)]]/1000)</f>
        <v>6.7647517493472593</v>
      </c>
      <c r="Q117" s="35" t="str">
        <f t="shared" si="7"/>
        <v>Premium Health</v>
      </c>
    </row>
    <row r="118" spans="1:17">
      <c r="A118" s="35" t="s">
        <v>67</v>
      </c>
      <c r="B118" s="35" t="s">
        <v>140</v>
      </c>
      <c r="C118" s="36">
        <f t="shared" si="6"/>
        <v>-0.71739748001929515</v>
      </c>
      <c r="D118" s="8">
        <v>456</v>
      </c>
      <c r="E118" s="35">
        <v>16.23</v>
      </c>
      <c r="F118" s="35">
        <v>0.91</v>
      </c>
      <c r="G118" s="35">
        <f>Table2[[#This Row],[Protein (g)]]/Table2[[#This Row],[Per Serve Size]]</f>
        <v>1.9956140350877193E-3</v>
      </c>
      <c r="H118" s="35">
        <v>0.46</v>
      </c>
      <c r="I118" s="35">
        <v>0.46</v>
      </c>
      <c r="J118" s="35">
        <v>0.46</v>
      </c>
      <c r="K118" s="35">
        <v>4.5599999999999996</v>
      </c>
      <c r="L118" s="35">
        <v>0.46</v>
      </c>
      <c r="M118" s="35">
        <v>2.2799999999999998</v>
      </c>
      <c r="N118" s="35">
        <v>0</v>
      </c>
      <c r="O118" s="35">
        <v>22.62</v>
      </c>
      <c r="P118" s="35">
        <f>(Table2[[#This Row],[Protein (g)]]/Table2[[#This Row],[Energy (kCal)]])*100-(Table2[[#This Row],[Sodium (mg)]]/1000)</f>
        <v>5.5842808009858285</v>
      </c>
      <c r="Q118" s="35" t="str">
        <f t="shared" si="7"/>
        <v>Premium Health</v>
      </c>
    </row>
    <row r="119" spans="1:17">
      <c r="A119" s="35" t="s">
        <v>102</v>
      </c>
      <c r="B119" s="35" t="s">
        <v>141</v>
      </c>
      <c r="C119" s="36">
        <f t="shared" si="6"/>
        <v>-0.7204619793424305</v>
      </c>
      <c r="D119" s="8">
        <v>299</v>
      </c>
      <c r="E119" s="35">
        <v>109.56</v>
      </c>
      <c r="F119" s="35">
        <v>0</v>
      </c>
      <c r="G119" s="35">
        <f>Table2[[#This Row],[Protein (g)]]/Table2[[#This Row],[Per Serve Size]]</f>
        <v>0</v>
      </c>
      <c r="H119" s="35">
        <v>0</v>
      </c>
      <c r="I119" s="35">
        <v>0</v>
      </c>
      <c r="J119" s="35">
        <v>0</v>
      </c>
      <c r="K119" s="35">
        <v>0</v>
      </c>
      <c r="L119" s="35">
        <v>27.39</v>
      </c>
      <c r="M119" s="35">
        <v>27.39</v>
      </c>
      <c r="N119" s="35">
        <v>27.39</v>
      </c>
      <c r="O119" s="35">
        <v>21.17</v>
      </c>
      <c r="P119" s="35">
        <f>(Table2[[#This Row],[Protein (g)]]/Table2[[#This Row],[Energy (kCal)]])*100-(Table2[[#This Row],[Sodium (mg)]]/1000)</f>
        <v>-2.1170000000000001E-2</v>
      </c>
      <c r="Q119" s="35" t="str">
        <f t="shared" si="7"/>
        <v>High-Risk</v>
      </c>
    </row>
    <row r="120" spans="1:17">
      <c r="A120" s="35" t="s">
        <v>67</v>
      </c>
      <c r="B120" s="35" t="s">
        <v>142</v>
      </c>
      <c r="C120" s="36">
        <f t="shared" si="6"/>
        <v>-0.72781677771795539</v>
      </c>
      <c r="D120" s="8">
        <v>330</v>
      </c>
      <c r="E120" s="35">
        <v>7.39</v>
      </c>
      <c r="F120" s="35">
        <v>0.4</v>
      </c>
      <c r="G120" s="35">
        <f>Table2[[#This Row],[Protein (g)]]/Table2[[#This Row],[Per Serve Size]]</f>
        <v>1.2121212121212121E-3</v>
      </c>
      <c r="H120" s="35">
        <v>0.33</v>
      </c>
      <c r="I120" s="35">
        <v>0.33</v>
      </c>
      <c r="J120" s="35">
        <v>0.33</v>
      </c>
      <c r="K120" s="35">
        <v>3.3</v>
      </c>
      <c r="L120" s="35">
        <v>3.3</v>
      </c>
      <c r="M120" s="35">
        <v>1.65</v>
      </c>
      <c r="N120" s="35">
        <v>0</v>
      </c>
      <c r="O120" s="35">
        <v>17.690000000000001</v>
      </c>
      <c r="P120" s="35">
        <f>(Table2[[#This Row],[Protein (g)]]/Table2[[#This Row],[Energy (kCal)]])*100-(Table2[[#This Row],[Sodium (mg)]]/1000)</f>
        <v>5.3950298917456028</v>
      </c>
      <c r="Q120" s="35" t="str">
        <f t="shared" si="7"/>
        <v>Premium Health</v>
      </c>
    </row>
    <row r="121" spans="1:17">
      <c r="A121" s="35" t="s">
        <v>67</v>
      </c>
      <c r="B121" s="35" t="s">
        <v>143</v>
      </c>
      <c r="C121" s="36">
        <f t="shared" si="6"/>
        <v>-0.72887350162248477</v>
      </c>
      <c r="D121" s="8">
        <v>330</v>
      </c>
      <c r="E121" s="35">
        <v>8.32</v>
      </c>
      <c r="F121" s="35">
        <v>0.56000000000000005</v>
      </c>
      <c r="G121" s="35">
        <f>Table2[[#This Row],[Protein (g)]]/Table2[[#This Row],[Per Serve Size]]</f>
        <v>1.6969696969696972E-3</v>
      </c>
      <c r="H121" s="35">
        <v>0.33</v>
      </c>
      <c r="I121" s="35">
        <v>0.33</v>
      </c>
      <c r="J121" s="35">
        <v>0.33</v>
      </c>
      <c r="K121" s="35">
        <v>3.3</v>
      </c>
      <c r="L121" s="35">
        <v>3.3</v>
      </c>
      <c r="M121" s="35">
        <v>1.65</v>
      </c>
      <c r="N121" s="35">
        <v>0</v>
      </c>
      <c r="O121" s="35">
        <v>17.190000000000001</v>
      </c>
      <c r="P121" s="35">
        <f>(Table2[[#This Row],[Protein (g)]]/Table2[[#This Row],[Energy (kCal)]])*100-(Table2[[#This Row],[Sodium (mg)]]/1000)</f>
        <v>6.7135792307692315</v>
      </c>
      <c r="Q121" s="35" t="str">
        <f t="shared" si="7"/>
        <v>Premium Health</v>
      </c>
    </row>
    <row r="122" spans="1:17">
      <c r="A122" s="35" t="s">
        <v>67</v>
      </c>
      <c r="B122" s="35" t="s">
        <v>144</v>
      </c>
      <c r="C122" s="36">
        <f t="shared" si="6"/>
        <v>-0.73060652882591304</v>
      </c>
      <c r="D122" s="8">
        <v>330</v>
      </c>
      <c r="E122" s="35">
        <v>11.75</v>
      </c>
      <c r="F122" s="35">
        <v>0.66</v>
      </c>
      <c r="G122" s="35">
        <f>Table2[[#This Row],[Protein (g)]]/Table2[[#This Row],[Per Serve Size]]</f>
        <v>2E-3</v>
      </c>
      <c r="H122" s="35">
        <v>0.33</v>
      </c>
      <c r="I122" s="35">
        <v>0.33</v>
      </c>
      <c r="J122" s="35">
        <v>0.33</v>
      </c>
      <c r="K122" s="35">
        <v>3.3</v>
      </c>
      <c r="L122" s="35">
        <v>0.33</v>
      </c>
      <c r="M122" s="35">
        <v>1.65</v>
      </c>
      <c r="N122" s="35">
        <v>0</v>
      </c>
      <c r="O122" s="35">
        <v>16.37</v>
      </c>
      <c r="P122" s="35">
        <f>(Table2[[#This Row],[Protein (g)]]/Table2[[#This Row],[Energy (kCal)]])*100-(Table2[[#This Row],[Sodium (mg)]]/1000)</f>
        <v>5.6006512765957446</v>
      </c>
      <c r="Q122" s="35" t="str">
        <f t="shared" si="7"/>
        <v>Premium Health</v>
      </c>
    </row>
    <row r="123" spans="1:17">
      <c r="A123" s="35" t="s">
        <v>61</v>
      </c>
      <c r="B123" s="35" t="s">
        <v>145</v>
      </c>
      <c r="C123" s="36">
        <f t="shared" si="6"/>
        <v>-0.73350195232432369</v>
      </c>
      <c r="D123" s="8">
        <v>30</v>
      </c>
      <c r="E123" s="35">
        <v>86.4</v>
      </c>
      <c r="F123" s="35">
        <v>0</v>
      </c>
      <c r="G123" s="35">
        <f>Table2[[#This Row],[Protein (g)]]/Table2[[#This Row],[Per Serve Size]]</f>
        <v>0</v>
      </c>
      <c r="H123" s="35">
        <v>0</v>
      </c>
      <c r="I123" s="35">
        <v>0</v>
      </c>
      <c r="J123" s="35">
        <v>0</v>
      </c>
      <c r="K123" s="35">
        <v>0.3</v>
      </c>
      <c r="L123" s="35">
        <v>21.6</v>
      </c>
      <c r="M123" s="35">
        <v>16.2</v>
      </c>
      <c r="N123" s="35">
        <v>5.34</v>
      </c>
      <c r="O123" s="35">
        <v>15</v>
      </c>
      <c r="P123" s="35">
        <f>(Table2[[#This Row],[Protein (g)]]/Table2[[#This Row],[Energy (kCal)]])*100-(Table2[[#This Row],[Sodium (mg)]]/1000)</f>
        <v>-1.4999999999999999E-2</v>
      </c>
      <c r="Q123" s="35" t="str">
        <f t="shared" si="7"/>
        <v>High-Risk</v>
      </c>
    </row>
    <row r="124" spans="1:17">
      <c r="A124" s="35" t="s">
        <v>67</v>
      </c>
      <c r="B124" s="35" t="s">
        <v>146</v>
      </c>
      <c r="C124" s="36">
        <f t="shared" si="6"/>
        <v>-0.7336076247147767</v>
      </c>
      <c r="D124" s="8">
        <v>279</v>
      </c>
      <c r="E124" s="35">
        <v>6.25</v>
      </c>
      <c r="F124" s="35">
        <v>0.33</v>
      </c>
      <c r="G124" s="35">
        <f>Table2[[#This Row],[Protein (g)]]/Table2[[#This Row],[Per Serve Size]]</f>
        <v>1.1827956989247312E-3</v>
      </c>
      <c r="H124" s="35">
        <v>0.28000000000000003</v>
      </c>
      <c r="I124" s="35">
        <v>0.28000000000000003</v>
      </c>
      <c r="J124" s="35">
        <v>0.28000000000000003</v>
      </c>
      <c r="K124" s="35">
        <v>2.79</v>
      </c>
      <c r="L124" s="35">
        <v>2.79</v>
      </c>
      <c r="M124" s="35">
        <v>1.4</v>
      </c>
      <c r="N124" s="35">
        <v>0</v>
      </c>
      <c r="O124" s="35">
        <v>14.95</v>
      </c>
      <c r="P124" s="35">
        <f>(Table2[[#This Row],[Protein (g)]]/Table2[[#This Row],[Energy (kCal)]])*100-(Table2[[#This Row],[Sodium (mg)]]/1000)</f>
        <v>5.2650500000000005</v>
      </c>
      <c r="Q124" s="35" t="str">
        <f t="shared" si="7"/>
        <v>Premium Health</v>
      </c>
    </row>
    <row r="125" spans="1:17">
      <c r="A125" s="35" t="s">
        <v>67</v>
      </c>
      <c r="B125" s="35" t="s">
        <v>147</v>
      </c>
      <c r="C125" s="36">
        <f t="shared" si="6"/>
        <v>-0.73447413831649078</v>
      </c>
      <c r="D125" s="8">
        <v>279</v>
      </c>
      <c r="E125" s="35">
        <v>7.03</v>
      </c>
      <c r="F125" s="35">
        <v>0.47</v>
      </c>
      <c r="G125" s="35">
        <f>Table2[[#This Row],[Protein (g)]]/Table2[[#This Row],[Per Serve Size]]</f>
        <v>1.6845878136200717E-3</v>
      </c>
      <c r="H125" s="35">
        <v>0.28000000000000003</v>
      </c>
      <c r="I125" s="35">
        <v>0.28000000000000003</v>
      </c>
      <c r="J125" s="35">
        <v>0.28000000000000003</v>
      </c>
      <c r="K125" s="35">
        <v>2.79</v>
      </c>
      <c r="L125" s="35">
        <v>2.79</v>
      </c>
      <c r="M125" s="35">
        <v>1.4</v>
      </c>
      <c r="N125" s="35">
        <v>0</v>
      </c>
      <c r="O125" s="35">
        <v>14.54</v>
      </c>
      <c r="P125" s="35">
        <f>(Table2[[#This Row],[Protein (g)]]/Table2[[#This Row],[Energy (kCal)]])*100-(Table2[[#This Row],[Sodium (mg)]]/1000)</f>
        <v>6.6710930014224736</v>
      </c>
      <c r="Q125" s="35" t="str">
        <f t="shared" si="7"/>
        <v>Premium Health</v>
      </c>
    </row>
    <row r="126" spans="1:17">
      <c r="A126" s="35" t="s">
        <v>17</v>
      </c>
      <c r="B126" s="35" t="s">
        <v>148</v>
      </c>
      <c r="C126" s="36">
        <f t="shared" si="6"/>
        <v>-0.73561540013338256</v>
      </c>
      <c r="D126" s="8">
        <v>205</v>
      </c>
      <c r="E126" s="35">
        <v>35.799999999999997</v>
      </c>
      <c r="F126" s="35">
        <v>1</v>
      </c>
      <c r="G126" s="35">
        <f>Table2[[#This Row],[Protein (g)]]/Table2[[#This Row],[Per Serve Size]]</f>
        <v>4.8780487804878049E-3</v>
      </c>
      <c r="H126" s="35">
        <v>2</v>
      </c>
      <c r="I126" s="35">
        <v>1.2</v>
      </c>
      <c r="J126" s="35">
        <v>0.08</v>
      </c>
      <c r="K126" s="35">
        <v>6</v>
      </c>
      <c r="L126" s="35">
        <v>1.6</v>
      </c>
      <c r="M126" s="35">
        <v>3.45</v>
      </c>
      <c r="N126" s="35">
        <v>0</v>
      </c>
      <c r="O126" s="35">
        <v>14</v>
      </c>
      <c r="P126" s="35">
        <f>(Table2[[#This Row],[Protein (g)]]/Table2[[#This Row],[Energy (kCal)]])*100-(Table2[[#This Row],[Sodium (mg)]]/1000)</f>
        <v>2.7792960893854755</v>
      </c>
      <c r="Q126" s="35" t="str">
        <f t="shared" si="7"/>
        <v>High-Risk</v>
      </c>
    </row>
    <row r="127" spans="1:17">
      <c r="A127" s="35" t="s">
        <v>67</v>
      </c>
      <c r="B127" s="35" t="s">
        <v>149</v>
      </c>
      <c r="C127" s="36">
        <f t="shared" si="6"/>
        <v>-0.73595355178283206</v>
      </c>
      <c r="D127" s="8">
        <v>279</v>
      </c>
      <c r="E127" s="35">
        <v>9.93</v>
      </c>
      <c r="F127" s="35">
        <v>0.56000000000000005</v>
      </c>
      <c r="G127" s="35">
        <f>Table2[[#This Row],[Protein (g)]]/Table2[[#This Row],[Per Serve Size]]</f>
        <v>2.007168458781362E-3</v>
      </c>
      <c r="H127" s="35">
        <v>0.28000000000000003</v>
      </c>
      <c r="I127" s="35">
        <v>0.28000000000000003</v>
      </c>
      <c r="J127" s="35">
        <v>0.28000000000000003</v>
      </c>
      <c r="K127" s="35">
        <v>2.79</v>
      </c>
      <c r="L127" s="35">
        <v>0.28000000000000003</v>
      </c>
      <c r="M127" s="35">
        <v>1.4</v>
      </c>
      <c r="N127" s="35">
        <v>0</v>
      </c>
      <c r="O127" s="35">
        <v>13.84</v>
      </c>
      <c r="P127" s="35">
        <f>(Table2[[#This Row],[Protein (g)]]/Table2[[#This Row],[Energy (kCal)]])*100-(Table2[[#This Row],[Sodium (mg)]]/1000)</f>
        <v>5.625636334340383</v>
      </c>
      <c r="Q127" s="35" t="str">
        <f t="shared" si="7"/>
        <v>Premium Health</v>
      </c>
    </row>
    <row r="128" spans="1:17">
      <c r="A128" s="35" t="s">
        <v>61</v>
      </c>
      <c r="B128" s="35" t="s">
        <v>150</v>
      </c>
      <c r="C128" s="36">
        <f t="shared" si="6"/>
        <v>-0.74237843312237095</v>
      </c>
      <c r="D128" s="8">
        <v>180</v>
      </c>
      <c r="E128" s="35">
        <v>72.25</v>
      </c>
      <c r="F128" s="35">
        <v>0.65</v>
      </c>
      <c r="G128" s="35">
        <f>Table2[[#This Row],[Protein (g)]]/Table2[[#This Row],[Per Serve Size]]</f>
        <v>3.6111111111111114E-3</v>
      </c>
      <c r="H128" s="35">
        <v>0.02</v>
      </c>
      <c r="I128" s="35">
        <v>0.02</v>
      </c>
      <c r="J128" s="35">
        <v>0.02</v>
      </c>
      <c r="K128" s="35">
        <v>0.01</v>
      </c>
      <c r="L128" s="35">
        <v>18</v>
      </c>
      <c r="M128" s="35">
        <v>16.829999999999998</v>
      </c>
      <c r="N128" s="35">
        <v>0</v>
      </c>
      <c r="O128" s="35">
        <v>10.8</v>
      </c>
      <c r="P128" s="35">
        <f>(Table2[[#This Row],[Protein (g)]]/Table2[[#This Row],[Energy (kCal)]])*100-(Table2[[#This Row],[Sodium (mg)]]/1000)</f>
        <v>0.88885397923875442</v>
      </c>
      <c r="Q128" s="35" t="str">
        <f t="shared" si="7"/>
        <v>High-Risk</v>
      </c>
    </row>
    <row r="129" spans="1:17">
      <c r="A129" s="35" t="s">
        <v>67</v>
      </c>
      <c r="B129" s="35" t="s">
        <v>151</v>
      </c>
      <c r="C129" s="36">
        <f t="shared" si="6"/>
        <v>-0.74351969493926284</v>
      </c>
      <c r="D129" s="8">
        <v>245</v>
      </c>
      <c r="E129" s="35">
        <v>121.86</v>
      </c>
      <c r="F129" s="35">
        <v>0.27</v>
      </c>
      <c r="G129" s="35">
        <f>Table2[[#This Row],[Protein (g)]]/Table2[[#This Row],[Per Serve Size]]</f>
        <v>1.1020408163265308E-3</v>
      </c>
      <c r="H129" s="35">
        <v>0.17</v>
      </c>
      <c r="I129" s="35">
        <v>0.17</v>
      </c>
      <c r="J129" s="35">
        <v>0.17</v>
      </c>
      <c r="K129" s="35">
        <v>1.65</v>
      </c>
      <c r="L129" s="35">
        <v>30.59</v>
      </c>
      <c r="M129" s="35">
        <v>26.53</v>
      </c>
      <c r="N129" s="35">
        <v>25.6</v>
      </c>
      <c r="O129" s="35">
        <v>10.26</v>
      </c>
      <c r="P129" s="35">
        <f>(Table2[[#This Row],[Protein (g)]]/Table2[[#This Row],[Energy (kCal)]])*100-(Table2[[#This Row],[Sodium (mg)]]/1000)</f>
        <v>0.21130573116691287</v>
      </c>
      <c r="Q129" s="35" t="str">
        <f t="shared" si="7"/>
        <v>High-Risk</v>
      </c>
    </row>
    <row r="130" spans="1:17">
      <c r="A130" s="35" t="s">
        <v>67</v>
      </c>
      <c r="B130" s="35" t="s">
        <v>152</v>
      </c>
      <c r="C130" s="36">
        <f t="shared" ref="C130:C142" si="8">(O130-$K$147)/($K$150)</f>
        <v>-0.74466095675615451</v>
      </c>
      <c r="D130" s="8">
        <v>236.5</v>
      </c>
      <c r="E130" s="35">
        <v>94.95</v>
      </c>
      <c r="F130" s="35">
        <v>0.24</v>
      </c>
      <c r="G130" s="35">
        <f>Table2[[#This Row],[Protein (g)]]/Table2[[#This Row],[Per Serve Size]]</f>
        <v>1.014799154334038E-3</v>
      </c>
      <c r="H130" s="35">
        <v>0.16</v>
      </c>
      <c r="I130" s="35">
        <v>0.16</v>
      </c>
      <c r="J130" s="35">
        <v>0.16</v>
      </c>
      <c r="K130" s="35">
        <v>1.57</v>
      </c>
      <c r="L130" s="35">
        <v>24.17</v>
      </c>
      <c r="M130" s="35">
        <v>21.1</v>
      </c>
      <c r="N130" s="35">
        <v>20.27</v>
      </c>
      <c r="O130" s="35">
        <v>9.7200000000000006</v>
      </c>
      <c r="P130" s="35">
        <f>(Table2[[#This Row],[Protein (g)]]/Table2[[#This Row],[Energy (kCal)]])*100-(Table2[[#This Row],[Sodium (mg)]]/1000)</f>
        <v>0.24304461295418639</v>
      </c>
      <c r="Q130" s="35" t="str">
        <f t="shared" ref="Q130:Q142" si="9">IF(P130 &gt; 5, "Premium Health", IF(P130 &gt; 3, "Balanced", "High-Risk"))</f>
        <v>High-Risk</v>
      </c>
    </row>
    <row r="131" spans="1:17">
      <c r="A131" s="35" t="s">
        <v>67</v>
      </c>
      <c r="B131" s="35" t="s">
        <v>153</v>
      </c>
      <c r="C131" s="36">
        <f t="shared" si="8"/>
        <v>-0.74489343601515101</v>
      </c>
      <c r="D131" s="8">
        <v>236.5</v>
      </c>
      <c r="E131" s="35">
        <v>94.94</v>
      </c>
      <c r="F131" s="35">
        <v>0.24</v>
      </c>
      <c r="G131" s="35">
        <f>Table2[[#This Row],[Protein (g)]]/Table2[[#This Row],[Per Serve Size]]</f>
        <v>1.014799154334038E-3</v>
      </c>
      <c r="H131" s="35">
        <v>0.16</v>
      </c>
      <c r="I131" s="35">
        <v>0.16</v>
      </c>
      <c r="J131" s="35">
        <v>0.16</v>
      </c>
      <c r="K131" s="35">
        <v>1.57</v>
      </c>
      <c r="L131" s="35">
        <v>24.17</v>
      </c>
      <c r="M131" s="35">
        <v>20.75</v>
      </c>
      <c r="N131" s="35">
        <v>19.940000000000001</v>
      </c>
      <c r="O131" s="35">
        <v>9.61</v>
      </c>
      <c r="P131" s="35">
        <f>(Table2[[#This Row],[Protein (g)]]/Table2[[#This Row],[Energy (kCal)]])*100-(Table2[[#This Row],[Sodium (mg)]]/1000)</f>
        <v>0.24318123657046553</v>
      </c>
      <c r="Q131" s="35" t="str">
        <f t="shared" si="9"/>
        <v>High-Risk</v>
      </c>
    </row>
    <row r="132" spans="1:17">
      <c r="A132" s="35" t="s">
        <v>102</v>
      </c>
      <c r="B132" s="35" t="s">
        <v>154</v>
      </c>
      <c r="C132" s="36">
        <f t="shared" si="8"/>
        <v>-0.75674987822397133</v>
      </c>
      <c r="D132" s="8">
        <v>544</v>
      </c>
      <c r="E132" s="35">
        <v>237.12</v>
      </c>
      <c r="F132" s="35">
        <v>0</v>
      </c>
      <c r="G132" s="35">
        <f>Table2[[#This Row],[Protein (g)]]/Table2[[#This Row],[Per Serve Size]]</f>
        <v>0</v>
      </c>
      <c r="H132" s="35">
        <v>0</v>
      </c>
      <c r="I132" s="35">
        <v>0</v>
      </c>
      <c r="J132" s="35">
        <v>0</v>
      </c>
      <c r="K132" s="35">
        <v>0</v>
      </c>
      <c r="L132" s="35">
        <v>59.28</v>
      </c>
      <c r="M132" s="35">
        <v>59.28</v>
      </c>
      <c r="N132" s="35">
        <v>59.28</v>
      </c>
      <c r="O132" s="35">
        <v>4</v>
      </c>
      <c r="P132" s="35">
        <f>(Table2[[#This Row],[Protein (g)]]/Table2[[#This Row],[Energy (kCal)]])*100-(Table2[[#This Row],[Sodium (mg)]]/1000)</f>
        <v>-4.0000000000000001E-3</v>
      </c>
      <c r="Q132" s="35" t="str">
        <f t="shared" si="9"/>
        <v>High-Risk</v>
      </c>
    </row>
    <row r="133" spans="1:17">
      <c r="A133" s="35" t="s">
        <v>102</v>
      </c>
      <c r="B133" s="35" t="s">
        <v>155</v>
      </c>
      <c r="C133" s="36">
        <f t="shared" si="8"/>
        <v>-0.75907467081393609</v>
      </c>
      <c r="D133" s="8">
        <v>500</v>
      </c>
      <c r="E133" s="35">
        <v>0</v>
      </c>
      <c r="F133" s="35">
        <v>0</v>
      </c>
      <c r="G133" s="35">
        <f>Table2[[#This Row],[Protein (g)]]/Table2[[#This Row],[Per Serve Size]]</f>
        <v>0</v>
      </c>
      <c r="H133" s="35">
        <v>0</v>
      </c>
      <c r="I133" s="35">
        <v>0</v>
      </c>
      <c r="J133" s="35">
        <v>0</v>
      </c>
      <c r="K133" s="35">
        <v>0</v>
      </c>
      <c r="L133" s="35">
        <v>0</v>
      </c>
      <c r="M133" s="35">
        <v>0</v>
      </c>
      <c r="N133" s="35">
        <v>0</v>
      </c>
      <c r="O133" s="35">
        <v>2.9</v>
      </c>
      <c r="P133" s="35" t="e">
        <f>(Table2[[#This Row],[Protein (g)]]/Table2[[#This Row],[Energy (kCal)]])*100-(Table2[[#This Row],[Sodium (mg)]]/1000)</f>
        <v>#DIV/0!</v>
      </c>
      <c r="Q133" s="35" t="e">
        <f t="shared" si="9"/>
        <v>#DIV/0!</v>
      </c>
    </row>
    <row r="134" spans="1:17">
      <c r="A134" s="35" t="s">
        <v>102</v>
      </c>
      <c r="B134" s="35" t="s">
        <v>156</v>
      </c>
      <c r="C134" s="36">
        <f t="shared" si="8"/>
        <v>-0.75930715007293248</v>
      </c>
      <c r="D134" s="8">
        <v>394</v>
      </c>
      <c r="E134" s="35">
        <v>165.12</v>
      </c>
      <c r="F134" s="35">
        <v>0</v>
      </c>
      <c r="G134" s="35">
        <f>Table2[[#This Row],[Protein (g)]]/Table2[[#This Row],[Per Serve Size]]</f>
        <v>0</v>
      </c>
      <c r="H134" s="35">
        <v>0</v>
      </c>
      <c r="I134" s="35">
        <v>0</v>
      </c>
      <c r="J134" s="35">
        <v>0</v>
      </c>
      <c r="K134" s="35">
        <v>0</v>
      </c>
      <c r="L134" s="35">
        <v>41.28</v>
      </c>
      <c r="M134" s="35">
        <v>41.28</v>
      </c>
      <c r="N134" s="35">
        <v>41.28</v>
      </c>
      <c r="O134" s="35">
        <v>2.79</v>
      </c>
      <c r="P134" s="35">
        <f>(Table2[[#This Row],[Protein (g)]]/Table2[[#This Row],[Energy (kCal)]])*100-(Table2[[#This Row],[Sodium (mg)]]/1000)</f>
        <v>-2.7899999999999999E-3</v>
      </c>
      <c r="Q134" s="35" t="str">
        <f t="shared" si="9"/>
        <v>High-Risk</v>
      </c>
    </row>
    <row r="135" spans="1:17">
      <c r="A135" s="35" t="s">
        <v>102</v>
      </c>
      <c r="B135" s="35" t="s">
        <v>157</v>
      </c>
      <c r="C135" s="36">
        <f t="shared" si="8"/>
        <v>-0.76093450488590797</v>
      </c>
      <c r="D135" s="8">
        <v>299</v>
      </c>
      <c r="E135" s="35">
        <v>119.52</v>
      </c>
      <c r="F135" s="35">
        <v>0</v>
      </c>
      <c r="G135" s="35">
        <f>Table2[[#This Row],[Protein (g)]]/Table2[[#This Row],[Per Serve Size]]</f>
        <v>0</v>
      </c>
      <c r="H135" s="35">
        <v>0</v>
      </c>
      <c r="I135" s="35">
        <v>0</v>
      </c>
      <c r="J135" s="35">
        <v>0</v>
      </c>
      <c r="K135" s="35">
        <v>0</v>
      </c>
      <c r="L135" s="35">
        <v>29.88</v>
      </c>
      <c r="M135" s="35">
        <v>29.88</v>
      </c>
      <c r="N135" s="35">
        <v>29.88</v>
      </c>
      <c r="O135" s="35">
        <v>2.02</v>
      </c>
      <c r="P135" s="35">
        <f>(Table2[[#This Row],[Protein (g)]]/Table2[[#This Row],[Energy (kCal)]])*100-(Table2[[#This Row],[Sodium (mg)]]/1000)</f>
        <v>-2.0200000000000001E-3</v>
      </c>
      <c r="Q135" s="35" t="str">
        <f t="shared" si="9"/>
        <v>High-Risk</v>
      </c>
    </row>
    <row r="136" spans="1:17">
      <c r="A136" s="35" t="s">
        <v>38</v>
      </c>
      <c r="B136" s="35" t="s">
        <v>158</v>
      </c>
      <c r="C136" s="36">
        <f t="shared" si="8"/>
        <v>-0.76382992838431862</v>
      </c>
      <c r="D136" s="8">
        <v>455</v>
      </c>
      <c r="E136" s="35">
        <v>26.71</v>
      </c>
      <c r="F136" s="35">
        <v>1.0900000000000001</v>
      </c>
      <c r="G136" s="35">
        <f>Table2[[#This Row],[Protein (g)]]/Table2[[#This Row],[Per Serve Size]]</f>
        <v>2.395604395604396E-3</v>
      </c>
      <c r="H136" s="35">
        <v>0.06</v>
      </c>
      <c r="I136" s="35">
        <v>0.06</v>
      </c>
      <c r="J136" s="35">
        <v>0.06</v>
      </c>
      <c r="K136" s="35">
        <v>0.55000000000000004</v>
      </c>
      <c r="L136" s="35">
        <v>5.3</v>
      </c>
      <c r="M136" s="35">
        <v>0.28000000000000003</v>
      </c>
      <c r="N136" s="35">
        <v>0</v>
      </c>
      <c r="O136" s="35">
        <v>0.65</v>
      </c>
      <c r="P136" s="35">
        <f>(Table2[[#This Row],[Protein (g)]]/Table2[[#This Row],[Energy (kCal)]])*100-(Table2[[#This Row],[Sodium (mg)]]/1000)</f>
        <v>4.080218588543616</v>
      </c>
      <c r="Q136" s="35" t="str">
        <f t="shared" si="9"/>
        <v>Balanced</v>
      </c>
    </row>
    <row r="137" spans="1:17">
      <c r="A137" s="35" t="s">
        <v>38</v>
      </c>
      <c r="B137" s="35" t="s">
        <v>159</v>
      </c>
      <c r="C137" s="36">
        <f t="shared" si="8"/>
        <v>-0.76399900420904332</v>
      </c>
      <c r="D137" s="8">
        <v>347.5</v>
      </c>
      <c r="E137" s="35">
        <v>23.07</v>
      </c>
      <c r="F137" s="35">
        <v>0.94</v>
      </c>
      <c r="G137" s="35">
        <f>Table2[[#This Row],[Protein (g)]]/Table2[[#This Row],[Per Serve Size]]</f>
        <v>2.7050359712230214E-3</v>
      </c>
      <c r="H137" s="35">
        <v>0.05</v>
      </c>
      <c r="I137" s="35">
        <v>0.05</v>
      </c>
      <c r="J137" s="35">
        <v>0.05</v>
      </c>
      <c r="K137" s="35">
        <v>0.48</v>
      </c>
      <c r="L137" s="35">
        <v>4.57</v>
      </c>
      <c r="M137" s="35">
        <v>0.24</v>
      </c>
      <c r="N137" s="35">
        <v>0</v>
      </c>
      <c r="O137" s="35">
        <v>0.56999999999999995</v>
      </c>
      <c r="P137" s="35">
        <f>(Table2[[#This Row],[Protein (g)]]/Table2[[#This Row],[Energy (kCal)]])*100-(Table2[[#This Row],[Sodium (mg)]]/1000)</f>
        <v>4.0739857000433464</v>
      </c>
      <c r="Q137" s="35" t="str">
        <f t="shared" si="9"/>
        <v>Balanced</v>
      </c>
    </row>
    <row r="138" spans="1:17">
      <c r="A138" s="35" t="s">
        <v>38</v>
      </c>
      <c r="B138" s="35" t="s">
        <v>160</v>
      </c>
      <c r="C138" s="36">
        <f t="shared" si="8"/>
        <v>-0.76452736616130801</v>
      </c>
      <c r="D138" s="8">
        <v>26.5</v>
      </c>
      <c r="E138" s="35">
        <v>12.87</v>
      </c>
      <c r="F138" s="35">
        <v>0.52</v>
      </c>
      <c r="G138" s="35">
        <f>Table2[[#This Row],[Protein (g)]]/Table2[[#This Row],[Per Serve Size]]</f>
        <v>1.9622641509433963E-2</v>
      </c>
      <c r="H138" s="35">
        <v>0.03</v>
      </c>
      <c r="I138" s="35">
        <v>0.03</v>
      </c>
      <c r="J138" s="35">
        <v>0.03</v>
      </c>
      <c r="K138" s="35">
        <v>0.27</v>
      </c>
      <c r="L138" s="35">
        <v>2.5499999999999998</v>
      </c>
      <c r="M138" s="35">
        <v>0.13</v>
      </c>
      <c r="N138" s="35">
        <v>0</v>
      </c>
      <c r="O138" s="35">
        <v>0.32</v>
      </c>
      <c r="P138" s="35">
        <f>(Table2[[#This Row],[Protein (g)]]/Table2[[#This Row],[Energy (kCal)]])*100-(Table2[[#This Row],[Sodium (mg)]]/1000)</f>
        <v>4.0400840404040403</v>
      </c>
      <c r="Q138" s="35" t="str">
        <f t="shared" si="9"/>
        <v>Balanced</v>
      </c>
    </row>
    <row r="139" spans="1:17">
      <c r="A139" s="35" t="s">
        <v>38</v>
      </c>
      <c r="B139" s="35" t="s">
        <v>161</v>
      </c>
      <c r="C139" s="36">
        <f t="shared" si="8"/>
        <v>-0.76452736616130801</v>
      </c>
      <c r="D139" s="8">
        <v>276.5</v>
      </c>
      <c r="E139" s="35">
        <v>12.87</v>
      </c>
      <c r="F139" s="35">
        <v>0.52</v>
      </c>
      <c r="G139" s="35">
        <f>Table2[[#This Row],[Protein (g)]]/Table2[[#This Row],[Per Serve Size]]</f>
        <v>1.8806509945750454E-3</v>
      </c>
      <c r="H139" s="35">
        <v>0.03</v>
      </c>
      <c r="I139" s="35">
        <v>0.03</v>
      </c>
      <c r="J139" s="35">
        <v>0.03</v>
      </c>
      <c r="K139" s="35">
        <v>0.27</v>
      </c>
      <c r="L139" s="35">
        <v>2.5499999999999998</v>
      </c>
      <c r="M139" s="35">
        <v>0.13</v>
      </c>
      <c r="N139" s="35">
        <v>0</v>
      </c>
      <c r="O139" s="35">
        <v>0.32</v>
      </c>
      <c r="P139" s="35">
        <f>(Table2[[#This Row],[Protein (g)]]/Table2[[#This Row],[Energy (kCal)]])*100-(Table2[[#This Row],[Sodium (mg)]]/1000)</f>
        <v>4.0400840404040403</v>
      </c>
      <c r="Q139" s="35" t="str">
        <f t="shared" si="9"/>
        <v>Balanced</v>
      </c>
    </row>
    <row r="140" spans="1:17">
      <c r="A140" s="35" t="s">
        <v>61</v>
      </c>
      <c r="B140" s="35" t="s">
        <v>162</v>
      </c>
      <c r="C140" s="36">
        <f t="shared" si="8"/>
        <v>-0.76511913154784439</v>
      </c>
      <c r="D140" s="8">
        <v>40</v>
      </c>
      <c r="E140" s="35">
        <v>45.08</v>
      </c>
      <c r="F140" s="35">
        <v>1.47</v>
      </c>
      <c r="G140" s="35">
        <f>Table2[[#This Row],[Protein (g)]]/Table2[[#This Row],[Per Serve Size]]</f>
        <v>3.6749999999999998E-2</v>
      </c>
      <c r="H140" s="35">
        <v>1</v>
      </c>
      <c r="I140" s="35">
        <v>0.22</v>
      </c>
      <c r="J140" s="35">
        <v>0.04</v>
      </c>
      <c r="K140" s="35">
        <v>2</v>
      </c>
      <c r="L140" s="35">
        <v>7.55</v>
      </c>
      <c r="M140" s="35">
        <v>2.54</v>
      </c>
      <c r="N140" s="35">
        <v>0</v>
      </c>
      <c r="O140" s="35">
        <v>0.04</v>
      </c>
      <c r="P140" s="35">
        <f>(Table2[[#This Row],[Protein (g)]]/Table2[[#This Row],[Energy (kCal)]])*100-(Table2[[#This Row],[Sodium (mg)]]/1000)</f>
        <v>3.2608295652173913</v>
      </c>
      <c r="Q140" s="35" t="str">
        <f t="shared" si="9"/>
        <v>Balanced</v>
      </c>
    </row>
    <row r="141" spans="1:17">
      <c r="A141" s="35" t="s">
        <v>19</v>
      </c>
      <c r="B141" s="35" t="s">
        <v>163</v>
      </c>
      <c r="C141" s="36">
        <f t="shared" si="8"/>
        <v>-0.76520366946020679</v>
      </c>
      <c r="D141" s="8">
        <v>228</v>
      </c>
      <c r="E141" s="35">
        <v>443.4</v>
      </c>
      <c r="F141" s="35">
        <v>25.63</v>
      </c>
      <c r="G141" s="35">
        <f>Table2[[#This Row],[Protein (g)]]/Table2[[#This Row],[Per Serve Size]]</f>
        <v>0.11241228070175438</v>
      </c>
      <c r="H141" s="35">
        <v>17.3</v>
      </c>
      <c r="I141" s="35">
        <v>4.01</v>
      </c>
      <c r="J141" s="35">
        <v>0.19</v>
      </c>
      <c r="K141" s="35">
        <v>64.19</v>
      </c>
      <c r="L141" s="35">
        <v>43.29</v>
      </c>
      <c r="M141" s="35">
        <v>9.2899999999999991</v>
      </c>
      <c r="N141" s="35">
        <v>6.32</v>
      </c>
      <c r="O141" s="35"/>
      <c r="P141" s="35">
        <f>(Table2[[#This Row],[Protein (g)]]/Table2[[#This Row],[Energy (kCal)]])*100-(Table2[[#This Row],[Sodium (mg)]]/1000)</f>
        <v>5.7803337843933242</v>
      </c>
      <c r="Q141" s="35" t="str">
        <f t="shared" si="9"/>
        <v>Premium Health</v>
      </c>
    </row>
    <row r="142" spans="1:17">
      <c r="A142" s="35" t="s">
        <v>17</v>
      </c>
      <c r="B142" s="35" t="s">
        <v>164</v>
      </c>
      <c r="C142" s="36">
        <f t="shared" si="8"/>
        <v>-0.76520366946020679</v>
      </c>
      <c r="D142" s="8">
        <v>200</v>
      </c>
      <c r="E142" s="35">
        <v>6.8</v>
      </c>
      <c r="F142" s="35">
        <v>0</v>
      </c>
      <c r="G142" s="35">
        <f>Table2[[#This Row],[Protein (g)]]/Table2[[#This Row],[Per Serve Size]]</f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1.7</v>
      </c>
      <c r="M142" s="35">
        <v>0</v>
      </c>
      <c r="N142" s="35">
        <v>0</v>
      </c>
      <c r="O142" s="35">
        <v>0</v>
      </c>
      <c r="P142" s="35">
        <f>(Table2[[#This Row],[Protein (g)]]/Table2[[#This Row],[Energy (kCal)]])*100-(Table2[[#This Row],[Sodium (mg)]]/1000)</f>
        <v>0</v>
      </c>
      <c r="Q142" s="35" t="str">
        <f t="shared" si="9"/>
        <v>High-Risk</v>
      </c>
    </row>
    <row r="146" spans="8:11">
      <c r="H146" s="6" t="s">
        <v>165</v>
      </c>
      <c r="I146" s="7" t="s">
        <v>166</v>
      </c>
      <c r="J146" s="7" t="s">
        <v>167</v>
      </c>
      <c r="K146" s="7" t="s">
        <v>168</v>
      </c>
    </row>
    <row r="147" spans="8:11">
      <c r="H147" s="2" t="s">
        <v>169</v>
      </c>
      <c r="I147" s="35">
        <v>244.63546099290778</v>
      </c>
      <c r="J147" s="35">
        <v>7.4935460992907776</v>
      </c>
      <c r="K147" s="35">
        <v>362.06414285714277</v>
      </c>
    </row>
    <row r="148" spans="8:11">
      <c r="H148" s="2" t="s">
        <v>170</v>
      </c>
      <c r="I148" s="36">
        <v>15.626536230206412</v>
      </c>
      <c r="J148" s="36">
        <v>0.70209052530418181</v>
      </c>
      <c r="K148" s="35">
        <v>39.989360092353905</v>
      </c>
    </row>
    <row r="149" spans="8:11">
      <c r="H149" s="2" t="s">
        <v>171</v>
      </c>
      <c r="I149" s="35">
        <v>219.36</v>
      </c>
      <c r="J149" s="35">
        <v>4.79</v>
      </c>
      <c r="K149" s="35">
        <v>152.02500000000001</v>
      </c>
    </row>
    <row r="150" spans="8:11">
      <c r="H150" s="2" t="s">
        <v>172</v>
      </c>
      <c r="I150" s="35">
        <v>185.55483683296282</v>
      </c>
      <c r="J150" s="35">
        <v>8.3368630735300062</v>
      </c>
      <c r="K150" s="35">
        <v>473.1604895629311</v>
      </c>
    </row>
    <row r="151" spans="8:11">
      <c r="H151" s="5" t="s">
        <v>173</v>
      </c>
      <c r="I151" s="35">
        <v>834.36</v>
      </c>
      <c r="J151" s="35">
        <v>39.47</v>
      </c>
      <c r="K151" s="35">
        <v>2399.4899999999998</v>
      </c>
    </row>
    <row r="152" spans="8:11">
      <c r="H152" s="1" t="s">
        <v>174</v>
      </c>
      <c r="I152" s="35">
        <v>0</v>
      </c>
      <c r="J152" s="35">
        <v>0</v>
      </c>
      <c r="K152" s="35">
        <v>0</v>
      </c>
    </row>
    <row r="153" spans="8:11">
      <c r="H153" s="1" t="s">
        <v>175</v>
      </c>
      <c r="I153" s="35">
        <v>834.36</v>
      </c>
      <c r="J153" s="35">
        <v>39.47</v>
      </c>
      <c r="K153" s="35">
        <v>2399.4899999999998</v>
      </c>
    </row>
    <row r="154" spans="8:11">
      <c r="H154" s="1" t="s">
        <v>176</v>
      </c>
      <c r="I154" s="35">
        <v>141</v>
      </c>
      <c r="J154" s="35">
        <v>141</v>
      </c>
      <c r="K154" s="35">
        <v>140</v>
      </c>
    </row>
    <row r="156" spans="8:11" ht="78">
      <c r="H156" s="30" t="s">
        <v>177</v>
      </c>
      <c r="I156" s="31">
        <f>CORREL(D:D,F:F)</f>
        <v>-9.0593338740942844E-2</v>
      </c>
      <c r="J156" s="35"/>
      <c r="K156" s="35"/>
    </row>
  </sheetData>
  <conditionalFormatting sqref="C2:C142">
    <cfRule type="cellIs" dxfId="24" priority="4" operator="greaterThan">
      <formula>2</formula>
    </cfRule>
  </conditionalFormatting>
  <conditionalFormatting sqref="Q1:Q1048576">
    <cfRule type="containsText" dxfId="23" priority="1" operator="containsText" text="High-Risk">
      <formula>NOT(ISERROR(SEARCH("High-Risk",Q1)))</formula>
    </cfRule>
    <cfRule type="containsText" dxfId="22" priority="2" operator="containsText" text="Balanced">
      <formula>NOT(ISERROR(SEARCH("Balanced",Q1)))</formula>
    </cfRule>
    <cfRule type="containsText" dxfId="21" priority="3" operator="containsText" text="Premium Health">
      <formula>NOT(ISERROR(SEARCH("Premium Health",Q1)))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CFE12-8329-4514-94DD-5B03F3159E34}">
  <dimension ref="A3:P15"/>
  <sheetViews>
    <sheetView tabSelected="1" workbookViewId="0">
      <selection activeCell="C16" sqref="C16"/>
    </sheetView>
  </sheetViews>
  <sheetFormatPr defaultRowHeight="15"/>
  <cols>
    <col min="1" max="1" width="21.140625" customWidth="1"/>
    <col min="2" max="2" width="17.28515625" customWidth="1"/>
    <col min="3" max="3" width="16.7109375" customWidth="1"/>
    <col min="4" max="4" width="21.28515625" customWidth="1"/>
    <col min="5" max="5" width="19.5703125" customWidth="1"/>
    <col min="6" max="6" width="14.28515625" customWidth="1"/>
    <col min="7" max="7" width="18" customWidth="1"/>
    <col min="8" max="8" width="21.28515625" customWidth="1"/>
    <col min="9" max="9" width="15" customWidth="1"/>
    <col min="11" max="11" width="24.42578125" customWidth="1"/>
    <col min="12" max="12" width="8.7109375" customWidth="1"/>
    <col min="16" max="16" width="8.28515625" customWidth="1"/>
  </cols>
  <sheetData>
    <row r="3" spans="1:16" ht="17.2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41"/>
      <c r="M3" s="42"/>
      <c r="N3" s="42"/>
      <c r="O3" s="42"/>
      <c r="P3" s="41"/>
    </row>
    <row r="4" spans="1:16">
      <c r="A4" s="35"/>
      <c r="B4" s="33" t="s">
        <v>178</v>
      </c>
      <c r="C4" s="34" t="s">
        <v>179</v>
      </c>
      <c r="D4" s="34" t="s">
        <v>180</v>
      </c>
      <c r="E4" s="34" t="s">
        <v>181</v>
      </c>
      <c r="F4" s="34" t="s">
        <v>3</v>
      </c>
      <c r="G4" s="34" t="s">
        <v>12</v>
      </c>
      <c r="H4" s="35"/>
      <c r="I4" s="35"/>
      <c r="J4" s="35"/>
      <c r="K4" s="35"/>
      <c r="L4" s="35"/>
      <c r="M4" s="35"/>
      <c r="N4" s="35"/>
      <c r="O4" s="35"/>
      <c r="P4" s="35"/>
    </row>
    <row r="5" spans="1:16" ht="18" customHeight="1">
      <c r="A5" s="33" t="s">
        <v>178</v>
      </c>
      <c r="B5" s="35">
        <f>CORREL(Table2[Energy (kCal)],Table2[Energy (kCal)])</f>
        <v>0.99999999999999978</v>
      </c>
      <c r="C5" s="35">
        <f>CORREL(Table2[Energy (kCal)],Table2[Protein (g)])</f>
        <v>0.82683309281415196</v>
      </c>
      <c r="D5" s="35">
        <f>CORREL(Table2[Energy (kCal)],Table2[Sodium (mg)])</f>
        <v>0.85473048286992148</v>
      </c>
      <c r="E5" s="35">
        <f>CORREL(Table2[Energy (kCal)],Table2[Total fat (g)])</f>
        <v>0.90864202309687658</v>
      </c>
      <c r="F5" s="35">
        <f>CORREL(Table2[Energy (kCal)],Table2[Per Serve Size])</f>
        <v>2.0985988673168352E-3</v>
      </c>
      <c r="G5" s="35">
        <f>CORREL(Table2[Energy (kCal)],Table2[Total Sugars (g)])</f>
        <v>6.3306453629823664E-2</v>
      </c>
      <c r="H5" s="35"/>
      <c r="I5" s="35"/>
      <c r="J5" s="35"/>
      <c r="K5" s="35"/>
      <c r="L5" s="35"/>
      <c r="M5" s="35"/>
      <c r="N5" s="35"/>
      <c r="O5" s="35"/>
      <c r="P5" s="35"/>
    </row>
    <row r="6" spans="1:16" ht="17.25" customHeight="1">
      <c r="A6" s="34" t="s">
        <v>179</v>
      </c>
      <c r="B6" s="35">
        <f>CORREL(Table2[Protein (g)],Table2[Energy (kCal)])</f>
        <v>0.82683309281415196</v>
      </c>
      <c r="C6" s="35">
        <f>CORREL(Table2[Protein (g)],Table2[Protein (g)])</f>
        <v>0.99999999999999978</v>
      </c>
      <c r="D6" s="35">
        <f>CORREL(Table2[Protein (g)],Table2[Sodium (mg)])</f>
        <v>0.91499266617642894</v>
      </c>
      <c r="E6" s="36">
        <f>CORREL(Table2[Protein (g)],Table2[Total fat (g)])</f>
        <v>0.8755938053642135</v>
      </c>
      <c r="F6" s="35">
        <f>CORREL(Table2[Protein (g)],Table2[Per Serve Size])</f>
        <v>-9.0593338740942844E-2</v>
      </c>
      <c r="G6" s="35">
        <f>CORREL(Table2[Protein (g)],Table2[Total Sugars (g)])</f>
        <v>-0.28287549153677471</v>
      </c>
      <c r="H6" s="35"/>
      <c r="I6" s="35"/>
      <c r="J6" s="35"/>
      <c r="K6" s="35"/>
      <c r="L6" s="35"/>
      <c r="M6" s="35"/>
      <c r="N6" s="35"/>
      <c r="O6" s="35"/>
      <c r="P6" s="35"/>
    </row>
    <row r="7" spans="1:16" ht="15" customHeight="1">
      <c r="A7" s="34" t="s">
        <v>180</v>
      </c>
      <c r="B7" s="35">
        <f>CORREL(Table2[Sodium (mg)],Table2[Energy (kCal)])</f>
        <v>0.85473048286992148</v>
      </c>
      <c r="C7" s="35">
        <f>CORREL(Table2[Sodium (mg)],Table2[Protein (g)])</f>
        <v>0.91499266617642894</v>
      </c>
      <c r="D7" s="35">
        <f>CORREL(Table2[Sodium (mg)],Table2[Sodium (mg)])</f>
        <v>1</v>
      </c>
      <c r="E7" s="36">
        <f>CORREL(Table2[Sodium (mg)],Table2[Total fat (g)])</f>
        <v>0.87491072261184921</v>
      </c>
      <c r="F7" s="35">
        <f>CORREL(Table2[Sodium (mg)],Table2[Per Serve Size])</f>
        <v>-0.11777511751676084</v>
      </c>
      <c r="G7" s="35">
        <f>CORREL(Table2[Sodium (mg)],Table2[Total Sugars (g)])</f>
        <v>-0.29917144984842736</v>
      </c>
      <c r="H7" s="35"/>
      <c r="I7" s="35"/>
      <c r="J7" s="35"/>
      <c r="K7" s="35"/>
      <c r="L7" s="35"/>
      <c r="M7" s="35"/>
      <c r="N7" s="35"/>
      <c r="O7" s="35"/>
      <c r="P7" s="35"/>
    </row>
    <row r="8" spans="1:16" ht="19.5" customHeight="1">
      <c r="A8" s="34" t="s">
        <v>181</v>
      </c>
      <c r="B8" s="35">
        <f>CORREL(Table2[Total fat (g)],Table2[Energy (kCal)])</f>
        <v>0.90864202309687658</v>
      </c>
      <c r="C8" s="35">
        <f>CORREL(Table2[Total fat (g)],Table2[Protein (g)])</f>
        <v>0.8755938053642135</v>
      </c>
      <c r="D8" s="35">
        <f>CORREL(Table2[Total fat (g)],Table2[Sodium (mg)])</f>
        <v>0.87491072261184921</v>
      </c>
      <c r="E8" s="35">
        <f>CORREL(Table2[Total fat (g)],Table2[Total fat (g)])</f>
        <v>0.99999999999999989</v>
      </c>
      <c r="F8" s="35">
        <f>CORREL(Table2[Total fat (g)],Table2[Per Serve Size])</f>
        <v>-0.14303006522523712</v>
      </c>
      <c r="G8" s="35">
        <f>CORREL(Table2[Total fat (g)],Table2[Total Sugars (g)])</f>
        <v>-0.22012502469348957</v>
      </c>
      <c r="H8" s="35"/>
      <c r="I8" s="35"/>
      <c r="J8" s="35"/>
      <c r="K8" s="35"/>
      <c r="L8" s="35"/>
      <c r="M8" s="35"/>
      <c r="N8" s="35"/>
      <c r="O8" s="35"/>
      <c r="P8" s="35"/>
    </row>
    <row r="9" spans="1:16">
      <c r="A9" s="34" t="s">
        <v>3</v>
      </c>
      <c r="B9" s="35">
        <f>CORREL(Table2[Per Serve Size],Table2[Energy (kCal)])</f>
        <v>2.0985988673168352E-3</v>
      </c>
      <c r="C9" s="35">
        <f>CORREL(Table2[Per Serve Size],Table2[Protein (g)])</f>
        <v>-9.0593338740942844E-2</v>
      </c>
      <c r="D9" s="35">
        <f>CORREL(Table2[Per Serve Size],Table2[Sodium (mg)])</f>
        <v>-0.11777511751676084</v>
      </c>
      <c r="E9" s="35">
        <f>CORREL(Table2[Per Serve Size],Table2[Total fat (g)])</f>
        <v>-0.14303006522523712</v>
      </c>
      <c r="F9" s="35">
        <f>CORREL(Table2[Per Serve Size],Table2[Per Serve Size])</f>
        <v>1</v>
      </c>
      <c r="G9" s="35">
        <f>CORREL(Table2[Per Serve Size],Table2[Total Sugars (g)])</f>
        <v>0.46858065354504114</v>
      </c>
      <c r="H9" s="35"/>
      <c r="I9" s="35"/>
      <c r="J9" s="35"/>
      <c r="K9" s="35"/>
      <c r="L9" s="35"/>
      <c r="M9" s="35"/>
      <c r="N9" s="35"/>
      <c r="O9" s="35"/>
      <c r="P9" s="35"/>
    </row>
    <row r="10" spans="1:16">
      <c r="A10" s="34" t="s">
        <v>12</v>
      </c>
      <c r="B10" s="35">
        <f>CORREL(Table2[Total Sugars (g)],Table2[Energy (kCal)])</f>
        <v>6.3306453629823664E-2</v>
      </c>
      <c r="C10" s="35">
        <f>CORREL(Table2[Total Sugars (g)],Table2[Protein (g)])</f>
        <v>-0.28287549153677471</v>
      </c>
      <c r="D10" s="35">
        <f>CORREL(Table2[Total Sugars (g)],Table2[Sodium (mg)])</f>
        <v>-0.29917144984842736</v>
      </c>
      <c r="E10" s="35">
        <f>CORREL(Table2[Total Sugars (g)],Table2[Total fat (g)])</f>
        <v>-0.22012502469348957</v>
      </c>
      <c r="F10" s="35">
        <f>CORREL(Table2[Total Sugars (g)],Table2[Per Serve Size])</f>
        <v>0.46858065354504114</v>
      </c>
      <c r="G10" s="35">
        <f>CORREL(Table2[Total Sugars (g)],Table2[Total Sugars (g)])</f>
        <v>1.0000000000000002</v>
      </c>
      <c r="H10" s="35"/>
      <c r="I10" s="35"/>
      <c r="J10" s="35"/>
      <c r="K10" s="35"/>
      <c r="L10" s="35"/>
      <c r="M10" s="35"/>
      <c r="N10" s="35"/>
      <c r="O10" s="35"/>
      <c r="P10" s="35"/>
    </row>
    <row r="11" spans="1:16" ht="17.2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</row>
    <row r="12" spans="1:16" ht="15.75">
      <c r="A12" s="35"/>
      <c r="B12" s="41">
        <v>1</v>
      </c>
      <c r="C12" s="42">
        <v>0.5</v>
      </c>
      <c r="D12" s="43">
        <v>0</v>
      </c>
      <c r="E12" s="42">
        <v>-0.5</v>
      </c>
      <c r="F12" s="41">
        <v>-1</v>
      </c>
      <c r="G12" s="35"/>
      <c r="H12" s="35"/>
      <c r="I12" s="35"/>
      <c r="J12" s="35"/>
      <c r="K12" s="35"/>
      <c r="L12" s="35"/>
      <c r="M12" s="35"/>
      <c r="N12" s="35"/>
      <c r="O12" s="35"/>
      <c r="P12" s="35"/>
    </row>
    <row r="13" spans="1:16" ht="36">
      <c r="A13" s="41"/>
      <c r="B13" s="38" t="s">
        <v>182</v>
      </c>
      <c r="C13" s="39" t="s">
        <v>183</v>
      </c>
      <c r="D13" s="37" t="s">
        <v>184</v>
      </c>
      <c r="E13" s="40" t="s">
        <v>185</v>
      </c>
      <c r="F13" s="36" t="s">
        <v>186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</row>
    <row r="14" spans="1:16" ht="15.75">
      <c r="A14" s="42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</row>
    <row r="15" spans="1:16" ht="23.25" customHeight="1">
      <c r="A15" s="42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</row>
  </sheetData>
  <conditionalFormatting sqref="L3:P3">
    <cfRule type="colorScale" priority="50">
      <colorScale>
        <cfvo type="min"/>
        <cfvo type="max"/>
        <color rgb="FFFCFCFF"/>
        <color rgb="FF63BE7B"/>
      </colorScale>
    </cfRule>
  </conditionalFormatting>
  <conditionalFormatting sqref="L3">
    <cfRule type="colorScale" priority="49">
      <colorScale>
        <cfvo type="min"/>
        <cfvo type="max"/>
        <color rgb="FFFCFCFF"/>
        <color rgb="FFF8696B"/>
      </colorScale>
    </cfRule>
  </conditionalFormatting>
  <conditionalFormatting sqref="L3:P3">
    <cfRule type="colorScale" priority="48">
      <colorScale>
        <cfvo type="min"/>
        <cfvo type="max"/>
        <color rgb="FFFCFCFF"/>
        <color rgb="FF63BE7B"/>
      </colorScale>
    </cfRule>
  </conditionalFormatting>
  <conditionalFormatting sqref="B12:F12">
    <cfRule type="colorScale" priority="47">
      <colorScale>
        <cfvo type="min"/>
        <cfvo type="max"/>
        <color rgb="FFFCFCFF"/>
        <color rgb="FF63BE7B"/>
      </colorScale>
    </cfRule>
  </conditionalFormatting>
  <conditionalFormatting sqref="B12:B13">
    <cfRule type="colorScale" priority="46">
      <colorScale>
        <cfvo type="min"/>
        <cfvo type="max"/>
        <color rgb="FFFCFCFF"/>
        <color rgb="FFF8696B"/>
      </colorScale>
    </cfRule>
  </conditionalFormatting>
  <conditionalFormatting sqref="B12:F12">
    <cfRule type="colorScale" priority="45">
      <colorScale>
        <cfvo type="min"/>
        <cfvo type="max"/>
        <color rgb="FFFCFCFF"/>
        <color rgb="FF63BE7B"/>
      </colorScale>
    </cfRule>
  </conditionalFormatting>
  <conditionalFormatting sqref="B13">
    <cfRule type="colorScale" priority="37">
      <colorScale>
        <cfvo type="min"/>
        <cfvo type="max"/>
        <color rgb="FFFCFCFF"/>
        <color rgb="FF63BE7B"/>
      </colorScale>
    </cfRule>
  </conditionalFormatting>
  <conditionalFormatting sqref="B13">
    <cfRule type="colorScale" priority="36">
      <colorScale>
        <cfvo type="min"/>
        <cfvo type="max"/>
        <color rgb="FFFCFCFF"/>
        <color rgb="FF63BE7B"/>
      </colorScale>
    </cfRule>
  </conditionalFormatting>
  <conditionalFormatting sqref="B13">
    <cfRule type="colorScale" priority="35">
      <colorScale>
        <cfvo type="min"/>
        <cfvo type="max"/>
        <color rgb="FFFCFCFF"/>
        <color rgb="FF63BE7B"/>
      </colorScale>
    </cfRule>
  </conditionalFormatting>
  <conditionalFormatting sqref="B13">
    <cfRule type="colorScale" priority="34">
      <colorScale>
        <cfvo type="min"/>
        <cfvo type="max"/>
        <color rgb="FFFCFCFF"/>
        <color rgb="FF63BE7B"/>
      </colorScale>
    </cfRule>
  </conditionalFormatting>
  <conditionalFormatting sqref="F5:G5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G5">
    <cfRule type="colorScale" priority="30">
      <colorScale>
        <cfvo type="min"/>
        <cfvo type="max"/>
        <color rgb="FFFCFCFF"/>
        <color rgb="FF63BE7B"/>
      </colorScale>
    </cfRule>
  </conditionalFormatting>
  <conditionalFormatting sqref="F5:G5">
    <cfRule type="colorScale" priority="29">
      <colorScale>
        <cfvo type="min"/>
        <cfvo type="max"/>
        <color rgb="FFF8696B"/>
        <color rgb="FFFCFCFF"/>
      </colorScale>
    </cfRule>
  </conditionalFormatting>
  <conditionalFormatting sqref="F5:G5">
    <cfRule type="colorScale" priority="28">
      <colorScale>
        <cfvo type="min"/>
        <cfvo type="max"/>
        <color rgb="FF63BE7B"/>
        <color rgb="FFFFEF9C"/>
      </colorScale>
    </cfRule>
  </conditionalFormatting>
  <conditionalFormatting sqref="F5:G5">
    <cfRule type="colorScale" priority="2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5:G5">
    <cfRule type="colorScale" priority="26">
      <colorScale>
        <cfvo type="min"/>
        <cfvo type="max"/>
        <color rgb="FFFCFCFF"/>
        <color rgb="FF63BE7B"/>
      </colorScale>
    </cfRule>
  </conditionalFormatting>
  <conditionalFormatting sqref="F5:G5">
    <cfRule type="colorScale" priority="25">
      <colorScale>
        <cfvo type="min"/>
        <cfvo type="max"/>
        <color rgb="FFFCFCFF"/>
        <color rgb="FF63BE7B"/>
      </colorScale>
    </cfRule>
  </conditionalFormatting>
  <conditionalFormatting sqref="F5:G5">
    <cfRule type="colorScale" priority="24">
      <colorScale>
        <cfvo type="min"/>
        <cfvo type="max"/>
        <color rgb="FF63BE7B"/>
        <color rgb="FFFCFCFF"/>
      </colorScale>
    </cfRule>
  </conditionalFormatting>
  <conditionalFormatting sqref="F5:G5">
    <cfRule type="colorScale" priority="23">
      <colorScale>
        <cfvo type="min"/>
        <cfvo type="max"/>
        <color rgb="FFFCFCFF"/>
        <color rgb="FF63BE7B"/>
      </colorScale>
    </cfRule>
  </conditionalFormatting>
  <conditionalFormatting sqref="F5:G5">
    <cfRule type="colorScale" priority="22">
      <colorScale>
        <cfvo type="min"/>
        <cfvo type="max"/>
        <color rgb="FFFCFCFF"/>
        <color rgb="FFF8696B"/>
      </colorScale>
    </cfRule>
  </conditionalFormatting>
  <conditionalFormatting sqref="F5:G5">
    <cfRule type="colorScale" priority="21">
      <colorScale>
        <cfvo type="min"/>
        <cfvo type="max"/>
        <color rgb="FFFCFCFF"/>
        <color rgb="FF63BE7B"/>
      </colorScale>
    </cfRule>
  </conditionalFormatting>
  <conditionalFormatting sqref="G12:I12 B5:G1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2:I12 B5:G11">
    <cfRule type="colorScale" priority="8">
      <colorScale>
        <cfvo type="min"/>
        <cfvo type="max"/>
        <color rgb="FF63BE7B"/>
        <color rgb="FFFCFCFF"/>
      </colorScale>
    </cfRule>
  </conditionalFormatting>
  <conditionalFormatting sqref="G12:I12 B5:G11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12:I12 B5:G11">
    <cfRule type="colorScale" priority="6">
      <colorScale>
        <cfvo type="min"/>
        <cfvo type="max"/>
        <color rgb="FFF8696B"/>
        <color rgb="FFFCFCFF"/>
      </colorScale>
    </cfRule>
  </conditionalFormatting>
  <conditionalFormatting sqref="G12:I12 B5:G11">
    <cfRule type="colorScale" priority="5">
      <colorScale>
        <cfvo type="min"/>
        <cfvo type="max"/>
        <color rgb="FFFCFCFF"/>
        <color rgb="FFF8696B"/>
      </colorScale>
    </cfRule>
  </conditionalFormatting>
  <conditionalFormatting sqref="G12:I12 B5:G11">
    <cfRule type="colorScale" priority="4">
      <colorScale>
        <cfvo type="min"/>
        <cfvo type="max"/>
        <color rgb="FFFFEF9C"/>
        <color rgb="FF63BE7B"/>
      </colorScale>
    </cfRule>
  </conditionalFormatting>
  <conditionalFormatting sqref="G12:I12 B5:G11">
    <cfRule type="colorScale" priority="3">
      <colorScale>
        <cfvo type="min"/>
        <cfvo type="max"/>
        <color rgb="FFFCFCFF"/>
        <color rgb="FF63BE7B"/>
      </colorScale>
    </cfRule>
  </conditionalFormatting>
  <conditionalFormatting sqref="B5:E11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:E11">
    <cfRule type="colorScale" priority="54">
      <colorScale>
        <cfvo type="min"/>
        <cfvo type="max"/>
        <color rgb="FFFCFCFF"/>
        <color rgb="FF63BE7B"/>
      </colorScale>
    </cfRule>
  </conditionalFormatting>
  <conditionalFormatting sqref="B5:E11">
    <cfRule type="colorScale" priority="55">
      <colorScale>
        <cfvo type="min"/>
        <cfvo type="max"/>
        <color rgb="FFF8696B"/>
        <color rgb="FFFCFCFF"/>
      </colorScale>
    </cfRule>
  </conditionalFormatting>
  <conditionalFormatting sqref="B5:E11">
    <cfRule type="colorScale" priority="56">
      <colorScale>
        <cfvo type="min"/>
        <cfvo type="max"/>
        <color rgb="FF63BE7B"/>
        <color rgb="FFFFEF9C"/>
      </colorScale>
    </cfRule>
  </conditionalFormatting>
  <conditionalFormatting sqref="B5:E11">
    <cfRule type="colorScale" priority="5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5:E11">
    <cfRule type="colorScale" priority="60">
      <colorScale>
        <cfvo type="min"/>
        <cfvo type="max"/>
        <color rgb="FF63BE7B"/>
        <color rgb="FFFCFCFF"/>
      </colorScale>
    </cfRule>
  </conditionalFormatting>
  <conditionalFormatting sqref="B5:E11">
    <cfRule type="colorScale" priority="62">
      <colorScale>
        <cfvo type="min"/>
        <cfvo type="max"/>
        <color rgb="FFFCFCFF"/>
        <color rgb="FFF8696B"/>
      </colorScale>
    </cfRule>
  </conditionalFormatting>
  <conditionalFormatting sqref="G12:I12 F6:G11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2:I12 F6:G11">
    <cfRule type="colorScale" priority="66">
      <colorScale>
        <cfvo type="min"/>
        <cfvo type="max"/>
        <color rgb="FFFCFCFF"/>
        <color rgb="FF63BE7B"/>
      </colorScale>
    </cfRule>
  </conditionalFormatting>
  <conditionalFormatting sqref="G12:I12 F6:G11">
    <cfRule type="colorScale" priority="68">
      <colorScale>
        <cfvo type="min"/>
        <cfvo type="max"/>
        <color rgb="FFF8696B"/>
        <color rgb="FFFCFCFF"/>
      </colorScale>
    </cfRule>
  </conditionalFormatting>
  <conditionalFormatting sqref="G12:I12 F6:G11">
    <cfRule type="colorScale" priority="70">
      <colorScale>
        <cfvo type="min"/>
        <cfvo type="max"/>
        <color rgb="FF63BE7B"/>
        <color rgb="FFFFEF9C"/>
      </colorScale>
    </cfRule>
  </conditionalFormatting>
  <conditionalFormatting sqref="G12:I12 F6:G11">
    <cfRule type="colorScale" priority="7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12:I12 F6:G11">
    <cfRule type="colorScale" priority="78">
      <colorScale>
        <cfvo type="min"/>
        <cfvo type="max"/>
        <color rgb="FF63BE7B"/>
        <color rgb="FFFCFCFF"/>
      </colorScale>
    </cfRule>
  </conditionalFormatting>
  <conditionalFormatting sqref="G12:I12 F6:G11">
    <cfRule type="colorScale" priority="8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C0D74-95B6-48BE-9084-7E323F063C7B}">
  <dimension ref="A3:B11"/>
  <sheetViews>
    <sheetView topLeftCell="B2" workbookViewId="0">
      <selection activeCell="B11" sqref="B11"/>
    </sheetView>
  </sheetViews>
  <sheetFormatPr defaultRowHeight="15"/>
  <cols>
    <col min="1" max="1" width="17.7109375" bestFit="1" customWidth="1"/>
    <col min="2" max="2" width="20.28515625" bestFit="1" customWidth="1"/>
  </cols>
  <sheetData>
    <row r="3" spans="1:2">
      <c r="A3" s="32" t="s">
        <v>0</v>
      </c>
      <c r="B3" s="35" t="s">
        <v>187</v>
      </c>
    </row>
    <row r="4" spans="1:2">
      <c r="A4" s="35" t="s">
        <v>102</v>
      </c>
      <c r="B4" s="8">
        <v>0.26823529411764707</v>
      </c>
    </row>
    <row r="5" spans="1:2">
      <c r="A5" s="35" t="s">
        <v>38</v>
      </c>
      <c r="B5" s="8">
        <v>7.6366666666666658</v>
      </c>
    </row>
    <row r="6" spans="1:2">
      <c r="A6" s="35" t="s">
        <v>61</v>
      </c>
      <c r="B6" s="8">
        <v>0.73111111111111127</v>
      </c>
    </row>
    <row r="7" spans="1:2">
      <c r="A7" s="35" t="s">
        <v>92</v>
      </c>
      <c r="B7" s="8">
        <v>2.8149999999999999</v>
      </c>
    </row>
    <row r="8" spans="1:2">
      <c r="A8" s="35" t="s">
        <v>19</v>
      </c>
      <c r="B8" s="8">
        <v>21.684545454545454</v>
      </c>
    </row>
    <row r="9" spans="1:2">
      <c r="A9" s="35" t="s">
        <v>67</v>
      </c>
      <c r="B9" s="8">
        <v>4.2954901960784317</v>
      </c>
    </row>
    <row r="10" spans="1:2">
      <c r="A10" s="35" t="s">
        <v>17</v>
      </c>
      <c r="B10" s="8">
        <v>12.990833333333335</v>
      </c>
    </row>
    <row r="11" spans="1:2">
      <c r="A11" s="35" t="s">
        <v>188</v>
      </c>
      <c r="B11" s="8">
        <v>7.4935460992907794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E8440-D4F0-418D-BBD7-0AF5B3C5F74B}">
  <dimension ref="A1:J79"/>
  <sheetViews>
    <sheetView workbookViewId="0">
      <selection activeCell="D3" sqref="D3"/>
    </sheetView>
  </sheetViews>
  <sheetFormatPr defaultRowHeight="14.45"/>
  <cols>
    <col min="1" max="1" width="16.85546875" customWidth="1"/>
    <col min="2" max="2" width="37.5703125" customWidth="1"/>
    <col min="3" max="3" width="14.85546875" customWidth="1"/>
    <col min="4" max="4" width="17.42578125" customWidth="1"/>
    <col min="7" max="7" width="18.85546875" customWidth="1"/>
    <col min="8" max="8" width="30.7109375" customWidth="1"/>
    <col min="9" max="9" width="18.7109375" customWidth="1"/>
    <col min="10" max="10" width="12.5703125" bestFit="1" customWidth="1"/>
  </cols>
  <sheetData>
    <row r="1" spans="1:10">
      <c r="A1" s="35" t="s">
        <v>189</v>
      </c>
      <c r="B1" s="35"/>
      <c r="C1" s="35"/>
      <c r="D1" s="35"/>
      <c r="E1" s="35"/>
      <c r="F1" s="35"/>
      <c r="G1" s="35" t="s">
        <v>190</v>
      </c>
      <c r="H1" s="35"/>
      <c r="I1" s="35"/>
      <c r="J1" s="35"/>
    </row>
    <row r="2" spans="1:10">
      <c r="A2" s="35" t="s">
        <v>0</v>
      </c>
      <c r="B2" s="35" t="s">
        <v>1</v>
      </c>
      <c r="C2" s="16" t="s">
        <v>4</v>
      </c>
      <c r="D2" s="16" t="s">
        <v>5</v>
      </c>
      <c r="E2" s="35"/>
      <c r="F2" s="35"/>
      <c r="G2" s="19" t="s">
        <v>0</v>
      </c>
      <c r="H2" s="20" t="s">
        <v>1</v>
      </c>
      <c r="I2" s="16" t="s">
        <v>4</v>
      </c>
      <c r="J2" s="21" t="s">
        <v>5</v>
      </c>
    </row>
    <row r="3" spans="1:10">
      <c r="A3" s="35" t="s">
        <v>17</v>
      </c>
      <c r="B3" s="35" t="s">
        <v>46</v>
      </c>
      <c r="C3" s="13">
        <v>402.05</v>
      </c>
      <c r="D3" s="13">
        <v>10.24</v>
      </c>
      <c r="E3" s="35"/>
      <c r="F3" s="35"/>
      <c r="G3" s="35" t="s">
        <v>38</v>
      </c>
      <c r="H3" s="35" t="s">
        <v>72</v>
      </c>
      <c r="I3" s="15">
        <v>140.29</v>
      </c>
      <c r="J3" s="15">
        <v>1.93</v>
      </c>
    </row>
    <row r="4" spans="1:10">
      <c r="A4" s="35" t="s">
        <v>17</v>
      </c>
      <c r="B4" s="35" t="s">
        <v>54</v>
      </c>
      <c r="C4" s="15">
        <v>339.52</v>
      </c>
      <c r="D4" s="15">
        <v>8.5</v>
      </c>
      <c r="E4" s="35"/>
      <c r="F4" s="35"/>
      <c r="G4" s="35" t="s">
        <v>38</v>
      </c>
      <c r="H4" s="35" t="s">
        <v>160</v>
      </c>
      <c r="I4" s="13">
        <v>12.87</v>
      </c>
      <c r="J4" s="13">
        <v>0.52</v>
      </c>
    </row>
    <row r="5" spans="1:10">
      <c r="A5" s="35"/>
      <c r="B5" s="35"/>
      <c r="C5" s="13"/>
      <c r="D5" s="13"/>
      <c r="E5" s="35"/>
      <c r="F5" s="35"/>
      <c r="G5" s="35" t="s">
        <v>38</v>
      </c>
      <c r="H5" s="35" t="s">
        <v>134</v>
      </c>
      <c r="I5" s="15">
        <v>44.98</v>
      </c>
      <c r="J5" s="15">
        <v>2.09</v>
      </c>
    </row>
    <row r="6" spans="1:10">
      <c r="A6" s="35"/>
      <c r="B6" s="35"/>
      <c r="C6" s="15"/>
      <c r="D6" s="15"/>
      <c r="E6" s="35"/>
      <c r="F6" s="35"/>
      <c r="G6" s="35" t="s">
        <v>38</v>
      </c>
      <c r="H6" s="35" t="s">
        <v>161</v>
      </c>
      <c r="I6" s="13">
        <v>12.87</v>
      </c>
      <c r="J6" s="13">
        <v>0.52</v>
      </c>
    </row>
    <row r="7" spans="1:10">
      <c r="A7" s="35" t="s">
        <v>17</v>
      </c>
      <c r="B7" s="35" t="s">
        <v>35</v>
      </c>
      <c r="C7" s="13">
        <v>512.16999999999996</v>
      </c>
      <c r="D7" s="13">
        <v>15.3</v>
      </c>
      <c r="E7" s="35"/>
      <c r="F7" s="35"/>
      <c r="G7" s="35" t="s">
        <v>38</v>
      </c>
      <c r="H7" s="35" t="s">
        <v>159</v>
      </c>
      <c r="I7" s="15">
        <v>23.07</v>
      </c>
      <c r="J7" s="15">
        <v>0.94</v>
      </c>
    </row>
    <row r="8" spans="1:10">
      <c r="A8" s="35"/>
      <c r="B8" s="35"/>
      <c r="C8" s="15"/>
      <c r="D8" s="15"/>
      <c r="E8" s="35"/>
      <c r="F8" s="35"/>
      <c r="G8" s="35" t="s">
        <v>38</v>
      </c>
      <c r="H8" s="35" t="s">
        <v>158</v>
      </c>
      <c r="I8" s="13">
        <v>26.71</v>
      </c>
      <c r="J8" s="13">
        <v>1.0900000000000001</v>
      </c>
    </row>
    <row r="9" spans="1:10">
      <c r="A9" s="35" t="s">
        <v>17</v>
      </c>
      <c r="B9" s="35" t="s">
        <v>52</v>
      </c>
      <c r="C9" s="13">
        <v>356.09</v>
      </c>
      <c r="D9" s="13">
        <v>7.91</v>
      </c>
      <c r="E9" s="35"/>
      <c r="F9" s="35"/>
      <c r="G9" s="35" t="s">
        <v>38</v>
      </c>
      <c r="H9" s="35" t="s">
        <v>110</v>
      </c>
      <c r="I9" s="15">
        <v>125.25</v>
      </c>
      <c r="J9" s="15">
        <v>6.02</v>
      </c>
    </row>
    <row r="10" spans="1:10">
      <c r="A10" s="35" t="s">
        <v>17</v>
      </c>
      <c r="B10" s="35" t="s">
        <v>65</v>
      </c>
      <c r="C10" s="15">
        <v>228.21</v>
      </c>
      <c r="D10" s="15">
        <v>5.45</v>
      </c>
      <c r="E10" s="35"/>
      <c r="F10" s="35"/>
      <c r="G10" s="35" t="s">
        <v>38</v>
      </c>
      <c r="H10" s="35" t="s">
        <v>98</v>
      </c>
      <c r="I10" s="13">
        <v>183.61</v>
      </c>
      <c r="J10" s="13">
        <v>8.7899999999999991</v>
      </c>
    </row>
    <row r="11" spans="1:10">
      <c r="A11" s="35" t="s">
        <v>17</v>
      </c>
      <c r="B11" s="35" t="s">
        <v>42</v>
      </c>
      <c r="C11" s="13">
        <v>400.8</v>
      </c>
      <c r="D11" s="13">
        <v>15.66</v>
      </c>
      <c r="E11" s="35"/>
      <c r="F11" s="35"/>
      <c r="G11" s="35" t="s">
        <v>67</v>
      </c>
      <c r="H11" s="35" t="s">
        <v>89</v>
      </c>
      <c r="I11" s="15">
        <v>219.36</v>
      </c>
      <c r="J11" s="15">
        <v>10.51</v>
      </c>
    </row>
    <row r="12" spans="1:10">
      <c r="A12" s="35" t="s">
        <v>17</v>
      </c>
      <c r="B12" s="35" t="s">
        <v>55</v>
      </c>
      <c r="C12" s="15">
        <v>348.11</v>
      </c>
      <c r="D12" s="15">
        <v>15.44</v>
      </c>
      <c r="E12" s="35"/>
      <c r="F12" s="35"/>
      <c r="G12" s="35" t="s">
        <v>67</v>
      </c>
      <c r="H12" s="35" t="s">
        <v>104</v>
      </c>
      <c r="I12" s="13">
        <v>147.72</v>
      </c>
      <c r="J12" s="13">
        <v>7.12</v>
      </c>
    </row>
    <row r="13" spans="1:10">
      <c r="A13" s="35" t="s">
        <v>17</v>
      </c>
      <c r="B13" s="35" t="s">
        <v>36</v>
      </c>
      <c r="C13" s="13">
        <v>451.92</v>
      </c>
      <c r="D13" s="13">
        <v>21.46</v>
      </c>
      <c r="E13" s="35"/>
      <c r="F13" s="35"/>
      <c r="G13" s="35" t="s">
        <v>67</v>
      </c>
      <c r="H13" s="35" t="s">
        <v>96</v>
      </c>
      <c r="I13" s="15">
        <v>190.03</v>
      </c>
      <c r="J13" s="15">
        <v>9.1</v>
      </c>
    </row>
    <row r="14" spans="1:10">
      <c r="A14" s="35" t="s">
        <v>17</v>
      </c>
      <c r="B14" s="35" t="s">
        <v>31</v>
      </c>
      <c r="C14" s="15">
        <v>567.19000000000005</v>
      </c>
      <c r="D14" s="15">
        <v>23.74</v>
      </c>
      <c r="E14" s="35"/>
      <c r="F14" s="35"/>
      <c r="G14" s="35" t="s">
        <v>67</v>
      </c>
      <c r="H14" s="35" t="s">
        <v>88</v>
      </c>
      <c r="I14" s="13">
        <v>232.2</v>
      </c>
      <c r="J14" s="13">
        <v>11.14</v>
      </c>
    </row>
    <row r="15" spans="1:10">
      <c r="A15" s="35"/>
      <c r="B15" s="35"/>
      <c r="C15" s="13"/>
      <c r="D15" s="13"/>
      <c r="E15" s="35"/>
      <c r="F15" s="35"/>
      <c r="G15" s="35" t="s">
        <v>67</v>
      </c>
      <c r="H15" s="35" t="s">
        <v>99</v>
      </c>
      <c r="I15" s="15">
        <v>166.99</v>
      </c>
      <c r="J15" s="15">
        <v>8.06</v>
      </c>
    </row>
    <row r="16" spans="1:10">
      <c r="A16" s="35" t="s">
        <v>17</v>
      </c>
      <c r="B16" s="35" t="s">
        <v>32</v>
      </c>
      <c r="C16" s="15">
        <v>446.95</v>
      </c>
      <c r="D16" s="15">
        <v>20.29</v>
      </c>
      <c r="E16" s="35"/>
      <c r="F16" s="35"/>
      <c r="G16" s="35" t="s">
        <v>67</v>
      </c>
      <c r="H16" s="35" t="s">
        <v>90</v>
      </c>
      <c r="I16" s="13">
        <v>215.72</v>
      </c>
      <c r="J16" s="13">
        <v>10.36</v>
      </c>
    </row>
    <row r="17" spans="1:10">
      <c r="A17" s="35" t="s">
        <v>17</v>
      </c>
      <c r="B17" s="35" t="s">
        <v>53</v>
      </c>
      <c r="C17" s="13">
        <v>357.05</v>
      </c>
      <c r="D17" s="13">
        <v>8.64</v>
      </c>
      <c r="E17" s="35"/>
      <c r="F17" s="35"/>
      <c r="G17" s="35" t="s">
        <v>67</v>
      </c>
      <c r="H17" s="35" t="s">
        <v>83</v>
      </c>
      <c r="I17" s="15">
        <v>251.47</v>
      </c>
      <c r="J17" s="15">
        <v>12.08</v>
      </c>
    </row>
    <row r="18" spans="1:10">
      <c r="A18" s="35" t="s">
        <v>17</v>
      </c>
      <c r="B18" s="35" t="s">
        <v>63</v>
      </c>
      <c r="C18" s="15">
        <v>230.95</v>
      </c>
      <c r="D18" s="15">
        <v>5.67</v>
      </c>
      <c r="E18" s="35"/>
      <c r="F18" s="35"/>
      <c r="G18" s="35" t="s">
        <v>67</v>
      </c>
      <c r="H18" s="35" t="s">
        <v>97</v>
      </c>
      <c r="I18" s="13">
        <v>185.85</v>
      </c>
      <c r="J18" s="13">
        <v>7.15</v>
      </c>
    </row>
    <row r="19" spans="1:10">
      <c r="A19" s="35" t="s">
        <v>17</v>
      </c>
      <c r="B19" s="35" t="s">
        <v>43</v>
      </c>
      <c r="C19" s="13">
        <v>290.42</v>
      </c>
      <c r="D19" s="13">
        <v>12.45</v>
      </c>
      <c r="E19" s="35"/>
      <c r="F19" s="35"/>
      <c r="G19" s="35" t="s">
        <v>67</v>
      </c>
      <c r="H19" s="35" t="s">
        <v>86</v>
      </c>
      <c r="I19" s="15">
        <v>244</v>
      </c>
      <c r="J19" s="15">
        <v>8.99</v>
      </c>
    </row>
    <row r="20" spans="1:10">
      <c r="A20" s="35" t="s">
        <v>17</v>
      </c>
      <c r="B20" s="35" t="s">
        <v>64</v>
      </c>
      <c r="C20" s="15">
        <v>282.98</v>
      </c>
      <c r="D20" s="15">
        <v>12.29</v>
      </c>
      <c r="E20" s="35"/>
      <c r="F20" s="35"/>
      <c r="G20" s="35" t="s">
        <v>67</v>
      </c>
      <c r="H20" s="35" t="s">
        <v>78</v>
      </c>
      <c r="I20" s="13">
        <v>302.02</v>
      </c>
      <c r="J20" s="13">
        <v>10.88</v>
      </c>
    </row>
    <row r="21" spans="1:10">
      <c r="A21" s="35" t="s">
        <v>17</v>
      </c>
      <c r="B21" s="35" t="s">
        <v>18</v>
      </c>
      <c r="C21" s="13">
        <v>720.3</v>
      </c>
      <c r="D21" s="13">
        <v>26.91</v>
      </c>
      <c r="E21" s="35"/>
      <c r="F21" s="35"/>
      <c r="G21" s="35" t="s">
        <v>67</v>
      </c>
      <c r="H21" s="35" t="s">
        <v>108</v>
      </c>
      <c r="I21" s="15">
        <v>143.5</v>
      </c>
      <c r="J21" s="15">
        <v>3.87</v>
      </c>
    </row>
    <row r="22" spans="1:10">
      <c r="A22" s="35" t="s">
        <v>17</v>
      </c>
      <c r="B22" s="35" t="s">
        <v>37</v>
      </c>
      <c r="C22" s="15">
        <v>248.76</v>
      </c>
      <c r="D22" s="15">
        <v>17.329999999999998</v>
      </c>
      <c r="E22" s="35"/>
      <c r="F22" s="35"/>
      <c r="G22" s="35" t="s">
        <v>67</v>
      </c>
      <c r="H22" s="35" t="s">
        <v>87</v>
      </c>
      <c r="I22" s="13">
        <v>239.42</v>
      </c>
      <c r="J22" s="13">
        <v>6.73</v>
      </c>
    </row>
    <row r="23" spans="1:10">
      <c r="A23" s="35" t="s">
        <v>17</v>
      </c>
      <c r="B23" s="35" t="s">
        <v>69</v>
      </c>
      <c r="C23" s="13">
        <v>169.68</v>
      </c>
      <c r="D23" s="13">
        <v>10.029999999999999</v>
      </c>
      <c r="E23" s="35"/>
      <c r="F23" s="35"/>
      <c r="G23" s="35" t="s">
        <v>67</v>
      </c>
      <c r="H23" s="35" t="s">
        <v>79</v>
      </c>
      <c r="I23" s="15">
        <v>296.81</v>
      </c>
      <c r="J23" s="15">
        <v>7.7</v>
      </c>
    </row>
    <row r="24" spans="1:10">
      <c r="A24" s="35" t="s">
        <v>17</v>
      </c>
      <c r="B24" s="35" t="s">
        <v>59</v>
      </c>
      <c r="C24" s="15">
        <v>254.52</v>
      </c>
      <c r="D24" s="15">
        <v>15.04</v>
      </c>
      <c r="E24" s="35"/>
      <c r="F24" s="35"/>
      <c r="G24" s="35" t="s">
        <v>67</v>
      </c>
      <c r="H24" s="35" t="s">
        <v>73</v>
      </c>
      <c r="I24" s="13">
        <v>383.29</v>
      </c>
      <c r="J24" s="13">
        <v>11.01</v>
      </c>
    </row>
    <row r="25" spans="1:10">
      <c r="A25" s="35" t="s">
        <v>17</v>
      </c>
      <c r="B25" s="35" t="s">
        <v>47</v>
      </c>
      <c r="C25" s="13">
        <v>381.77</v>
      </c>
      <c r="D25" s="13">
        <v>22.56</v>
      </c>
      <c r="E25" s="35"/>
      <c r="F25" s="35"/>
      <c r="G25" s="35" t="s">
        <v>67</v>
      </c>
      <c r="H25" s="35" t="s">
        <v>117</v>
      </c>
      <c r="I25" s="15">
        <v>214.21</v>
      </c>
      <c r="J25" s="15">
        <v>6.15</v>
      </c>
    </row>
    <row r="26" spans="1:10">
      <c r="A26" s="35" t="s">
        <v>17</v>
      </c>
      <c r="B26" s="35" t="s">
        <v>58</v>
      </c>
      <c r="C26" s="15">
        <v>164.44</v>
      </c>
      <c r="D26" s="15">
        <v>10.17</v>
      </c>
      <c r="E26" s="35"/>
      <c r="F26" s="35"/>
      <c r="G26" s="35" t="s">
        <v>67</v>
      </c>
      <c r="H26" s="35" t="s">
        <v>116</v>
      </c>
      <c r="I26" s="13">
        <v>255.78</v>
      </c>
      <c r="J26" s="13">
        <v>6.87</v>
      </c>
    </row>
    <row r="27" spans="1:10">
      <c r="A27" s="35" t="s">
        <v>17</v>
      </c>
      <c r="B27" s="35" t="s">
        <v>45</v>
      </c>
      <c r="C27" s="13">
        <v>246.65</v>
      </c>
      <c r="D27" s="13">
        <v>15.26</v>
      </c>
      <c r="E27" s="35"/>
      <c r="F27" s="35"/>
      <c r="G27" s="35" t="s">
        <v>67</v>
      </c>
      <c r="H27" s="35" t="s">
        <v>149</v>
      </c>
      <c r="I27" s="15">
        <v>9.93</v>
      </c>
      <c r="J27" s="15">
        <v>0.56000000000000005</v>
      </c>
    </row>
    <row r="28" spans="1:10">
      <c r="A28" s="35" t="s">
        <v>17</v>
      </c>
      <c r="B28" s="35" t="s">
        <v>27</v>
      </c>
      <c r="C28" s="15">
        <v>411.09</v>
      </c>
      <c r="D28" s="15">
        <v>25.43</v>
      </c>
      <c r="E28" s="35"/>
      <c r="F28" s="35"/>
      <c r="G28" s="35" t="s">
        <v>67</v>
      </c>
      <c r="H28" s="35" t="s">
        <v>144</v>
      </c>
      <c r="I28" s="13">
        <v>11.75</v>
      </c>
      <c r="J28" s="13">
        <v>0.66</v>
      </c>
    </row>
    <row r="29" spans="1:10">
      <c r="A29" s="35" t="s">
        <v>38</v>
      </c>
      <c r="B29" s="35" t="s">
        <v>39</v>
      </c>
      <c r="C29" s="13">
        <v>309.35000000000002</v>
      </c>
      <c r="D29" s="13">
        <v>10.220000000000001</v>
      </c>
      <c r="E29" s="35"/>
      <c r="F29" s="35"/>
      <c r="G29" s="35" t="s">
        <v>67</v>
      </c>
      <c r="H29" s="35" t="s">
        <v>140</v>
      </c>
      <c r="I29" s="15">
        <v>16.23</v>
      </c>
      <c r="J29" s="15">
        <v>0.91</v>
      </c>
    </row>
    <row r="30" spans="1:10">
      <c r="A30" s="35" t="s">
        <v>38</v>
      </c>
      <c r="B30" s="35" t="s">
        <v>50</v>
      </c>
      <c r="C30" s="15">
        <v>273.77999999999997</v>
      </c>
      <c r="D30" s="15">
        <v>9.58</v>
      </c>
      <c r="E30" s="35"/>
      <c r="F30" s="35"/>
      <c r="G30" s="35" t="s">
        <v>67</v>
      </c>
      <c r="H30" s="35" t="s">
        <v>146</v>
      </c>
      <c r="I30" s="13">
        <v>6.25</v>
      </c>
      <c r="J30" s="13">
        <v>0.33</v>
      </c>
    </row>
    <row r="31" spans="1:10">
      <c r="A31" s="35" t="s">
        <v>38</v>
      </c>
      <c r="B31" s="35" t="s">
        <v>41</v>
      </c>
      <c r="C31" s="13">
        <v>278.27</v>
      </c>
      <c r="D31" s="13">
        <v>11.49</v>
      </c>
      <c r="E31" s="35"/>
      <c r="F31" s="35"/>
      <c r="G31" s="35" t="s">
        <v>67</v>
      </c>
      <c r="H31" s="35" t="s">
        <v>142</v>
      </c>
      <c r="I31" s="15">
        <v>7.39</v>
      </c>
      <c r="J31" s="15">
        <v>0.4</v>
      </c>
    </row>
    <row r="32" spans="1:10">
      <c r="A32" s="35" t="s">
        <v>38</v>
      </c>
      <c r="B32" s="35" t="s">
        <v>44</v>
      </c>
      <c r="C32" s="15">
        <v>281.44</v>
      </c>
      <c r="D32" s="15">
        <v>16.25</v>
      </c>
      <c r="E32" s="35"/>
      <c r="F32" s="35"/>
      <c r="G32" s="35" t="s">
        <v>67</v>
      </c>
      <c r="H32" s="35" t="s">
        <v>137</v>
      </c>
      <c r="I32" s="13">
        <v>10.210000000000001</v>
      </c>
      <c r="J32" s="13">
        <v>0.55000000000000004</v>
      </c>
    </row>
    <row r="33" spans="1:10">
      <c r="A33" s="35" t="s">
        <v>38</v>
      </c>
      <c r="B33" s="35" t="s">
        <v>40</v>
      </c>
      <c r="C33" s="13">
        <v>290.42</v>
      </c>
      <c r="D33" s="13">
        <v>22.46</v>
      </c>
      <c r="E33" s="35"/>
      <c r="F33" s="35"/>
      <c r="G33" s="35" t="s">
        <v>67</v>
      </c>
      <c r="H33" s="35" t="s">
        <v>147</v>
      </c>
      <c r="I33" s="15">
        <v>7.03</v>
      </c>
      <c r="J33" s="15">
        <v>0.47</v>
      </c>
    </row>
    <row r="34" spans="1:10">
      <c r="A34" s="35" t="s">
        <v>38</v>
      </c>
      <c r="B34" s="35" t="s">
        <v>56</v>
      </c>
      <c r="C34" s="15">
        <v>283.45999999999998</v>
      </c>
      <c r="D34" s="15">
        <v>14.05</v>
      </c>
      <c r="E34" s="35"/>
      <c r="F34" s="35"/>
      <c r="G34" s="35" t="s">
        <v>67</v>
      </c>
      <c r="H34" s="35" t="s">
        <v>143</v>
      </c>
      <c r="I34" s="13">
        <v>8.32</v>
      </c>
      <c r="J34" s="13">
        <v>0.56000000000000005</v>
      </c>
    </row>
    <row r="35" spans="1:10">
      <c r="A35" s="12" t="s">
        <v>19</v>
      </c>
      <c r="B35" s="13" t="s">
        <v>26</v>
      </c>
      <c r="C35" s="13">
        <v>457.94</v>
      </c>
      <c r="D35" s="13">
        <v>24.43</v>
      </c>
      <c r="E35" s="35"/>
      <c r="F35" s="35"/>
      <c r="G35" s="35" t="s">
        <v>67</v>
      </c>
      <c r="H35" s="35" t="s">
        <v>139</v>
      </c>
      <c r="I35" s="15">
        <v>11.49</v>
      </c>
      <c r="J35" s="15">
        <v>0.78</v>
      </c>
    </row>
    <row r="36" spans="1:10">
      <c r="A36" s="14" t="s">
        <v>19</v>
      </c>
      <c r="B36" s="15" t="s">
        <v>28</v>
      </c>
      <c r="C36" s="15">
        <v>524.69000000000005</v>
      </c>
      <c r="D36" s="15">
        <v>19.54</v>
      </c>
      <c r="E36" s="35"/>
      <c r="F36" s="35"/>
      <c r="G36" s="35" t="s">
        <v>67</v>
      </c>
      <c r="H36" s="35" t="s">
        <v>151</v>
      </c>
      <c r="I36" s="13">
        <v>121.86</v>
      </c>
      <c r="J36" s="13">
        <v>0.27</v>
      </c>
    </row>
    <row r="37" spans="1:10">
      <c r="A37" s="12"/>
      <c r="B37" s="13"/>
      <c r="C37" s="13"/>
      <c r="D37" s="13"/>
      <c r="E37" s="35"/>
      <c r="F37" s="35"/>
      <c r="G37" s="35" t="s">
        <v>67</v>
      </c>
      <c r="H37" s="35" t="s">
        <v>152</v>
      </c>
      <c r="I37" s="15">
        <v>94.95</v>
      </c>
      <c r="J37" s="15">
        <v>0.24</v>
      </c>
    </row>
    <row r="38" spans="1:10">
      <c r="A38" s="14"/>
      <c r="B38" s="15"/>
      <c r="C38" s="15"/>
      <c r="D38" s="15"/>
      <c r="E38" s="35"/>
      <c r="F38" s="35"/>
      <c r="G38" s="35" t="s">
        <v>67</v>
      </c>
      <c r="H38" s="35" t="s">
        <v>153</v>
      </c>
      <c r="I38" s="13">
        <v>94.94</v>
      </c>
      <c r="J38" s="13">
        <v>0.24</v>
      </c>
    </row>
    <row r="39" spans="1:10">
      <c r="A39" s="12"/>
      <c r="B39" s="13"/>
      <c r="C39" s="13"/>
      <c r="D39" s="13"/>
      <c r="E39" s="35"/>
      <c r="F39" s="35"/>
      <c r="G39" s="35" t="s">
        <v>67</v>
      </c>
      <c r="H39" s="35" t="s">
        <v>113</v>
      </c>
      <c r="I39" s="15">
        <v>185.34</v>
      </c>
      <c r="J39" s="15">
        <v>4.3600000000000003</v>
      </c>
    </row>
    <row r="40" spans="1:10">
      <c r="A40" s="14"/>
      <c r="B40" s="15"/>
      <c r="C40" s="15"/>
      <c r="D40" s="15"/>
      <c r="E40" s="35"/>
      <c r="F40" s="35"/>
      <c r="G40" s="35" t="s">
        <v>67</v>
      </c>
      <c r="H40" s="35" t="s">
        <v>80</v>
      </c>
      <c r="I40" s="13">
        <v>331.17</v>
      </c>
      <c r="J40" s="13">
        <v>4.9800000000000004</v>
      </c>
    </row>
    <row r="41" spans="1:10">
      <c r="A41" s="12"/>
      <c r="B41" s="13"/>
      <c r="C41" s="13"/>
      <c r="D41" s="13"/>
      <c r="E41" s="35"/>
      <c r="F41" s="35"/>
      <c r="G41" s="35" t="s">
        <v>67</v>
      </c>
      <c r="H41" s="35" t="s">
        <v>75</v>
      </c>
      <c r="I41" s="15">
        <v>397.98</v>
      </c>
      <c r="J41" s="15">
        <v>5.49</v>
      </c>
    </row>
    <row r="42" spans="1:10">
      <c r="A42" s="14" t="s">
        <v>19</v>
      </c>
      <c r="B42" s="15" t="s">
        <v>163</v>
      </c>
      <c r="C42" s="15">
        <v>443.4</v>
      </c>
      <c r="D42" s="15">
        <v>25.63</v>
      </c>
      <c r="E42" s="35"/>
      <c r="F42" s="35"/>
      <c r="G42" s="35" t="s">
        <v>67</v>
      </c>
      <c r="H42" s="35" t="s">
        <v>68</v>
      </c>
      <c r="I42" s="13">
        <v>481.11</v>
      </c>
      <c r="J42" s="13">
        <v>6.03</v>
      </c>
    </row>
    <row r="43" spans="1:10">
      <c r="A43" s="12" t="s">
        <v>19</v>
      </c>
      <c r="B43" s="13" t="s">
        <v>29</v>
      </c>
      <c r="C43" s="13">
        <v>517.98</v>
      </c>
      <c r="D43" s="13">
        <v>11.97</v>
      </c>
      <c r="E43" s="35"/>
      <c r="F43" s="35"/>
      <c r="G43" s="35" t="s">
        <v>67</v>
      </c>
      <c r="H43" s="35" t="s">
        <v>95</v>
      </c>
      <c r="I43" s="15">
        <v>255.51</v>
      </c>
      <c r="J43" s="15">
        <v>3.67</v>
      </c>
    </row>
    <row r="44" spans="1:10">
      <c r="A44" s="14" t="s">
        <v>19</v>
      </c>
      <c r="B44" s="15" t="s">
        <v>60</v>
      </c>
      <c r="C44" s="15">
        <v>252.29</v>
      </c>
      <c r="D44" s="15">
        <v>8.48</v>
      </c>
      <c r="E44" s="35"/>
      <c r="F44" s="35"/>
      <c r="G44" s="35" t="s">
        <v>67</v>
      </c>
      <c r="H44" s="35" t="s">
        <v>85</v>
      </c>
      <c r="I44" s="13">
        <v>270.89999999999998</v>
      </c>
      <c r="J44" s="13">
        <v>4.16</v>
      </c>
    </row>
    <row r="45" spans="1:10">
      <c r="A45" s="17" t="s">
        <v>19</v>
      </c>
      <c r="B45" s="18" t="s">
        <v>49</v>
      </c>
      <c r="C45" s="18">
        <v>378.43</v>
      </c>
      <c r="D45" s="18">
        <v>12.72</v>
      </c>
      <c r="E45" s="35"/>
      <c r="F45" s="35"/>
      <c r="G45" s="35" t="s">
        <v>67</v>
      </c>
      <c r="H45" s="35" t="s">
        <v>111</v>
      </c>
      <c r="I45" s="15">
        <v>231.44</v>
      </c>
      <c r="J45" s="15">
        <v>3.21</v>
      </c>
    </row>
    <row r="46" spans="1:10">
      <c r="A46" s="12"/>
      <c r="B46" s="13"/>
      <c r="C46" s="35"/>
      <c r="D46" s="35"/>
      <c r="E46" s="35"/>
      <c r="F46" s="35"/>
      <c r="G46" s="35" t="s">
        <v>67</v>
      </c>
      <c r="H46" s="35" t="s">
        <v>109</v>
      </c>
      <c r="I46" s="13">
        <v>235.43</v>
      </c>
      <c r="J46" s="13">
        <v>3.33</v>
      </c>
    </row>
    <row r="47" spans="1:10">
      <c r="A47" s="14"/>
      <c r="B47" s="15"/>
      <c r="C47" s="35"/>
      <c r="D47" s="35"/>
      <c r="E47" s="35"/>
      <c r="F47" s="35"/>
      <c r="G47" s="35" t="s">
        <v>67</v>
      </c>
      <c r="H47" s="35" t="s">
        <v>106</v>
      </c>
      <c r="I47" s="15">
        <v>102.38</v>
      </c>
      <c r="J47" s="15">
        <v>0.14000000000000001</v>
      </c>
    </row>
    <row r="48" spans="1:10">
      <c r="A48" s="12"/>
      <c r="B48" s="13"/>
      <c r="C48" s="35"/>
      <c r="D48" s="35"/>
      <c r="E48" s="35"/>
      <c r="F48" s="35"/>
      <c r="G48" s="35" t="s">
        <v>67</v>
      </c>
      <c r="H48" s="35" t="s">
        <v>138</v>
      </c>
      <c r="I48" s="13">
        <v>103.85</v>
      </c>
      <c r="J48" s="13">
        <v>0.16</v>
      </c>
    </row>
    <row r="49" spans="1:10">
      <c r="A49" s="14"/>
      <c r="B49" s="15"/>
      <c r="C49" s="35"/>
      <c r="D49" s="35"/>
      <c r="E49" s="35"/>
      <c r="F49" s="35"/>
      <c r="G49" s="35" t="s">
        <v>67</v>
      </c>
      <c r="H49" s="35" t="s">
        <v>119</v>
      </c>
      <c r="I49" s="15">
        <v>128.21</v>
      </c>
      <c r="J49" s="15">
        <v>7.0000000000000007E-2</v>
      </c>
    </row>
    <row r="50" spans="1:10">
      <c r="A50" s="12"/>
      <c r="B50" s="13"/>
      <c r="C50" s="35"/>
      <c r="D50" s="35"/>
      <c r="E50" s="35"/>
      <c r="F50" s="35"/>
      <c r="G50" s="35" t="s">
        <v>67</v>
      </c>
      <c r="H50" s="35" t="s">
        <v>122</v>
      </c>
      <c r="I50" s="13">
        <v>150.85</v>
      </c>
      <c r="J50" s="13">
        <v>3.59</v>
      </c>
    </row>
    <row r="51" spans="1:10">
      <c r="A51" s="14"/>
      <c r="B51" s="15"/>
      <c r="C51" s="35"/>
      <c r="D51" s="35"/>
      <c r="E51" s="35"/>
      <c r="F51" s="35"/>
      <c r="G51" s="35" t="s">
        <v>67</v>
      </c>
      <c r="H51" s="35" t="s">
        <v>82</v>
      </c>
      <c r="I51" s="15">
        <v>398.19</v>
      </c>
      <c r="J51" s="15">
        <v>5.67</v>
      </c>
    </row>
    <row r="52" spans="1:10">
      <c r="A52" s="12"/>
      <c r="B52" s="13"/>
      <c r="C52" s="35"/>
      <c r="D52" s="35"/>
      <c r="E52" s="35"/>
      <c r="F52" s="35"/>
      <c r="G52" s="35" t="s">
        <v>67</v>
      </c>
      <c r="H52" s="35" t="s">
        <v>130</v>
      </c>
      <c r="I52" s="13">
        <v>85.73</v>
      </c>
      <c r="J52" s="13">
        <v>1.99</v>
      </c>
    </row>
    <row r="53" spans="1:10">
      <c r="A53" s="14"/>
      <c r="B53" s="15"/>
      <c r="C53" s="35"/>
      <c r="D53" s="35"/>
      <c r="E53" s="35"/>
      <c r="F53" s="35"/>
      <c r="G53" s="35" t="s">
        <v>67</v>
      </c>
      <c r="H53" s="35" t="s">
        <v>124</v>
      </c>
      <c r="I53" s="15">
        <v>160.13999999999999</v>
      </c>
      <c r="J53" s="15">
        <v>2.71</v>
      </c>
    </row>
    <row r="54" spans="1:10">
      <c r="A54" s="12"/>
      <c r="B54" s="13"/>
      <c r="C54" s="35"/>
      <c r="D54" s="35"/>
      <c r="E54" s="35"/>
      <c r="F54" s="35"/>
      <c r="G54" s="35" t="s">
        <v>67</v>
      </c>
      <c r="H54" s="35" t="s">
        <v>120</v>
      </c>
      <c r="I54" s="13">
        <v>121.64</v>
      </c>
      <c r="J54" s="13">
        <v>2.25</v>
      </c>
    </row>
    <row r="55" spans="1:10">
      <c r="A55" s="14"/>
      <c r="B55" s="15"/>
      <c r="C55" s="35"/>
      <c r="D55" s="35"/>
      <c r="E55" s="35"/>
      <c r="F55" s="35"/>
      <c r="G55" s="35" t="s">
        <v>67</v>
      </c>
      <c r="H55" s="35" t="s">
        <v>101</v>
      </c>
      <c r="I55" s="15">
        <v>197.45</v>
      </c>
      <c r="J55" s="15">
        <v>3.49</v>
      </c>
    </row>
    <row r="56" spans="1:10">
      <c r="A56" s="12"/>
      <c r="B56" s="13"/>
      <c r="C56" s="35"/>
      <c r="D56" s="35"/>
      <c r="E56" s="35"/>
      <c r="F56" s="35"/>
      <c r="G56" s="35" t="s">
        <v>67</v>
      </c>
      <c r="H56" s="35" t="s">
        <v>132</v>
      </c>
      <c r="I56" s="13">
        <v>100.99</v>
      </c>
      <c r="J56" s="13">
        <v>1.54</v>
      </c>
    </row>
    <row r="57" spans="1:10">
      <c r="A57" s="14"/>
      <c r="B57" s="15"/>
      <c r="C57" s="35"/>
      <c r="D57" s="35"/>
      <c r="E57" s="35"/>
      <c r="F57" s="35"/>
      <c r="G57" s="35" t="s">
        <v>67</v>
      </c>
      <c r="H57" s="35" t="s">
        <v>126</v>
      </c>
      <c r="I57" s="15">
        <v>156.13999999999999</v>
      </c>
      <c r="J57" s="15">
        <v>2.0499999999999998</v>
      </c>
    </row>
    <row r="58" spans="1:10">
      <c r="A58" s="12"/>
      <c r="B58" s="13"/>
      <c r="C58" s="35"/>
      <c r="D58" s="35"/>
      <c r="E58" s="35"/>
      <c r="F58" s="35"/>
      <c r="G58" s="35" t="s">
        <v>67</v>
      </c>
      <c r="H58" s="35" t="s">
        <v>107</v>
      </c>
      <c r="I58" s="13">
        <v>205.26</v>
      </c>
      <c r="J58" s="13">
        <v>3.2</v>
      </c>
    </row>
    <row r="59" spans="1:10">
      <c r="A59" s="14"/>
      <c r="B59" s="15"/>
      <c r="C59" s="35"/>
      <c r="D59" s="35"/>
      <c r="E59" s="35"/>
      <c r="F59" s="35"/>
      <c r="G59" s="35" t="s">
        <v>67</v>
      </c>
      <c r="H59" s="35" t="s">
        <v>94</v>
      </c>
      <c r="I59" s="15">
        <v>311.39</v>
      </c>
      <c r="J59" s="15">
        <v>4.6500000000000004</v>
      </c>
    </row>
    <row r="60" spans="1:10">
      <c r="A60" s="12"/>
      <c r="B60" s="13"/>
      <c r="C60" s="35"/>
      <c r="D60" s="35"/>
      <c r="E60" s="35"/>
      <c r="F60" s="35"/>
      <c r="G60" s="35" t="s">
        <v>67</v>
      </c>
      <c r="H60" s="35" t="s">
        <v>105</v>
      </c>
      <c r="I60" s="13">
        <v>237.89</v>
      </c>
      <c r="J60" s="13">
        <v>3.22</v>
      </c>
    </row>
    <row r="61" spans="1:10">
      <c r="A61" s="14"/>
      <c r="B61" s="15"/>
      <c r="C61" s="35"/>
      <c r="D61" s="35"/>
      <c r="E61" s="35"/>
      <c r="F61" s="35"/>
      <c r="G61" s="35" t="s">
        <v>67</v>
      </c>
      <c r="H61" s="35" t="s">
        <v>81</v>
      </c>
      <c r="I61" s="15">
        <v>429.95</v>
      </c>
      <c r="J61" s="15">
        <v>5.42</v>
      </c>
    </row>
    <row r="62" spans="1:10">
      <c r="A62" s="12"/>
      <c r="B62" s="13"/>
      <c r="C62" s="35"/>
      <c r="D62" s="35"/>
      <c r="E62" s="35"/>
      <c r="F62" s="35"/>
      <c r="G62" s="35" t="s">
        <v>92</v>
      </c>
      <c r="H62" s="35" t="s">
        <v>112</v>
      </c>
      <c r="I62" s="13">
        <v>116.36</v>
      </c>
      <c r="J62" s="13">
        <v>2.0499999999999998</v>
      </c>
    </row>
    <row r="63" spans="1:10">
      <c r="A63" s="14"/>
      <c r="B63" s="15"/>
      <c r="C63" s="35"/>
      <c r="D63" s="35"/>
      <c r="E63" s="35"/>
      <c r="F63" s="35"/>
      <c r="G63" s="35" t="s">
        <v>92</v>
      </c>
      <c r="H63" s="35" t="s">
        <v>93</v>
      </c>
      <c r="I63" s="15">
        <v>209.39</v>
      </c>
      <c r="J63" s="15">
        <v>3.58</v>
      </c>
    </row>
    <row r="64" spans="1:10">
      <c r="A64" s="12"/>
      <c r="B64" s="13"/>
      <c r="C64" s="35"/>
      <c r="D64" s="35"/>
      <c r="E64" s="35"/>
      <c r="F64" s="35"/>
      <c r="G64" s="14" t="s">
        <v>102</v>
      </c>
      <c r="H64" s="15" t="s">
        <v>141</v>
      </c>
      <c r="I64" s="15">
        <v>109.56</v>
      </c>
      <c r="J64" s="15">
        <v>0</v>
      </c>
    </row>
    <row r="65" spans="1:10">
      <c r="A65" s="14"/>
      <c r="B65" s="15"/>
      <c r="C65" s="35"/>
      <c r="D65" s="35"/>
      <c r="E65" s="35"/>
      <c r="F65" s="35"/>
      <c r="G65" s="12" t="s">
        <v>102</v>
      </c>
      <c r="H65" s="13" t="s">
        <v>133</v>
      </c>
      <c r="I65" s="13">
        <v>151.36000000000001</v>
      </c>
      <c r="J65" s="13">
        <v>0</v>
      </c>
    </row>
    <row r="66" spans="1:10">
      <c r="A66" s="12"/>
      <c r="B66" s="13"/>
      <c r="C66" s="35"/>
      <c r="D66" s="35"/>
      <c r="E66" s="35"/>
      <c r="F66" s="35"/>
      <c r="G66" s="14" t="s">
        <v>102</v>
      </c>
      <c r="H66" s="15" t="s">
        <v>129</v>
      </c>
      <c r="I66" s="15">
        <v>217.36</v>
      </c>
      <c r="J66" s="15">
        <v>0</v>
      </c>
    </row>
    <row r="67" spans="1:10">
      <c r="A67" s="14"/>
      <c r="B67" s="15"/>
      <c r="C67" s="35"/>
      <c r="D67" s="35"/>
      <c r="E67" s="35"/>
      <c r="F67" s="35"/>
      <c r="G67" s="12" t="s">
        <v>102</v>
      </c>
      <c r="H67" s="13" t="s">
        <v>123</v>
      </c>
      <c r="I67" s="13">
        <v>129.47999999999999</v>
      </c>
      <c r="J67" s="13">
        <v>0</v>
      </c>
    </row>
    <row r="68" spans="1:10">
      <c r="A68" s="12"/>
      <c r="B68" s="13"/>
      <c r="C68" s="35"/>
      <c r="D68" s="35"/>
      <c r="E68" s="35"/>
      <c r="F68" s="35"/>
      <c r="G68" s="14" t="s">
        <v>102</v>
      </c>
      <c r="H68" s="15" t="s">
        <v>114</v>
      </c>
      <c r="I68" s="15">
        <v>178.88</v>
      </c>
      <c r="J68" s="15">
        <v>0</v>
      </c>
    </row>
    <row r="69" spans="1:10">
      <c r="A69" s="14"/>
      <c r="B69" s="15"/>
      <c r="C69" s="35"/>
      <c r="D69" s="35"/>
      <c r="E69" s="35"/>
      <c r="F69" s="35"/>
      <c r="G69" s="12" t="s">
        <v>102</v>
      </c>
      <c r="H69" s="13" t="s">
        <v>103</v>
      </c>
      <c r="I69" s="13">
        <v>256.88</v>
      </c>
      <c r="J69" s="13">
        <v>0</v>
      </c>
    </row>
    <row r="70" spans="1:10">
      <c r="A70" s="12"/>
      <c r="B70" s="13"/>
      <c r="C70" s="35"/>
      <c r="D70" s="35"/>
      <c r="E70" s="35"/>
      <c r="F70" s="35"/>
      <c r="G70" s="14" t="s">
        <v>102</v>
      </c>
      <c r="H70" s="15" t="s">
        <v>135</v>
      </c>
      <c r="I70" s="15">
        <v>99.6</v>
      </c>
      <c r="J70" s="15">
        <v>0</v>
      </c>
    </row>
    <row r="71" spans="1:10">
      <c r="A71" s="14"/>
      <c r="B71" s="15"/>
      <c r="C71" s="35"/>
      <c r="D71" s="35"/>
      <c r="E71" s="35"/>
      <c r="F71" s="35"/>
      <c r="G71" s="12" t="s">
        <v>102</v>
      </c>
      <c r="H71" s="13" t="s">
        <v>131</v>
      </c>
      <c r="I71" s="13">
        <v>137.6</v>
      </c>
      <c r="J71" s="13">
        <v>0</v>
      </c>
    </row>
    <row r="72" spans="1:10">
      <c r="A72" s="12"/>
      <c r="B72" s="13"/>
      <c r="C72" s="35"/>
      <c r="D72" s="35"/>
      <c r="E72" s="35"/>
      <c r="F72" s="35"/>
      <c r="G72" s="14" t="s">
        <v>102</v>
      </c>
      <c r="H72" s="15" t="s">
        <v>125</v>
      </c>
      <c r="I72" s="15">
        <v>197.6</v>
      </c>
      <c r="J72" s="15">
        <v>0</v>
      </c>
    </row>
    <row r="73" spans="1:10">
      <c r="A73" s="14"/>
      <c r="B73" s="15"/>
      <c r="C73" s="35"/>
      <c r="D73" s="35"/>
      <c r="E73" s="35"/>
      <c r="F73" s="35"/>
      <c r="G73" s="12" t="s">
        <v>102</v>
      </c>
      <c r="H73" s="13" t="s">
        <v>157</v>
      </c>
      <c r="I73" s="13">
        <v>119.52</v>
      </c>
      <c r="J73" s="13">
        <v>0</v>
      </c>
    </row>
    <row r="74" spans="1:10">
      <c r="A74" s="12"/>
      <c r="B74" s="13"/>
      <c r="C74" s="35"/>
      <c r="D74" s="35"/>
      <c r="E74" s="35"/>
      <c r="F74" s="35"/>
      <c r="G74" s="14" t="s">
        <v>102</v>
      </c>
      <c r="H74" s="15" t="s">
        <v>156</v>
      </c>
      <c r="I74" s="15">
        <v>165.12</v>
      </c>
      <c r="J74" s="15">
        <v>0</v>
      </c>
    </row>
    <row r="75" spans="1:10">
      <c r="A75" s="14"/>
      <c r="B75" s="15"/>
      <c r="C75" s="35"/>
      <c r="D75" s="35"/>
      <c r="E75" s="35"/>
      <c r="F75" s="35"/>
      <c r="G75" s="12" t="s">
        <v>102</v>
      </c>
      <c r="H75" s="13" t="s">
        <v>154</v>
      </c>
      <c r="I75" s="13">
        <v>237.12</v>
      </c>
      <c r="J75" s="13">
        <v>0</v>
      </c>
    </row>
    <row r="76" spans="1:10">
      <c r="A76" s="12"/>
      <c r="B76" s="13"/>
      <c r="C76" s="35"/>
      <c r="D76" s="35"/>
      <c r="E76" s="35"/>
      <c r="F76" s="35"/>
      <c r="G76" s="14" t="s">
        <v>102</v>
      </c>
      <c r="H76" s="15" t="s">
        <v>128</v>
      </c>
      <c r="I76" s="15">
        <v>138.76</v>
      </c>
      <c r="J76" s="15">
        <v>1.52</v>
      </c>
    </row>
    <row r="77" spans="1:10">
      <c r="A77" s="14"/>
      <c r="B77" s="15"/>
      <c r="C77" s="35"/>
      <c r="D77" s="35"/>
      <c r="E77" s="35"/>
      <c r="F77" s="35"/>
      <c r="G77" s="12" t="s">
        <v>102</v>
      </c>
      <c r="H77" s="13" t="s">
        <v>118</v>
      </c>
      <c r="I77" s="13">
        <v>151.56</v>
      </c>
      <c r="J77" s="13">
        <v>1.52</v>
      </c>
    </row>
    <row r="78" spans="1:10">
      <c r="A78" s="12"/>
      <c r="B78" s="13"/>
      <c r="C78" s="35"/>
      <c r="D78" s="35"/>
      <c r="E78" s="35"/>
      <c r="F78" s="35"/>
      <c r="G78" s="14" t="s">
        <v>102</v>
      </c>
      <c r="H78" s="15" t="s">
        <v>127</v>
      </c>
      <c r="I78" s="15">
        <v>145.16</v>
      </c>
      <c r="J78" s="15">
        <v>1.52</v>
      </c>
    </row>
    <row r="79" spans="1:10">
      <c r="A79" s="14"/>
      <c r="B79" s="15"/>
      <c r="C79" s="35"/>
      <c r="D79" s="35"/>
      <c r="E79" s="35"/>
      <c r="F79" s="35"/>
      <c r="G79" s="17" t="s">
        <v>102</v>
      </c>
      <c r="H79" s="18" t="s">
        <v>136</v>
      </c>
      <c r="I79" s="18">
        <v>0.99</v>
      </c>
      <c r="J79" s="18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0F7C3-F50E-4969-8CA7-6718408E697D}">
  <dimension ref="A1:J7"/>
  <sheetViews>
    <sheetView workbookViewId="0">
      <selection activeCell="J2" sqref="J2"/>
    </sheetView>
  </sheetViews>
  <sheetFormatPr defaultRowHeight="14.45"/>
  <cols>
    <col min="1" max="1" width="25.7109375" customWidth="1"/>
    <col min="2" max="2" width="25.42578125" customWidth="1"/>
    <col min="3" max="3" width="23.85546875" customWidth="1"/>
    <col min="4" max="4" width="15.42578125" customWidth="1"/>
    <col min="5" max="5" width="13" customWidth="1"/>
    <col min="6" max="6" width="18.85546875" bestFit="1" customWidth="1"/>
    <col min="7" max="7" width="16.42578125" customWidth="1"/>
    <col min="8" max="8" width="11.42578125" bestFit="1" customWidth="1"/>
    <col min="9" max="9" width="12.140625" bestFit="1" customWidth="1"/>
    <col min="10" max="10" width="36.5703125" bestFit="1" customWidth="1"/>
  </cols>
  <sheetData>
    <row r="1" spans="1:10">
      <c r="A1" s="29" t="s">
        <v>191</v>
      </c>
      <c r="B1" s="29" t="s">
        <v>192</v>
      </c>
      <c r="C1" s="29" t="s">
        <v>193</v>
      </c>
      <c r="D1" s="29" t="s">
        <v>194</v>
      </c>
      <c r="E1" s="29" t="s">
        <v>195</v>
      </c>
      <c r="F1" s="29" t="s">
        <v>196</v>
      </c>
      <c r="G1" s="29" t="s">
        <v>197</v>
      </c>
      <c r="H1" s="29" t="s">
        <v>198</v>
      </c>
      <c r="I1" s="29" t="s">
        <v>199</v>
      </c>
      <c r="J1" s="29" t="s">
        <v>200</v>
      </c>
    </row>
    <row r="2" spans="1:10">
      <c r="A2" s="36" t="s">
        <v>201</v>
      </c>
      <c r="B2" s="36" t="s">
        <v>52</v>
      </c>
      <c r="C2" s="35" t="s">
        <v>134</v>
      </c>
      <c r="D2" s="36">
        <f>VLOOKUP(B2,Table3[[Menu Items]:[Energy (kCal)]],2,FALSE)</f>
        <v>356.09</v>
      </c>
      <c r="E2" s="36">
        <f>VLOOKUP(C2,Table4[[Menu Items]:[Energy (kCal)]],2,FALSE)</f>
        <v>44.98</v>
      </c>
      <c r="F2" s="35">
        <f>D2+E2</f>
        <v>401.07</v>
      </c>
      <c r="G2" s="35">
        <f>VLOOKUP(Bundle_sheet!B2,Table3[[Menu Items]:[Protein (g)]],3,FALSE)</f>
        <v>7.91</v>
      </c>
      <c r="H2" s="35">
        <f>VLOOKUP(C2,Table4[[Menu Items]:[Protein (g)]],3,FALSE)</f>
        <v>2.09</v>
      </c>
      <c r="I2" s="35">
        <f>G2+H2</f>
        <v>10</v>
      </c>
      <c r="J2" s="36" t="str">
        <f>IF(AND(F2&lt;500, I2&gt;=12), "Nutri-Bundle", "Standard")</f>
        <v>Standard</v>
      </c>
    </row>
    <row r="3" spans="1:10">
      <c r="A3" s="35" t="s">
        <v>202</v>
      </c>
      <c r="B3" s="23" t="s">
        <v>203</v>
      </c>
      <c r="C3" s="25" t="s">
        <v>204</v>
      </c>
      <c r="D3" s="24">
        <v>348</v>
      </c>
      <c r="E3" s="35">
        <v>0.99</v>
      </c>
      <c r="F3" s="35">
        <f>D3+E3</f>
        <v>348.99</v>
      </c>
      <c r="G3" s="24">
        <v>15.44</v>
      </c>
      <c r="H3" s="35">
        <v>0</v>
      </c>
      <c r="I3" s="35">
        <f>G3+H3</f>
        <v>15.44</v>
      </c>
      <c r="J3" s="36" t="str">
        <f>IF(AND(F3&lt;500, I3&gt;=12), "Nutri-Bundle", "Standard")</f>
        <v>Nutri-Bundle</v>
      </c>
    </row>
    <row r="4" spans="1:10">
      <c r="A4" s="35" t="s">
        <v>205</v>
      </c>
      <c r="B4" s="26" t="s">
        <v>206</v>
      </c>
      <c r="C4" s="22" t="s">
        <v>207</v>
      </c>
      <c r="D4" s="24">
        <v>400.8</v>
      </c>
      <c r="E4" s="35">
        <v>5</v>
      </c>
      <c r="F4" s="35">
        <f t="shared" ref="F4:F7" si="0">D4+E4</f>
        <v>405.8</v>
      </c>
      <c r="G4" s="24">
        <v>15.66</v>
      </c>
      <c r="H4" s="35">
        <v>0</v>
      </c>
      <c r="I4" s="35">
        <f t="shared" ref="I4:I7" si="1">G4+H4</f>
        <v>15.66</v>
      </c>
      <c r="J4" s="36" t="str">
        <f t="shared" ref="J4:J7" si="2">IF(AND(F4&lt;500, I4&gt;=12), "Nutri-Bundle", "Standard")</f>
        <v>Nutri-Bundle</v>
      </c>
    </row>
    <row r="5" spans="1:10">
      <c r="A5" s="35" t="s">
        <v>208</v>
      </c>
      <c r="B5" s="26" t="s">
        <v>209</v>
      </c>
      <c r="C5" s="27" t="s">
        <v>210</v>
      </c>
      <c r="D5" s="24">
        <v>283</v>
      </c>
      <c r="E5" s="35">
        <v>12</v>
      </c>
      <c r="F5" s="35">
        <f t="shared" si="0"/>
        <v>295</v>
      </c>
      <c r="G5" s="24">
        <v>13.5</v>
      </c>
      <c r="H5" s="35">
        <v>0</v>
      </c>
      <c r="I5" s="35">
        <f t="shared" si="1"/>
        <v>13.5</v>
      </c>
      <c r="J5" s="36" t="str">
        <f t="shared" si="2"/>
        <v>Nutri-Bundle</v>
      </c>
    </row>
    <row r="6" spans="1:10">
      <c r="A6" s="35" t="s">
        <v>211</v>
      </c>
      <c r="B6" s="10" t="s">
        <v>212</v>
      </c>
      <c r="C6" s="27" t="s">
        <v>213</v>
      </c>
      <c r="D6" s="35">
        <v>246</v>
      </c>
      <c r="E6" s="35">
        <v>109</v>
      </c>
      <c r="F6" s="35">
        <f t="shared" si="0"/>
        <v>355</v>
      </c>
      <c r="G6" s="35">
        <v>15.5</v>
      </c>
      <c r="H6" s="35">
        <v>0</v>
      </c>
      <c r="I6" s="35">
        <f t="shared" si="1"/>
        <v>15.5</v>
      </c>
      <c r="J6" s="36" t="str">
        <f t="shared" si="2"/>
        <v>Nutri-Bundle</v>
      </c>
    </row>
    <row r="7" spans="1:10">
      <c r="A7" s="35" t="s">
        <v>214</v>
      </c>
      <c r="B7" s="11" t="s">
        <v>215</v>
      </c>
      <c r="C7" s="28" t="s">
        <v>216</v>
      </c>
      <c r="D7" s="35">
        <v>254</v>
      </c>
      <c r="E7" s="35">
        <v>204</v>
      </c>
      <c r="F7" s="35">
        <f t="shared" si="0"/>
        <v>458</v>
      </c>
      <c r="G7" s="35">
        <v>13.5</v>
      </c>
      <c r="H7" s="35">
        <v>3</v>
      </c>
      <c r="I7" s="35">
        <f t="shared" si="1"/>
        <v>16.5</v>
      </c>
      <c r="J7" s="36" t="str">
        <f t="shared" si="2"/>
        <v>Nutri-Bundle</v>
      </c>
    </row>
  </sheetData>
  <conditionalFormatting sqref="J2:J7">
    <cfRule type="containsText" dxfId="3" priority="1" operator="containsText" text="Standard">
      <formula>NOT(ISERROR(SEARCH("Standard",J2)))</formula>
    </cfRule>
    <cfRule type="containsText" dxfId="2" priority="2" operator="containsText" text="Nutri-Bundle">
      <formula>NOT(ISERROR(SEARCH("Nutri-Bundle",J2)))</formula>
    </cfRule>
  </conditionalFormatting>
  <dataValidations count="1">
    <dataValidation allowBlank="1" showInputMessage="1" showErrorMessage="1" sqref="E2" xr:uid="{99A7B319-FB72-4920-8F2D-2FD86AD00C41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5CF5C7F-52C1-4AE8-BD9D-FB821CBB4D8B}">
          <x14:formula1>
            <xm:f>'Bundle Data_set'!$B$3:$B$45</xm:f>
          </x14:formula1>
          <xm:sqref>B2</xm:sqref>
        </x14:dataValidation>
        <x14:dataValidation type="list" allowBlank="1" showInputMessage="1" showErrorMessage="1" xr:uid="{D88032C8-564F-4C5F-8CE5-ECDBE511494D}">
          <x14:formula1>
            <xm:f>'Bundle Data_set'!$H$3:$H$79</xm:f>
          </x14:formula1>
          <xm:sqref>C2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EFB5E-23A8-42BB-B7D2-DB9FE6AB8A1C}">
  <dimension ref="A1"/>
  <sheetViews>
    <sheetView workbookViewId="0"/>
  </sheetViews>
  <sheetFormatPr defaultRowHeight="14.4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B26EB-38D3-42CD-81DE-BFDF052E30E6}">
  <dimension ref="A1:H11"/>
  <sheetViews>
    <sheetView workbookViewId="0">
      <selection activeCell="F6" sqref="F6"/>
    </sheetView>
  </sheetViews>
  <sheetFormatPr defaultRowHeight="14.45"/>
  <cols>
    <col min="5" max="5" width="19.7109375" bestFit="1" customWidth="1"/>
    <col min="6" max="6" width="17.5703125" customWidth="1"/>
    <col min="7" max="7" width="14.140625" customWidth="1"/>
    <col min="8" max="8" width="16.42578125" customWidth="1"/>
  </cols>
  <sheetData>
    <row r="1" spans="1:8">
      <c r="A1" s="3"/>
      <c r="B1" s="35"/>
      <c r="C1" s="35"/>
      <c r="D1" s="35"/>
      <c r="E1" s="35"/>
      <c r="F1" s="35"/>
      <c r="G1" s="35"/>
      <c r="H1" s="35"/>
    </row>
    <row r="2" spans="1:8">
      <c r="A2" s="4"/>
      <c r="B2" s="35"/>
      <c r="C2" s="35"/>
      <c r="D2" s="35"/>
      <c r="E2" s="35"/>
      <c r="F2" s="35"/>
      <c r="G2" s="35"/>
      <c r="H2" s="35"/>
    </row>
    <row r="3" spans="1:8">
      <c r="A3" s="4"/>
      <c r="B3" s="35"/>
      <c r="C3" s="35"/>
      <c r="D3" s="35"/>
      <c r="E3" s="6" t="s">
        <v>165</v>
      </c>
      <c r="F3" s="7" t="s">
        <v>217</v>
      </c>
      <c r="G3" s="7" t="s">
        <v>218</v>
      </c>
      <c r="H3" s="7" t="s">
        <v>219</v>
      </c>
    </row>
    <row r="4" spans="1:8">
      <c r="A4" s="1"/>
      <c r="B4" s="35"/>
      <c r="C4" s="35"/>
      <c r="D4" s="35"/>
      <c r="E4" s="2" t="s">
        <v>169</v>
      </c>
      <c r="F4" s="35">
        <f>AVERAGE('Data_set '!E2:E142)</f>
        <v>244.63546099290784</v>
      </c>
      <c r="G4" s="35">
        <f>AVERAGE('Data_set '!F2:F142)</f>
        <v>7.4935460992907776</v>
      </c>
      <c r="H4" s="35">
        <f>AVERAGE('Data_set '!O2:O142)</f>
        <v>362.06414285714283</v>
      </c>
    </row>
    <row r="5" spans="1:8" ht="19.5" customHeight="1">
      <c r="A5" s="1"/>
      <c r="B5" s="35"/>
      <c r="C5" s="35"/>
      <c r="D5" s="35"/>
      <c r="E5" s="2" t="s">
        <v>170</v>
      </c>
      <c r="F5" s="36">
        <f>(_xlfn.STDEV.S('Data_set '!E2:E142))/(SQRT(COUNT('Data_set '!E2:E142)))</f>
        <v>15.626536230206392</v>
      </c>
      <c r="G5" s="36">
        <f>(_xlfn.STDEV.S('Data_set '!F2:F142))/(SQRT(COUNT('Data_set '!F2:F142)))</f>
        <v>0.70209052530418237</v>
      </c>
      <c r="H5" s="35">
        <f>(_xlfn.STDEV.S('Data_set '!O2:O142))/(SQRT(COUNT('Data_set '!O2:O142)))</f>
        <v>39.989360092353905</v>
      </c>
    </row>
    <row r="6" spans="1:8">
      <c r="A6" s="4"/>
      <c r="B6" s="35"/>
      <c r="C6" s="35"/>
      <c r="D6" s="35"/>
      <c r="E6" s="2" t="s">
        <v>171</v>
      </c>
      <c r="F6" s="35">
        <f>MEDIAN('Data_set '!E2:E142)</f>
        <v>219.36</v>
      </c>
      <c r="G6" s="35">
        <f>MEDIAN('Data_set '!F2:F142)</f>
        <v>4.79</v>
      </c>
      <c r="H6" s="35">
        <f>MEDIAN('Data_set '!O2:O142)</f>
        <v>152.02500000000001</v>
      </c>
    </row>
    <row r="7" spans="1:8">
      <c r="A7" s="1"/>
      <c r="B7" s="35"/>
      <c r="C7" s="35"/>
      <c r="D7" s="35"/>
      <c r="E7" s="2" t="s">
        <v>220</v>
      </c>
      <c r="F7" s="35">
        <f>_xlfn.STDEV.S('Data_set '!E2:E142)</f>
        <v>185.55483683296259</v>
      </c>
      <c r="G7" s="35">
        <f>_xlfn.STDEV.S('Data_set '!F2:F142)</f>
        <v>8.3368630735300115</v>
      </c>
      <c r="H7" s="35">
        <f>_xlfn.STDEV.S('Data_set '!O2:O142)</f>
        <v>473.16048956293105</v>
      </c>
    </row>
    <row r="8" spans="1:8">
      <c r="A8" s="1"/>
      <c r="B8" s="35"/>
      <c r="C8" s="35"/>
      <c r="D8" s="35"/>
      <c r="E8" s="5" t="s">
        <v>173</v>
      </c>
      <c r="F8" s="35">
        <f>F10-F9</f>
        <v>834.36</v>
      </c>
      <c r="G8" s="35">
        <f>G10-G9</f>
        <v>39.47</v>
      </c>
      <c r="H8" s="35">
        <f>H10-H9</f>
        <v>2399.4899999999998</v>
      </c>
    </row>
    <row r="9" spans="1:8">
      <c r="A9" s="1"/>
      <c r="B9" s="35"/>
      <c r="C9" s="35"/>
      <c r="D9" s="35"/>
      <c r="E9" s="1" t="s">
        <v>221</v>
      </c>
      <c r="F9" s="35">
        <f>MIN('Data_set '!E2:E142)</f>
        <v>0</v>
      </c>
      <c r="G9" s="35">
        <f>MIN('Data_set '!F2:F142)</f>
        <v>0</v>
      </c>
      <c r="H9" s="35">
        <f>MIN('Data_set '!O2:O142)</f>
        <v>0</v>
      </c>
    </row>
    <row r="10" spans="1:8">
      <c r="A10" s="35"/>
      <c r="B10" s="35"/>
      <c r="C10" s="35"/>
      <c r="D10" s="35"/>
      <c r="E10" s="1" t="s">
        <v>222</v>
      </c>
      <c r="F10" s="35">
        <f>MAX('Data_set '!E2:E142)</f>
        <v>834.36</v>
      </c>
      <c r="G10" s="35">
        <f>MAX('Data_set '!F2:F142)</f>
        <v>39.47</v>
      </c>
      <c r="H10" s="35">
        <f>MAX('Data_set '!O2:O142)</f>
        <v>2399.4899999999998</v>
      </c>
    </row>
    <row r="11" spans="1:8">
      <c r="A11" s="35"/>
      <c r="B11" s="35"/>
      <c r="C11" s="35"/>
      <c r="D11" s="35"/>
      <c r="E11" s="1" t="s">
        <v>223</v>
      </c>
      <c r="F11" s="35">
        <f>COUNT('Data_set '!E2:E142)</f>
        <v>141</v>
      </c>
      <c r="G11" s="35">
        <f>COUNT('Data_set '!F2:F142)</f>
        <v>141</v>
      </c>
      <c r="H11" s="35">
        <f>COUNT('Data_set '!O2:O142)</f>
        <v>140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80600-3EB4-4822-9B86-BE07B6FAF0F1}">
  <dimension ref="A3:B7"/>
  <sheetViews>
    <sheetView workbookViewId="0">
      <selection activeCell="B4" sqref="B4"/>
    </sheetView>
  </sheetViews>
  <sheetFormatPr defaultRowHeight="14.45"/>
  <cols>
    <col min="1" max="1" width="22.140625" bestFit="1" customWidth="1"/>
    <col min="2" max="2" width="27.140625" bestFit="1" customWidth="1"/>
  </cols>
  <sheetData>
    <row r="3" spans="1:2">
      <c r="A3" s="32" t="s">
        <v>16</v>
      </c>
      <c r="B3" s="35" t="s">
        <v>224</v>
      </c>
    </row>
    <row r="4" spans="1:2">
      <c r="A4" s="35" t="s">
        <v>225</v>
      </c>
      <c r="B4" s="35">
        <v>32</v>
      </c>
    </row>
    <row r="5" spans="1:2">
      <c r="A5" s="35" t="s">
        <v>226</v>
      </c>
      <c r="B5" s="35">
        <v>89</v>
      </c>
    </row>
    <row r="6" spans="1:2">
      <c r="A6" s="35" t="s">
        <v>227</v>
      </c>
      <c r="B6" s="35">
        <v>19</v>
      </c>
    </row>
    <row r="7" spans="1:2">
      <c r="A7" s="35" t="s">
        <v>188</v>
      </c>
      <c r="B7" s="35">
        <v>140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6518F-92ED-4C60-87F5-4E1E21EC0329}">
  <dimension ref="A3:D156"/>
  <sheetViews>
    <sheetView workbookViewId="0">
      <selection activeCell="B4" sqref="B4"/>
    </sheetView>
  </sheetViews>
  <sheetFormatPr defaultRowHeight="14.45"/>
  <cols>
    <col min="1" max="1" width="17.7109375" bestFit="1" customWidth="1"/>
    <col min="2" max="2" width="32.28515625" bestFit="1" customWidth="1"/>
    <col min="3" max="3" width="39.5703125" bestFit="1" customWidth="1"/>
    <col min="4" max="4" width="21.42578125" bestFit="1" customWidth="1"/>
  </cols>
  <sheetData>
    <row r="3" spans="1:4">
      <c r="A3" s="32" t="s">
        <v>0</v>
      </c>
      <c r="B3" s="35" t="s">
        <v>228</v>
      </c>
      <c r="C3" s="35"/>
      <c r="D3" s="35"/>
    </row>
    <row r="4" spans="1:4">
      <c r="A4" s="35" t="s">
        <v>102</v>
      </c>
      <c r="B4" s="35">
        <v>9.3530211694147999E-4</v>
      </c>
      <c r="C4" s="35"/>
      <c r="D4" s="35"/>
    </row>
    <row r="5" spans="1:4">
      <c r="A5" s="35" t="s">
        <v>38</v>
      </c>
      <c r="B5" s="35">
        <v>5.9506956845304271E-2</v>
      </c>
      <c r="C5" s="35"/>
      <c r="D5" s="35"/>
    </row>
    <row r="6" spans="1:4">
      <c r="A6" s="35" t="s">
        <v>61</v>
      </c>
      <c r="B6" s="35">
        <v>4.5014726631393304E-2</v>
      </c>
      <c r="C6" s="35"/>
      <c r="D6" s="35"/>
    </row>
    <row r="7" spans="1:4">
      <c r="A7" s="35" t="s">
        <v>92</v>
      </c>
      <c r="B7" s="35">
        <v>2.3955590657017401E-2</v>
      </c>
      <c r="C7" s="35"/>
      <c r="D7" s="35"/>
    </row>
    <row r="8" spans="1:4">
      <c r="A8" s="35" t="s">
        <v>19</v>
      </c>
      <c r="B8" s="35">
        <v>9.8605507802901921E-2</v>
      </c>
      <c r="C8" s="35"/>
      <c r="D8" s="35"/>
    </row>
    <row r="9" spans="1:4">
      <c r="A9" s="35" t="s">
        <v>67</v>
      </c>
      <c r="B9" s="35">
        <v>1.7992888580082848E-2</v>
      </c>
      <c r="C9" s="35"/>
      <c r="D9" s="35"/>
    </row>
    <row r="10" spans="1:4">
      <c r="A10" s="35" t="s">
        <v>17</v>
      </c>
      <c r="B10" s="35">
        <v>8.7106669667558104E-2</v>
      </c>
      <c r="C10" s="35"/>
      <c r="D10" s="35"/>
    </row>
    <row r="11" spans="1:4">
      <c r="A11" s="35" t="s">
        <v>188</v>
      </c>
      <c r="B11" s="35">
        <v>4.6097065397960137E-2</v>
      </c>
      <c r="C11" s="35"/>
      <c r="D11" s="35"/>
    </row>
    <row r="14" spans="1:4">
      <c r="A14" s="35"/>
      <c r="B14" s="35"/>
      <c r="C14" s="32" t="s">
        <v>1</v>
      </c>
      <c r="D14" s="35" t="s">
        <v>229</v>
      </c>
    </row>
    <row r="15" spans="1:4">
      <c r="A15" s="35"/>
      <c r="B15" s="35"/>
      <c r="C15" s="35" t="s">
        <v>18</v>
      </c>
      <c r="D15" s="35">
        <v>4.3059932138984651</v>
      </c>
    </row>
    <row r="16" spans="1:4">
      <c r="A16" s="35"/>
      <c r="B16" s="35"/>
      <c r="C16" s="35" t="s">
        <v>20</v>
      </c>
      <c r="D16" s="35">
        <v>3.2635984855144491</v>
      </c>
    </row>
    <row r="17" spans="3:4">
      <c r="C17" s="35" t="s">
        <v>21</v>
      </c>
      <c r="D17" s="35">
        <v>3.1546291164793736</v>
      </c>
    </row>
    <row r="18" spans="3:4">
      <c r="C18" s="35" t="s">
        <v>22</v>
      </c>
      <c r="D18" s="35">
        <v>2.9228472952598872</v>
      </c>
    </row>
    <row r="19" spans="3:4">
      <c r="C19" s="35" t="s">
        <v>23</v>
      </c>
      <c r="D19" s="35">
        <v>2.6477609284327848</v>
      </c>
    </row>
    <row r="20" spans="3:4">
      <c r="C20" s="35" t="s">
        <v>24</v>
      </c>
      <c r="D20" s="35">
        <v>2.4667229891088014</v>
      </c>
    </row>
    <row r="21" spans="3:4">
      <c r="C21" s="35" t="s">
        <v>25</v>
      </c>
      <c r="D21" s="35">
        <v>2.2926805620328032</v>
      </c>
    </row>
    <row r="22" spans="3:4">
      <c r="C22" s="35" t="s">
        <v>26</v>
      </c>
      <c r="D22" s="35">
        <v>2.1855287581135188</v>
      </c>
    </row>
    <row r="23" spans="3:4">
      <c r="C23" s="35" t="s">
        <v>27</v>
      </c>
      <c r="D23" s="35">
        <v>1.7562452391374803</v>
      </c>
    </row>
    <row r="24" spans="3:4">
      <c r="C24" s="35" t="s">
        <v>28</v>
      </c>
      <c r="D24" s="35">
        <v>1.7165546892833548</v>
      </c>
    </row>
    <row r="25" spans="3:4">
      <c r="C25" s="35" t="s">
        <v>29</v>
      </c>
      <c r="D25" s="35">
        <v>1.7094112356887361</v>
      </c>
    </row>
    <row r="26" spans="3:4">
      <c r="C26" s="35" t="s">
        <v>30</v>
      </c>
      <c r="D26" s="35">
        <v>1.6736939677156408</v>
      </c>
    </row>
    <row r="27" spans="3:4">
      <c r="C27" s="35" t="s">
        <v>31</v>
      </c>
      <c r="D27" s="35">
        <v>1.6702913167430562</v>
      </c>
    </row>
    <row r="28" spans="3:4">
      <c r="C28" s="35" t="s">
        <v>32</v>
      </c>
      <c r="D28" s="35">
        <v>1.6278532847371538</v>
      </c>
    </row>
    <row r="29" spans="3:4">
      <c r="C29" s="35" t="s">
        <v>33</v>
      </c>
      <c r="D29" s="35">
        <v>1.5330862849789542</v>
      </c>
    </row>
    <row r="30" spans="3:4">
      <c r="C30" s="35" t="s">
        <v>34</v>
      </c>
      <c r="D30" s="35">
        <v>1.5058650771982758</v>
      </c>
    </row>
    <row r="31" spans="3:4">
      <c r="C31" s="35" t="s">
        <v>35</v>
      </c>
      <c r="D31" s="35">
        <v>1.4565372053348418</v>
      </c>
    </row>
    <row r="32" spans="3:4">
      <c r="C32" s="35" t="s">
        <v>36</v>
      </c>
      <c r="D32" s="35">
        <v>1.1971748902071369</v>
      </c>
    </row>
    <row r="33" spans="3:4">
      <c r="C33" s="35" t="s">
        <v>37</v>
      </c>
      <c r="D33" s="35">
        <v>1.0817172363982508</v>
      </c>
    </row>
    <row r="34" spans="3:4">
      <c r="C34" s="35" t="s">
        <v>39</v>
      </c>
      <c r="D34" s="35">
        <v>0.93533984114283331</v>
      </c>
    </row>
    <row r="35" spans="3:4">
      <c r="C35" s="35" t="s">
        <v>40</v>
      </c>
      <c r="D35" s="35">
        <v>0.93409290693548852</v>
      </c>
    </row>
    <row r="36" spans="3:4">
      <c r="C36" s="35" t="s">
        <v>41</v>
      </c>
      <c r="D36" s="35">
        <v>0.86975955562773655</v>
      </c>
    </row>
    <row r="37" spans="3:4">
      <c r="C37" s="35" t="s">
        <v>42</v>
      </c>
      <c r="D37" s="35">
        <v>0.85439479005587859</v>
      </c>
    </row>
    <row r="38" spans="3:4">
      <c r="C38" s="35" t="s">
        <v>43</v>
      </c>
      <c r="D38" s="35">
        <v>0.83659955950360276</v>
      </c>
    </row>
    <row r="39" spans="3:4">
      <c r="C39" s="35" t="s">
        <v>44</v>
      </c>
      <c r="D39" s="35">
        <v>0.80424267354691159</v>
      </c>
    </row>
    <row r="40" spans="3:4">
      <c r="C40" s="35" t="s">
        <v>45</v>
      </c>
      <c r="D40" s="35">
        <v>0.74766567569840559</v>
      </c>
    </row>
    <row r="41" spans="3:4">
      <c r="C41" s="35" t="s">
        <v>46</v>
      </c>
      <c r="D41" s="35">
        <v>0.7271652319505344</v>
      </c>
    </row>
    <row r="42" spans="3:4">
      <c r="C42" s="35" t="s">
        <v>47</v>
      </c>
      <c r="D42" s="35">
        <v>0.72437548084257664</v>
      </c>
    </row>
    <row r="43" spans="3:4">
      <c r="C43" s="35" t="s">
        <v>48</v>
      </c>
      <c r="D43" s="35">
        <v>0.66211330838770244</v>
      </c>
    </row>
    <row r="44" spans="3:4">
      <c r="C44" s="35" t="s">
        <v>49</v>
      </c>
      <c r="D44" s="35">
        <v>0.59215818590785374</v>
      </c>
    </row>
    <row r="45" spans="3:4">
      <c r="C45" s="35" t="s">
        <v>50</v>
      </c>
      <c r="D45" s="35">
        <v>0.55136864319301759</v>
      </c>
    </row>
    <row r="46" spans="3:4">
      <c r="C46" s="35" t="s">
        <v>51</v>
      </c>
      <c r="D46" s="35">
        <v>0.53613068448970302</v>
      </c>
    </row>
    <row r="47" spans="3:4">
      <c r="C47" s="35" t="s">
        <v>52</v>
      </c>
      <c r="D47" s="35">
        <v>0.45975068067031544</v>
      </c>
    </row>
    <row r="48" spans="3:4">
      <c r="C48" s="35" t="s">
        <v>53</v>
      </c>
      <c r="D48" s="35">
        <v>0.39463535367321145</v>
      </c>
    </row>
    <row r="49" spans="3:4">
      <c r="C49" s="35" t="s">
        <v>54</v>
      </c>
      <c r="D49" s="35">
        <v>0.38734395873195848</v>
      </c>
    </row>
    <row r="50" spans="3:4">
      <c r="C50" s="35" t="s">
        <v>55</v>
      </c>
      <c r="D50" s="35">
        <v>0.35606493115788707</v>
      </c>
    </row>
    <row r="51" spans="3:4">
      <c r="C51" s="35" t="s">
        <v>56</v>
      </c>
      <c r="D51" s="35">
        <v>0.33233091226215589</v>
      </c>
    </row>
    <row r="52" spans="3:4">
      <c r="C52" s="35" t="s">
        <v>57</v>
      </c>
      <c r="D52" s="35">
        <v>0.26565163388634855</v>
      </c>
    </row>
    <row r="53" spans="3:4">
      <c r="C53" s="35" t="s">
        <v>58</v>
      </c>
      <c r="D53" s="35">
        <v>0.24337589397886814</v>
      </c>
    </row>
    <row r="54" spans="3:4">
      <c r="C54" s="35" t="s">
        <v>59</v>
      </c>
      <c r="D54" s="35">
        <v>0.22784205258228538</v>
      </c>
    </row>
    <row r="55" spans="3:4">
      <c r="C55" s="35" t="s">
        <v>60</v>
      </c>
      <c r="D55" s="35">
        <v>0.13971127894453042</v>
      </c>
    </row>
    <row r="56" spans="3:4">
      <c r="C56" s="35" t="s">
        <v>62</v>
      </c>
      <c r="D56" s="35">
        <v>0.11126427143459794</v>
      </c>
    </row>
    <row r="57" spans="3:4">
      <c r="C57" s="35" t="s">
        <v>63</v>
      </c>
      <c r="D57" s="35">
        <v>0.10295842154499656</v>
      </c>
    </row>
    <row r="58" spans="3:4">
      <c r="C58" s="35" t="s">
        <v>64</v>
      </c>
      <c r="D58" s="35">
        <v>7.8928519955997284E-2</v>
      </c>
    </row>
    <row r="59" spans="3:4">
      <c r="C59" s="35" t="s">
        <v>65</v>
      </c>
      <c r="D59" s="35">
        <v>6.060492745145684E-2</v>
      </c>
    </row>
    <row r="60" spans="3:4">
      <c r="C60" s="35" t="s">
        <v>66</v>
      </c>
      <c r="D60" s="35">
        <v>-1.1886332399262496E-2</v>
      </c>
    </row>
    <row r="61" spans="3:4">
      <c r="C61" s="35" t="s">
        <v>68</v>
      </c>
      <c r="D61" s="35">
        <v>-6.2270928167225952E-2</v>
      </c>
    </row>
    <row r="62" spans="3:4">
      <c r="C62" s="35" t="s">
        <v>69</v>
      </c>
      <c r="D62" s="35">
        <v>-0.10316614327251517</v>
      </c>
    </row>
    <row r="63" spans="3:4">
      <c r="C63" s="35" t="s">
        <v>70</v>
      </c>
      <c r="D63" s="35">
        <v>-0.10325068118487757</v>
      </c>
    </row>
    <row r="64" spans="3:4">
      <c r="C64" s="35" t="s">
        <v>71</v>
      </c>
      <c r="D64" s="35">
        <v>-0.11787574002356488</v>
      </c>
    </row>
    <row r="65" spans="3:4">
      <c r="C65" s="35" t="s">
        <v>72</v>
      </c>
      <c r="D65" s="35">
        <v>-0.18345602553866175</v>
      </c>
    </row>
    <row r="66" spans="3:4">
      <c r="C66" s="35" t="s">
        <v>73</v>
      </c>
      <c r="D66" s="35">
        <v>-0.1874927108539641</v>
      </c>
    </row>
    <row r="67" spans="3:4">
      <c r="C67" s="35" t="s">
        <v>74</v>
      </c>
      <c r="D67" s="35">
        <v>-0.22644355397491919</v>
      </c>
    </row>
    <row r="68" spans="3:4">
      <c r="C68" s="35" t="s">
        <v>75</v>
      </c>
      <c r="D68" s="35">
        <v>-0.27209402665059085</v>
      </c>
    </row>
    <row r="69" spans="3:4">
      <c r="C69" s="35" t="s">
        <v>76</v>
      </c>
      <c r="D69" s="35">
        <v>-0.2974554003592973</v>
      </c>
    </row>
    <row r="70" spans="3:4">
      <c r="C70" s="35" t="s">
        <v>77</v>
      </c>
      <c r="D70" s="35">
        <v>-0.30702931893433399</v>
      </c>
    </row>
    <row r="71" spans="3:4">
      <c r="C71" s="35" t="s">
        <v>78</v>
      </c>
      <c r="D71" s="35">
        <v>-0.32330286706408728</v>
      </c>
    </row>
    <row r="72" spans="3:4">
      <c r="C72" s="35" t="s">
        <v>79</v>
      </c>
      <c r="D72" s="35">
        <v>-0.32752976268220502</v>
      </c>
    </row>
    <row r="73" spans="3:4">
      <c r="C73" s="35" t="s">
        <v>80</v>
      </c>
      <c r="D73" s="35">
        <v>-0.36590997489471411</v>
      </c>
    </row>
    <row r="74" spans="3:4">
      <c r="C74" s="35" t="s">
        <v>81</v>
      </c>
      <c r="D74" s="35">
        <v>-0.36745279179532714</v>
      </c>
    </row>
    <row r="75" spans="3:4">
      <c r="C75" s="35" t="s">
        <v>82</v>
      </c>
      <c r="D75" s="35">
        <v>-0.37267300788370256</v>
      </c>
    </row>
    <row r="76" spans="3:4">
      <c r="C76" s="35" t="s">
        <v>83</v>
      </c>
      <c r="D76" s="35">
        <v>-0.38309230558236274</v>
      </c>
    </row>
    <row r="77" spans="3:4">
      <c r="C77" s="35" t="s">
        <v>84</v>
      </c>
      <c r="D77" s="35">
        <v>-0.38700218402912168</v>
      </c>
    </row>
    <row r="78" spans="3:4">
      <c r="C78" s="35" t="s">
        <v>85</v>
      </c>
      <c r="D78" s="35">
        <v>-0.38803777345556051</v>
      </c>
    </row>
    <row r="79" spans="3:4">
      <c r="C79" s="35" t="s">
        <v>86</v>
      </c>
      <c r="D79" s="35">
        <v>-0.40915111706805868</v>
      </c>
    </row>
    <row r="80" spans="3:4">
      <c r="C80" s="35" t="s">
        <v>87</v>
      </c>
      <c r="D80" s="35">
        <v>-0.41181406130747283</v>
      </c>
    </row>
    <row r="81" spans="3:4">
      <c r="C81" s="35" t="s">
        <v>88</v>
      </c>
      <c r="D81" s="35">
        <v>-0.41572393975423172</v>
      </c>
    </row>
    <row r="82" spans="3:4">
      <c r="C82" s="35" t="s">
        <v>89</v>
      </c>
      <c r="D82" s="35">
        <v>-0.43749245218753813</v>
      </c>
    </row>
    <row r="83" spans="3:4">
      <c r="C83" s="35" t="s">
        <v>90</v>
      </c>
      <c r="D83" s="35">
        <v>-0.43766152801226288</v>
      </c>
    </row>
    <row r="84" spans="3:4">
      <c r="C84" s="35" t="s">
        <v>91</v>
      </c>
      <c r="D84" s="35">
        <v>-0.44152913750284056</v>
      </c>
    </row>
    <row r="85" spans="3:4">
      <c r="C85" s="35" t="s">
        <v>93</v>
      </c>
      <c r="D85" s="35">
        <v>-0.44628439507322304</v>
      </c>
    </row>
    <row r="86" spans="3:4">
      <c r="C86" s="35" t="s">
        <v>94</v>
      </c>
      <c r="D86" s="35">
        <v>-0.45579491021398794</v>
      </c>
    </row>
    <row r="87" spans="3:4">
      <c r="C87" s="35" t="s">
        <v>95</v>
      </c>
      <c r="D87" s="35">
        <v>-0.46938437962623653</v>
      </c>
    </row>
    <row r="88" spans="3:4">
      <c r="C88" s="35" t="s">
        <v>96</v>
      </c>
      <c r="D88" s="35">
        <v>-0.48117741840078504</v>
      </c>
    </row>
    <row r="89" spans="3:4">
      <c r="C89" s="35" t="s">
        <v>97</v>
      </c>
      <c r="D89" s="35">
        <v>-0.48445326250482623</v>
      </c>
    </row>
    <row r="90" spans="3:4">
      <c r="C90" s="35" t="s">
        <v>98</v>
      </c>
      <c r="D90" s="35">
        <v>-0.49206167461743816</v>
      </c>
    </row>
    <row r="91" spans="3:4">
      <c r="C91" s="35" t="s">
        <v>99</v>
      </c>
      <c r="D91" s="35">
        <v>-0.50347429278635614</v>
      </c>
    </row>
    <row r="92" spans="3:4">
      <c r="C92" s="35" t="s">
        <v>100</v>
      </c>
      <c r="D92" s="35">
        <v>-0.52589797404047067</v>
      </c>
    </row>
    <row r="93" spans="3:4">
      <c r="C93" s="35" t="s">
        <v>101</v>
      </c>
      <c r="D93" s="35">
        <v>-0.53190016581819799</v>
      </c>
    </row>
    <row r="94" spans="3:4">
      <c r="C94" s="35" t="s">
        <v>103</v>
      </c>
      <c r="D94" s="35">
        <v>-0.53238625881428148</v>
      </c>
    </row>
    <row r="95" spans="3:4">
      <c r="C95" s="35" t="s">
        <v>104</v>
      </c>
      <c r="D95" s="35">
        <v>-0.53610592695822512</v>
      </c>
    </row>
    <row r="96" spans="3:4">
      <c r="C96" s="35" t="s">
        <v>105</v>
      </c>
      <c r="D96" s="35">
        <v>-0.54441177684782638</v>
      </c>
    </row>
    <row r="97" spans="3:4">
      <c r="C97" s="35" t="s">
        <v>106</v>
      </c>
      <c r="D97" s="35">
        <v>-0.54819484842604183</v>
      </c>
    </row>
    <row r="98" spans="3:4">
      <c r="C98" s="35" t="s">
        <v>107</v>
      </c>
      <c r="D98" s="35">
        <v>-0.55197792000425727</v>
      </c>
    </row>
    <row r="99" spans="3:4">
      <c r="C99" s="35" t="s">
        <v>108</v>
      </c>
      <c r="D99" s="35">
        <v>-0.56138276275456922</v>
      </c>
    </row>
    <row r="100" spans="3:4">
      <c r="C100" s="35" t="s">
        <v>109</v>
      </c>
      <c r="D100" s="35">
        <v>-0.57061852968015647</v>
      </c>
    </row>
    <row r="101" spans="3:4">
      <c r="C101" s="35" t="s">
        <v>110</v>
      </c>
      <c r="D101" s="35">
        <v>-0.57416912199937542</v>
      </c>
    </row>
    <row r="102" spans="3:4">
      <c r="C102" s="35" t="s">
        <v>111</v>
      </c>
      <c r="D102" s="35">
        <v>-0.58460955417612626</v>
      </c>
    </row>
    <row r="103" spans="3:4">
      <c r="C103" s="35" t="s">
        <v>112</v>
      </c>
      <c r="D103" s="35">
        <v>-0.59458502783488409</v>
      </c>
    </row>
    <row r="104" spans="3:4">
      <c r="C104" s="35" t="s">
        <v>113</v>
      </c>
      <c r="D104" s="35">
        <v>-0.5996150336204441</v>
      </c>
    </row>
    <row r="105" spans="3:4">
      <c r="C105" s="35" t="s">
        <v>114</v>
      </c>
      <c r="D105" s="35">
        <v>-0.60308108802730076</v>
      </c>
    </row>
    <row r="106" spans="3:4">
      <c r="C106" s="35" t="s">
        <v>115</v>
      </c>
      <c r="D106" s="35">
        <v>-0.61504320262657397</v>
      </c>
    </row>
    <row r="107" spans="3:4">
      <c r="C107" s="35" t="s">
        <v>116</v>
      </c>
      <c r="D107" s="35">
        <v>-0.61671282639573044</v>
      </c>
    </row>
    <row r="108" spans="3:4">
      <c r="C108" s="35" t="s">
        <v>117</v>
      </c>
      <c r="D108" s="35">
        <v>-0.62089745305766708</v>
      </c>
    </row>
    <row r="109" spans="3:4">
      <c r="C109" s="35" t="s">
        <v>118</v>
      </c>
      <c r="D109" s="35">
        <v>-0.62442691089879532</v>
      </c>
    </row>
    <row r="110" spans="3:4">
      <c r="C110" s="35" t="s">
        <v>119</v>
      </c>
      <c r="D110" s="35">
        <v>-0.62529342450050951</v>
      </c>
    </row>
    <row r="111" spans="3:4">
      <c r="C111" s="35" t="s">
        <v>120</v>
      </c>
      <c r="D111" s="35">
        <v>-0.62664603109830719</v>
      </c>
    </row>
    <row r="112" spans="3:4">
      <c r="C112" s="35" t="s">
        <v>121</v>
      </c>
      <c r="D112" s="35">
        <v>-0.62732233439720597</v>
      </c>
    </row>
    <row r="113" spans="3:4">
      <c r="C113" s="35" t="s">
        <v>122</v>
      </c>
      <c r="D113" s="35">
        <v>-0.63258481944176259</v>
      </c>
    </row>
    <row r="114" spans="3:4">
      <c r="C114" s="35" t="s">
        <v>123</v>
      </c>
      <c r="D114" s="35">
        <v>-0.64784391262316776</v>
      </c>
    </row>
    <row r="115" spans="3:4">
      <c r="C115" s="35" t="s">
        <v>124</v>
      </c>
      <c r="D115" s="35">
        <v>-0.65676266237739611</v>
      </c>
    </row>
    <row r="116" spans="3:4">
      <c r="C116" s="35" t="s">
        <v>125</v>
      </c>
      <c r="D116" s="35">
        <v>-0.65976375826625977</v>
      </c>
    </row>
    <row r="117" spans="3:4">
      <c r="C117" s="35" t="s">
        <v>126</v>
      </c>
      <c r="D117" s="35">
        <v>-0.66316640923884451</v>
      </c>
    </row>
    <row r="118" spans="3:4">
      <c r="C118" s="35" t="s">
        <v>127</v>
      </c>
      <c r="D118" s="35">
        <v>-0.66568141213162446</v>
      </c>
    </row>
    <row r="119" spans="3:4">
      <c r="C119" s="35" t="s">
        <v>128</v>
      </c>
      <c r="D119" s="35">
        <v>-0.67109183852281529</v>
      </c>
    </row>
    <row r="120" spans="3:4">
      <c r="C120" s="35" t="s">
        <v>129</v>
      </c>
      <c r="D120" s="35">
        <v>-0.6764599959578248</v>
      </c>
    </row>
    <row r="121" spans="3:4">
      <c r="C121" s="35" t="s">
        <v>130</v>
      </c>
      <c r="D121" s="35">
        <v>-0.67901726780678606</v>
      </c>
    </row>
    <row r="122" spans="3:4">
      <c r="C122" s="35" t="s">
        <v>131</v>
      </c>
      <c r="D122" s="35">
        <v>-0.69178249257350155</v>
      </c>
    </row>
    <row r="123" spans="3:4">
      <c r="C123" s="35" t="s">
        <v>132</v>
      </c>
      <c r="D123" s="35">
        <v>-0.69226858556958515</v>
      </c>
    </row>
    <row r="124" spans="3:4">
      <c r="C124" s="35" t="s">
        <v>133</v>
      </c>
      <c r="D124" s="35">
        <v>-0.70340645552332537</v>
      </c>
    </row>
    <row r="125" spans="3:4">
      <c r="C125" s="35" t="s">
        <v>134</v>
      </c>
      <c r="D125" s="35">
        <v>-0.71014835403422316</v>
      </c>
    </row>
    <row r="126" spans="3:4">
      <c r="C126" s="35" t="s">
        <v>135</v>
      </c>
      <c r="D126" s="35">
        <v>-0.71205045706237624</v>
      </c>
    </row>
    <row r="127" spans="3:4">
      <c r="C127" s="35" t="s">
        <v>136</v>
      </c>
      <c r="D127" s="35">
        <v>-0.71289583618599972</v>
      </c>
    </row>
    <row r="128" spans="3:4">
      <c r="C128" s="35" t="s">
        <v>137</v>
      </c>
      <c r="D128" s="35">
        <v>-0.71355100500680801</v>
      </c>
    </row>
    <row r="129" spans="3:4">
      <c r="C129" s="35" t="s">
        <v>138</v>
      </c>
      <c r="D129" s="35">
        <v>-0.71486134264842449</v>
      </c>
    </row>
    <row r="130" spans="3:4">
      <c r="C130" s="35" t="s">
        <v>139</v>
      </c>
      <c r="D130" s="35">
        <v>-0.71498814951696799</v>
      </c>
    </row>
    <row r="131" spans="3:4">
      <c r="C131" s="35" t="s">
        <v>140</v>
      </c>
      <c r="D131" s="35">
        <v>-0.71739748001929515</v>
      </c>
    </row>
    <row r="132" spans="3:4">
      <c r="C132" s="35" t="s">
        <v>141</v>
      </c>
      <c r="D132" s="35">
        <v>-0.7204619793424305</v>
      </c>
    </row>
    <row r="133" spans="3:4">
      <c r="C133" s="35" t="s">
        <v>142</v>
      </c>
      <c r="D133" s="35">
        <v>-0.72781677771795539</v>
      </c>
    </row>
    <row r="134" spans="3:4">
      <c r="C134" s="35" t="s">
        <v>143</v>
      </c>
      <c r="D134" s="35">
        <v>-0.72887350162248477</v>
      </c>
    </row>
    <row r="135" spans="3:4">
      <c r="C135" s="35" t="s">
        <v>144</v>
      </c>
      <c r="D135" s="35">
        <v>-0.73060652882591304</v>
      </c>
    </row>
    <row r="136" spans="3:4">
      <c r="C136" s="35" t="s">
        <v>145</v>
      </c>
      <c r="D136" s="35">
        <v>-0.73350195232432369</v>
      </c>
    </row>
    <row r="137" spans="3:4">
      <c r="C137" s="35" t="s">
        <v>146</v>
      </c>
      <c r="D137" s="35">
        <v>-0.7336076247147767</v>
      </c>
    </row>
    <row r="138" spans="3:4">
      <c r="C138" s="35" t="s">
        <v>147</v>
      </c>
      <c r="D138" s="35">
        <v>-0.73447413831649078</v>
      </c>
    </row>
    <row r="139" spans="3:4">
      <c r="C139" s="35" t="s">
        <v>148</v>
      </c>
      <c r="D139" s="35">
        <v>-0.73561540013338256</v>
      </c>
    </row>
    <row r="140" spans="3:4">
      <c r="C140" s="35" t="s">
        <v>149</v>
      </c>
      <c r="D140" s="35">
        <v>-0.73595355178283206</v>
      </c>
    </row>
    <row r="141" spans="3:4">
      <c r="C141" s="35" t="s">
        <v>150</v>
      </c>
      <c r="D141" s="35">
        <v>-0.74237843312237095</v>
      </c>
    </row>
    <row r="142" spans="3:4">
      <c r="C142" s="35" t="s">
        <v>151</v>
      </c>
      <c r="D142" s="35">
        <v>-0.74351969493926284</v>
      </c>
    </row>
    <row r="143" spans="3:4">
      <c r="C143" s="35" t="s">
        <v>152</v>
      </c>
      <c r="D143" s="35">
        <v>-0.74466095675615451</v>
      </c>
    </row>
    <row r="144" spans="3:4">
      <c r="C144" s="35" t="s">
        <v>153</v>
      </c>
      <c r="D144" s="35">
        <v>-0.74489343601515101</v>
      </c>
    </row>
    <row r="145" spans="3:4">
      <c r="C145" s="35" t="s">
        <v>154</v>
      </c>
      <c r="D145" s="35">
        <v>-0.75674987822397133</v>
      </c>
    </row>
    <row r="146" spans="3:4">
      <c r="C146" s="35" t="s">
        <v>155</v>
      </c>
      <c r="D146" s="35">
        <v>-0.75907467081393609</v>
      </c>
    </row>
    <row r="147" spans="3:4">
      <c r="C147" s="35" t="s">
        <v>156</v>
      </c>
      <c r="D147" s="35">
        <v>-0.75930715007293248</v>
      </c>
    </row>
    <row r="148" spans="3:4">
      <c r="C148" s="35" t="s">
        <v>157</v>
      </c>
      <c r="D148" s="35">
        <v>-0.76093450488590797</v>
      </c>
    </row>
    <row r="149" spans="3:4">
      <c r="C149" s="35" t="s">
        <v>158</v>
      </c>
      <c r="D149" s="35">
        <v>-0.76382992838431862</v>
      </c>
    </row>
    <row r="150" spans="3:4">
      <c r="C150" s="35" t="s">
        <v>159</v>
      </c>
      <c r="D150" s="35">
        <v>-0.76399900420904332</v>
      </c>
    </row>
    <row r="151" spans="3:4">
      <c r="C151" s="35" t="s">
        <v>160</v>
      </c>
      <c r="D151" s="35">
        <v>-0.76452736616130801</v>
      </c>
    </row>
    <row r="152" spans="3:4">
      <c r="C152" s="35" t="s">
        <v>161</v>
      </c>
      <c r="D152" s="35">
        <v>-0.76452736616130801</v>
      </c>
    </row>
    <row r="153" spans="3:4">
      <c r="C153" s="35" t="s">
        <v>162</v>
      </c>
      <c r="D153" s="35">
        <v>-0.76511913154784439</v>
      </c>
    </row>
    <row r="154" spans="3:4">
      <c r="C154" s="35" t="s">
        <v>163</v>
      </c>
      <c r="D154" s="35">
        <v>-0.76520366946020679</v>
      </c>
    </row>
    <row r="155" spans="3:4">
      <c r="C155" s="35" t="s">
        <v>164</v>
      </c>
      <c r="D155" s="35">
        <v>-0.76520366946020679</v>
      </c>
    </row>
    <row r="156" spans="3:4">
      <c r="C156" s="35" t="s">
        <v>188</v>
      </c>
      <c r="D156" s="35">
        <v>-0.76520366946017737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22f2000149@ds.study.iitm.ac.in</cp:lastModifiedBy>
  <cp:revision/>
  <dcterms:created xsi:type="dcterms:W3CDTF">2026-04-30T18:34:49Z</dcterms:created>
  <dcterms:modified xsi:type="dcterms:W3CDTF">2026-06-03T11:55:01Z</dcterms:modified>
  <cp:category/>
  <cp:contentStatus/>
</cp:coreProperties>
</file>